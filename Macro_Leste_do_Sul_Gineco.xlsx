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96cd45e3dcc699/Área de Trabalho/Dissertação/Planilhas/Distribuição_territorial/Análises_objetivo_03/analises_finais_gineco/"/>
    </mc:Choice>
  </mc:AlternateContent>
  <xr:revisionPtr revIDLastSave="3" documentId="8_{8DBAFFFF-D6C9-4137-9A72-ACD923EBD8B3}" xr6:coauthVersionLast="47" xr6:coauthVersionMax="47" xr10:uidLastSave="{A0DD99FE-2317-42A8-9005-AC670C84C5CB}"/>
  <bookViews>
    <workbookView xWindow="-108" yWindow="-108" windowWidth="23256" windowHeight="12456" xr2:uid="{24F8C946-44FD-4B70-A9B8-885A38FDE475}"/>
  </bookViews>
  <sheets>
    <sheet name="MANHUAÇU" sheetId="1" r:id="rId1"/>
    <sheet name="PONTE NOVA" sheetId="2" r:id="rId2"/>
    <sheet name="VIÇOS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3" l="1"/>
  <c r="O13" i="3"/>
  <c r="N13" i="3"/>
  <c r="M13" i="3"/>
  <c r="L13" i="3"/>
  <c r="K13" i="3"/>
  <c r="P25" i="2"/>
  <c r="O25" i="2"/>
  <c r="N25" i="2"/>
  <c r="M25" i="2"/>
  <c r="L25" i="2"/>
  <c r="K25" i="2"/>
  <c r="P28" i="1"/>
  <c r="O28" i="1"/>
  <c r="N28" i="1"/>
  <c r="M28" i="1"/>
  <c r="L28" i="1"/>
  <c r="K28" i="1"/>
  <c r="H21" i="3" l="1"/>
  <c r="G21" i="3"/>
  <c r="F21" i="3"/>
  <c r="E21" i="3"/>
  <c r="D21" i="3"/>
  <c r="C21" i="3"/>
  <c r="H20" i="3"/>
  <c r="G20" i="3"/>
  <c r="F20" i="3"/>
  <c r="E20" i="3"/>
  <c r="D20" i="3"/>
  <c r="C20" i="3"/>
  <c r="H19" i="3"/>
  <c r="G19" i="3"/>
  <c r="F19" i="3"/>
  <c r="E19" i="3"/>
  <c r="D19" i="3"/>
  <c r="C19" i="3"/>
  <c r="H18" i="3"/>
  <c r="G18" i="3"/>
  <c r="F18" i="3"/>
  <c r="E18" i="3"/>
  <c r="D18" i="3"/>
  <c r="C18" i="3"/>
  <c r="H17" i="3"/>
  <c r="G17" i="3"/>
  <c r="F17" i="3"/>
  <c r="E17" i="3"/>
  <c r="D17" i="3"/>
  <c r="C17" i="3"/>
  <c r="H16" i="3"/>
  <c r="G16" i="3"/>
  <c r="F16" i="3"/>
  <c r="E16" i="3"/>
  <c r="D16" i="3"/>
  <c r="C16" i="3"/>
  <c r="H15" i="3"/>
  <c r="G15" i="3"/>
  <c r="F15" i="3"/>
  <c r="E15" i="3"/>
  <c r="D15" i="3"/>
  <c r="C15" i="3"/>
  <c r="H14" i="3"/>
  <c r="G14" i="3"/>
  <c r="F14" i="3"/>
  <c r="E14" i="3"/>
  <c r="D14" i="3"/>
  <c r="C14" i="3"/>
  <c r="H13" i="3"/>
  <c r="G13" i="3"/>
  <c r="F13" i="3"/>
  <c r="E13" i="3"/>
  <c r="D13" i="3"/>
  <c r="C13" i="3"/>
  <c r="P3" i="3"/>
  <c r="P4" i="3" s="1"/>
  <c r="P5" i="3" s="1"/>
  <c r="P6" i="3" s="1"/>
  <c r="P7" i="3" s="1"/>
  <c r="P8" i="3" s="1"/>
  <c r="P9" i="3" s="1"/>
  <c r="P10" i="3" s="1"/>
  <c r="O3" i="3"/>
  <c r="O4" i="3" s="1"/>
  <c r="O5" i="3" s="1"/>
  <c r="O6" i="3" s="1"/>
  <c r="O7" i="3" s="1"/>
  <c r="O8" i="3" s="1"/>
  <c r="O9" i="3" s="1"/>
  <c r="O10" i="3" s="1"/>
  <c r="N3" i="3"/>
  <c r="N4" i="3" s="1"/>
  <c r="N5" i="3" s="1"/>
  <c r="N6" i="3" s="1"/>
  <c r="N7" i="3" s="1"/>
  <c r="N8" i="3" s="1"/>
  <c r="N9" i="3" s="1"/>
  <c r="N10" i="3" s="1"/>
  <c r="M3" i="3"/>
  <c r="M4" i="3" s="1"/>
  <c r="M5" i="3" s="1"/>
  <c r="M6" i="3" s="1"/>
  <c r="M7" i="3" s="1"/>
  <c r="M8" i="3" s="1"/>
  <c r="M9" i="3" s="1"/>
  <c r="M10" i="3" s="1"/>
  <c r="L3" i="3"/>
  <c r="L4" i="3" s="1"/>
  <c r="L5" i="3" s="1"/>
  <c r="L6" i="3" s="1"/>
  <c r="L7" i="3" s="1"/>
  <c r="L8" i="3" s="1"/>
  <c r="L9" i="3" s="1"/>
  <c r="L10" i="3" s="1"/>
  <c r="K3" i="3"/>
  <c r="K4" i="3" s="1"/>
  <c r="K5" i="3" s="1"/>
  <c r="K6" i="3" s="1"/>
  <c r="K7" i="3" s="1"/>
  <c r="K8" i="3" s="1"/>
  <c r="K9" i="3" s="1"/>
  <c r="K10" i="3" s="1"/>
  <c r="J3" i="3"/>
  <c r="C26" i="2"/>
  <c r="D26" i="2"/>
  <c r="E26" i="2"/>
  <c r="F26" i="2"/>
  <c r="G26" i="2"/>
  <c r="H26" i="2"/>
  <c r="C27" i="2"/>
  <c r="D27" i="2"/>
  <c r="E27" i="2"/>
  <c r="F27" i="2"/>
  <c r="G27" i="2"/>
  <c r="H27" i="2"/>
  <c r="C28" i="2"/>
  <c r="D28" i="2"/>
  <c r="E28" i="2"/>
  <c r="F28" i="2"/>
  <c r="G28" i="2"/>
  <c r="H28" i="2"/>
  <c r="C29" i="2"/>
  <c r="D29" i="2"/>
  <c r="E29" i="2"/>
  <c r="F29" i="2"/>
  <c r="G29" i="2"/>
  <c r="H29" i="2"/>
  <c r="C30" i="2"/>
  <c r="D30" i="2"/>
  <c r="E30" i="2"/>
  <c r="F30" i="2"/>
  <c r="G30" i="2"/>
  <c r="H30" i="2"/>
  <c r="C31" i="2"/>
  <c r="D31" i="2"/>
  <c r="E31" i="2"/>
  <c r="F31" i="2"/>
  <c r="G31" i="2"/>
  <c r="H31" i="2"/>
  <c r="C32" i="2"/>
  <c r="D32" i="2"/>
  <c r="E32" i="2"/>
  <c r="F32" i="2"/>
  <c r="G32" i="2"/>
  <c r="H32" i="2"/>
  <c r="C33" i="2"/>
  <c r="D33" i="2"/>
  <c r="E33" i="2"/>
  <c r="F33" i="2"/>
  <c r="G33" i="2"/>
  <c r="H33" i="2"/>
  <c r="C34" i="2"/>
  <c r="D34" i="2"/>
  <c r="E34" i="2"/>
  <c r="F34" i="2"/>
  <c r="G34" i="2"/>
  <c r="H34" i="2"/>
  <c r="C35" i="2"/>
  <c r="D35" i="2"/>
  <c r="E35" i="2"/>
  <c r="F35" i="2"/>
  <c r="G35" i="2"/>
  <c r="H35" i="2"/>
  <c r="C36" i="2"/>
  <c r="D36" i="2"/>
  <c r="E36" i="2"/>
  <c r="F36" i="2"/>
  <c r="G36" i="2"/>
  <c r="H36" i="2"/>
  <c r="C37" i="2"/>
  <c r="D37" i="2"/>
  <c r="E37" i="2"/>
  <c r="F37" i="2"/>
  <c r="G37" i="2"/>
  <c r="H37" i="2"/>
  <c r="C38" i="2"/>
  <c r="D38" i="2"/>
  <c r="E38" i="2"/>
  <c r="F38" i="2"/>
  <c r="G38" i="2"/>
  <c r="H38" i="2"/>
  <c r="C39" i="2"/>
  <c r="D39" i="2"/>
  <c r="E39" i="2"/>
  <c r="F39" i="2"/>
  <c r="G39" i="2"/>
  <c r="H39" i="2"/>
  <c r="C40" i="2"/>
  <c r="D40" i="2"/>
  <c r="E40" i="2"/>
  <c r="F40" i="2"/>
  <c r="G40" i="2"/>
  <c r="H40" i="2"/>
  <c r="C41" i="2"/>
  <c r="D41" i="2"/>
  <c r="E41" i="2"/>
  <c r="F41" i="2"/>
  <c r="G41" i="2"/>
  <c r="H41" i="2"/>
  <c r="C42" i="2"/>
  <c r="D42" i="2"/>
  <c r="E42" i="2"/>
  <c r="F42" i="2"/>
  <c r="G42" i="2"/>
  <c r="H42" i="2"/>
  <c r="C43" i="2"/>
  <c r="D43" i="2"/>
  <c r="E43" i="2"/>
  <c r="F43" i="2"/>
  <c r="G43" i="2"/>
  <c r="H43" i="2"/>
  <c r="C44" i="2"/>
  <c r="D44" i="2"/>
  <c r="E44" i="2"/>
  <c r="F44" i="2"/>
  <c r="G44" i="2"/>
  <c r="H44" i="2"/>
  <c r="C45" i="2"/>
  <c r="D45" i="2"/>
  <c r="E45" i="2"/>
  <c r="F45" i="2"/>
  <c r="G45" i="2"/>
  <c r="H45" i="2"/>
  <c r="H25" i="2"/>
  <c r="G25" i="2"/>
  <c r="F25" i="2"/>
  <c r="E25" i="2"/>
  <c r="D25" i="2"/>
  <c r="C25" i="2"/>
  <c r="P3" i="2"/>
  <c r="P4" i="2" s="1"/>
  <c r="P5" i="2" s="1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O3" i="2"/>
  <c r="O4" i="2" s="1"/>
  <c r="O5" i="2" s="1"/>
  <c r="O6" i="2" s="1"/>
  <c r="O7" i="2" s="1"/>
  <c r="O8" i="2" s="1"/>
  <c r="O9" i="2" s="1"/>
  <c r="O10" i="2" s="1"/>
  <c r="O11" i="2" s="1"/>
  <c r="O12" i="2" s="1"/>
  <c r="O13" i="2" s="1"/>
  <c r="O14" i="2" s="1"/>
  <c r="O15" i="2" s="1"/>
  <c r="O16" i="2" s="1"/>
  <c r="O17" i="2" s="1"/>
  <c r="O18" i="2" s="1"/>
  <c r="O19" i="2" s="1"/>
  <c r="O20" i="2" s="1"/>
  <c r="O21" i="2" s="1"/>
  <c r="O22" i="2" s="1"/>
  <c r="N3" i="2"/>
  <c r="N4" i="2" s="1"/>
  <c r="N5" i="2" s="1"/>
  <c r="N6" i="2" s="1"/>
  <c r="N7" i="2" s="1"/>
  <c r="N8" i="2" s="1"/>
  <c r="N9" i="2" s="1"/>
  <c r="N10" i="2" s="1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M3" i="2"/>
  <c r="M4" i="2" s="1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L3" i="2"/>
  <c r="L4" i="2" s="1"/>
  <c r="L5" i="2" s="1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K3" i="2"/>
  <c r="K4" i="2" s="1"/>
  <c r="K5" i="2" s="1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J3" i="2"/>
  <c r="H50" i="1"/>
  <c r="G50" i="1"/>
  <c r="F50" i="1"/>
  <c r="E50" i="1"/>
  <c r="D50" i="1"/>
  <c r="C50" i="1"/>
  <c r="H49" i="1"/>
  <c r="G49" i="1"/>
  <c r="F49" i="1"/>
  <c r="E49" i="1"/>
  <c r="D49" i="1"/>
  <c r="C49" i="1"/>
  <c r="H48" i="1"/>
  <c r="G48" i="1"/>
  <c r="F48" i="1"/>
  <c r="E48" i="1"/>
  <c r="D48" i="1"/>
  <c r="C48" i="1"/>
  <c r="H47" i="1"/>
  <c r="G47" i="1"/>
  <c r="F47" i="1"/>
  <c r="E47" i="1"/>
  <c r="D47" i="1"/>
  <c r="C47" i="1"/>
  <c r="H46" i="1"/>
  <c r="G46" i="1"/>
  <c r="F46" i="1"/>
  <c r="E46" i="1"/>
  <c r="D46" i="1"/>
  <c r="C46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H28" i="1"/>
  <c r="G28" i="1"/>
  <c r="F28" i="1"/>
  <c r="E28" i="1"/>
  <c r="D28" i="1"/>
  <c r="C28" i="1"/>
  <c r="P3" i="1"/>
  <c r="P4" i="1" s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N3" i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M3" i="1"/>
  <c r="M4" i="1" s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L3" i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J3" i="1"/>
  <c r="J4" i="3" l="1"/>
  <c r="N14" i="3"/>
  <c r="P14" i="3"/>
  <c r="O14" i="3"/>
  <c r="M14" i="3"/>
  <c r="L14" i="3"/>
  <c r="K14" i="3"/>
  <c r="J4" i="1"/>
  <c r="M29" i="1"/>
  <c r="N29" i="1"/>
  <c r="L29" i="1"/>
  <c r="K29" i="1"/>
  <c r="P29" i="1"/>
  <c r="O29" i="1"/>
  <c r="J4" i="2"/>
  <c r="P26" i="2"/>
  <c r="O26" i="2"/>
  <c r="N26" i="2"/>
  <c r="M26" i="2"/>
  <c r="L26" i="2"/>
  <c r="K26" i="2"/>
  <c r="J5" i="3" l="1"/>
  <c r="K15" i="3"/>
  <c r="O15" i="3"/>
  <c r="N15" i="3"/>
  <c r="M15" i="3"/>
  <c r="P15" i="3"/>
  <c r="L15" i="3"/>
  <c r="J5" i="1"/>
  <c r="O30" i="1"/>
  <c r="N30" i="1"/>
  <c r="L30" i="1"/>
  <c r="K30" i="1"/>
  <c r="P30" i="1"/>
  <c r="M30" i="1"/>
  <c r="J5" i="2"/>
  <c r="L27" i="2"/>
  <c r="K27" i="2"/>
  <c r="P27" i="2"/>
  <c r="O27" i="2"/>
  <c r="M27" i="2"/>
  <c r="N27" i="2"/>
  <c r="J6" i="3" l="1"/>
  <c r="M16" i="3"/>
  <c r="K16" i="3"/>
  <c r="N16" i="3"/>
  <c r="L16" i="3"/>
  <c r="P16" i="3"/>
  <c r="O16" i="3"/>
  <c r="J6" i="1"/>
  <c r="K31" i="1"/>
  <c r="P31" i="1"/>
  <c r="L31" i="1"/>
  <c r="O31" i="1"/>
  <c r="N31" i="1"/>
  <c r="M31" i="1"/>
  <c r="J6" i="2"/>
  <c r="N28" i="2"/>
  <c r="M28" i="2"/>
  <c r="L28" i="2"/>
  <c r="K28" i="2"/>
  <c r="P28" i="2"/>
  <c r="O28" i="2"/>
  <c r="J7" i="3" l="1"/>
  <c r="O17" i="3"/>
  <c r="L17" i="3"/>
  <c r="N17" i="3"/>
  <c r="M17" i="3"/>
  <c r="K17" i="3"/>
  <c r="P17" i="3"/>
  <c r="J7" i="1"/>
  <c r="K32" i="1"/>
  <c r="P32" i="1"/>
  <c r="O32" i="1"/>
  <c r="N32" i="1"/>
  <c r="L32" i="1"/>
  <c r="M32" i="1"/>
  <c r="J7" i="2"/>
  <c r="P29" i="2"/>
  <c r="O29" i="2"/>
  <c r="N29" i="2"/>
  <c r="L29" i="2"/>
  <c r="M29" i="2"/>
  <c r="K29" i="2"/>
  <c r="J8" i="3" l="1"/>
  <c r="O18" i="3"/>
  <c r="M18" i="3"/>
  <c r="L18" i="3"/>
  <c r="K18" i="3"/>
  <c r="P18" i="3"/>
  <c r="N18" i="3"/>
  <c r="J8" i="1"/>
  <c r="M33" i="1"/>
  <c r="L33" i="1"/>
  <c r="K33" i="1"/>
  <c r="P33" i="1"/>
  <c r="O33" i="1"/>
  <c r="N33" i="1"/>
  <c r="J8" i="2"/>
  <c r="P30" i="2"/>
  <c r="O30" i="2"/>
  <c r="N30" i="2"/>
  <c r="M30" i="2"/>
  <c r="K30" i="2"/>
  <c r="L30" i="2"/>
  <c r="J9" i="3" l="1"/>
  <c r="K19" i="3"/>
  <c r="P19" i="3"/>
  <c r="N19" i="3"/>
  <c r="M19" i="3"/>
  <c r="L19" i="3"/>
  <c r="O19" i="3"/>
  <c r="J9" i="1"/>
  <c r="O34" i="1"/>
  <c r="N34" i="1"/>
  <c r="K34" i="1"/>
  <c r="P34" i="1"/>
  <c r="M34" i="1"/>
  <c r="L34" i="1"/>
  <c r="J9" i="2"/>
  <c r="L31" i="2"/>
  <c r="K31" i="2"/>
  <c r="P31" i="2"/>
  <c r="O31" i="2"/>
  <c r="N31" i="2"/>
  <c r="M31" i="2"/>
  <c r="J10" i="3" l="1"/>
  <c r="M20" i="3"/>
  <c r="K20" i="3"/>
  <c r="L20" i="3"/>
  <c r="P20" i="3"/>
  <c r="O20" i="3"/>
  <c r="N20" i="3"/>
  <c r="J10" i="1"/>
  <c r="P35" i="1"/>
  <c r="K35" i="1"/>
  <c r="L35" i="1"/>
  <c r="O35" i="1"/>
  <c r="N35" i="1"/>
  <c r="M35" i="1"/>
  <c r="J10" i="2"/>
  <c r="N32" i="2"/>
  <c r="M32" i="2"/>
  <c r="L32" i="2"/>
  <c r="K32" i="2"/>
  <c r="O32" i="2"/>
  <c r="P32" i="2"/>
  <c r="O21" i="3" l="1"/>
  <c r="O22" i="3" s="1"/>
  <c r="O23" i="3" s="1"/>
  <c r="K21" i="3"/>
  <c r="K22" i="3" s="1"/>
  <c r="K23" i="3" s="1"/>
  <c r="P21" i="3"/>
  <c r="P22" i="3" s="1"/>
  <c r="P23" i="3" s="1"/>
  <c r="N21" i="3"/>
  <c r="N22" i="3" s="1"/>
  <c r="N23" i="3" s="1"/>
  <c r="M21" i="3"/>
  <c r="M22" i="3" s="1"/>
  <c r="M23" i="3" s="1"/>
  <c r="L21" i="3"/>
  <c r="L22" i="3" s="1"/>
  <c r="L23" i="3" s="1"/>
  <c r="J11" i="1"/>
  <c r="K36" i="1"/>
  <c r="O36" i="1"/>
  <c r="N36" i="1"/>
  <c r="L36" i="1"/>
  <c r="M36" i="1"/>
  <c r="P36" i="1"/>
  <c r="J11" i="2"/>
  <c r="P33" i="2"/>
  <c r="O33" i="2"/>
  <c r="N33" i="2"/>
  <c r="M33" i="2"/>
  <c r="L33" i="2"/>
  <c r="K33" i="2"/>
  <c r="J12" i="1" l="1"/>
  <c r="M37" i="1"/>
  <c r="L37" i="1"/>
  <c r="P37" i="1"/>
  <c r="N37" i="1"/>
  <c r="K37" i="1"/>
  <c r="O37" i="1"/>
  <c r="J12" i="2"/>
  <c r="P34" i="2"/>
  <c r="O34" i="2"/>
  <c r="N34" i="2"/>
  <c r="M34" i="2"/>
  <c r="L34" i="2"/>
  <c r="K34" i="2"/>
  <c r="J13" i="1" l="1"/>
  <c r="O38" i="1"/>
  <c r="N38" i="1"/>
  <c r="K38" i="1"/>
  <c r="M38" i="1"/>
  <c r="L38" i="1"/>
  <c r="P38" i="1"/>
  <c r="J13" i="2"/>
  <c r="L35" i="2"/>
  <c r="K35" i="2"/>
  <c r="P35" i="2"/>
  <c r="O35" i="2"/>
  <c r="M35" i="2"/>
  <c r="N35" i="2"/>
  <c r="J14" i="1" l="1"/>
  <c r="K39" i="1"/>
  <c r="P39" i="1"/>
  <c r="O39" i="1"/>
  <c r="N39" i="1"/>
  <c r="M39" i="1"/>
  <c r="L39" i="1"/>
  <c r="J14" i="2"/>
  <c r="N36" i="2"/>
  <c r="M36" i="2"/>
  <c r="L36" i="2"/>
  <c r="K36" i="2"/>
  <c r="P36" i="2"/>
  <c r="O36" i="2"/>
  <c r="J15" i="1" l="1"/>
  <c r="K40" i="1"/>
  <c r="O40" i="1"/>
  <c r="N40" i="1"/>
  <c r="L40" i="1"/>
  <c r="M40" i="1"/>
  <c r="P40" i="1"/>
  <c r="J15" i="2"/>
  <c r="P37" i="2"/>
  <c r="O37" i="2"/>
  <c r="N37" i="2"/>
  <c r="M37" i="2"/>
  <c r="L37" i="2"/>
  <c r="K37" i="2"/>
  <c r="J16" i="1" l="1"/>
  <c r="M41" i="1"/>
  <c r="L41" i="1"/>
  <c r="O41" i="1"/>
  <c r="P41" i="1"/>
  <c r="N41" i="1"/>
  <c r="K41" i="1"/>
  <c r="J16" i="2"/>
  <c r="P38" i="2"/>
  <c r="O38" i="2"/>
  <c r="N38" i="2"/>
  <c r="M38" i="2"/>
  <c r="K38" i="2"/>
  <c r="L38" i="2"/>
  <c r="J17" i="1" l="1"/>
  <c r="O42" i="1"/>
  <c r="N42" i="1"/>
  <c r="M42" i="1"/>
  <c r="L42" i="1"/>
  <c r="K42" i="1"/>
  <c r="P42" i="1"/>
  <c r="J17" i="2"/>
  <c r="L39" i="2"/>
  <c r="K39" i="2"/>
  <c r="P39" i="2"/>
  <c r="O39" i="2"/>
  <c r="N39" i="2"/>
  <c r="M39" i="2"/>
  <c r="J18" i="1" l="1"/>
  <c r="L43" i="1"/>
  <c r="P43" i="1"/>
  <c r="M43" i="1"/>
  <c r="O43" i="1"/>
  <c r="N43" i="1"/>
  <c r="K43" i="1"/>
  <c r="J18" i="2"/>
  <c r="N40" i="2"/>
  <c r="M40" i="2"/>
  <c r="L40" i="2"/>
  <c r="K40" i="2"/>
  <c r="O40" i="2"/>
  <c r="P40" i="2"/>
  <c r="J19" i="1" l="1"/>
  <c r="K44" i="1"/>
  <c r="L44" i="1"/>
  <c r="M44" i="1"/>
  <c r="P44" i="1"/>
  <c r="O44" i="1"/>
  <c r="N44" i="1"/>
  <c r="J19" i="2"/>
  <c r="P41" i="2"/>
  <c r="O41" i="2"/>
  <c r="N41" i="2"/>
  <c r="M41" i="2"/>
  <c r="L41" i="2"/>
  <c r="K41" i="2"/>
  <c r="J20" i="1" l="1"/>
  <c r="M45" i="1"/>
  <c r="O45" i="1"/>
  <c r="L45" i="1"/>
  <c r="P45" i="1"/>
  <c r="N45" i="1"/>
  <c r="K45" i="1"/>
  <c r="J20" i="2"/>
  <c r="P42" i="2"/>
  <c r="O42" i="2"/>
  <c r="N42" i="2"/>
  <c r="M42" i="2"/>
  <c r="L42" i="2"/>
  <c r="K42" i="2"/>
  <c r="J21" i="1" l="1"/>
  <c r="O46" i="1"/>
  <c r="K46" i="1"/>
  <c r="N46" i="1"/>
  <c r="M46" i="1"/>
  <c r="L46" i="1"/>
  <c r="P46" i="1"/>
  <c r="J21" i="2"/>
  <c r="L43" i="2"/>
  <c r="K43" i="2"/>
  <c r="P43" i="2"/>
  <c r="O43" i="2"/>
  <c r="N43" i="2"/>
  <c r="M43" i="2"/>
  <c r="J22" i="1" l="1"/>
  <c r="L47" i="1"/>
  <c r="P47" i="1"/>
  <c r="O47" i="1"/>
  <c r="N47" i="1"/>
  <c r="M47" i="1"/>
  <c r="K47" i="1"/>
  <c r="J22" i="2"/>
  <c r="N44" i="2"/>
  <c r="M44" i="2"/>
  <c r="L44" i="2"/>
  <c r="K44" i="2"/>
  <c r="O44" i="2"/>
  <c r="P44" i="2"/>
  <c r="J23" i="1" l="1"/>
  <c r="K48" i="1"/>
  <c r="L48" i="1"/>
  <c r="N48" i="1"/>
  <c r="M48" i="1"/>
  <c r="P48" i="1"/>
  <c r="O48" i="1"/>
  <c r="P45" i="2"/>
  <c r="P46" i="2" s="1"/>
  <c r="P47" i="2" s="1"/>
  <c r="O45" i="2"/>
  <c r="O46" i="2" s="1"/>
  <c r="O47" i="2" s="1"/>
  <c r="N45" i="2"/>
  <c r="N46" i="2" s="1"/>
  <c r="N47" i="2" s="1"/>
  <c r="M45" i="2"/>
  <c r="M46" i="2" s="1"/>
  <c r="M47" i="2" s="1"/>
  <c r="L45" i="2"/>
  <c r="L46" i="2" s="1"/>
  <c r="L47" i="2" s="1"/>
  <c r="K45" i="2"/>
  <c r="K46" i="2" s="1"/>
  <c r="K47" i="2" s="1"/>
  <c r="J24" i="1" l="1"/>
  <c r="M49" i="1"/>
  <c r="O49" i="1"/>
  <c r="L49" i="1"/>
  <c r="N49" i="1"/>
  <c r="K49" i="1"/>
  <c r="P49" i="1"/>
  <c r="P50" i="1" l="1"/>
  <c r="P51" i="1" s="1"/>
  <c r="P52" i="1" s="1"/>
  <c r="O50" i="1"/>
  <c r="O51" i="1" s="1"/>
  <c r="O52" i="1" s="1"/>
  <c r="N50" i="1"/>
  <c r="N51" i="1" s="1"/>
  <c r="N52" i="1" s="1"/>
  <c r="M50" i="1"/>
  <c r="M51" i="1" s="1"/>
  <c r="M52" i="1" s="1"/>
  <c r="L50" i="1"/>
  <c r="L51" i="1" s="1"/>
  <c r="L52" i="1" s="1"/>
  <c r="K50" i="1"/>
  <c r="K51" i="1" s="1"/>
  <c r="K52" i="1" s="1"/>
</calcChain>
</file>

<file path=xl/sharedStrings.xml><?xml version="1.0" encoding="utf-8"?>
<sst xmlns="http://schemas.openxmlformats.org/spreadsheetml/2006/main" count="252" uniqueCount="75">
  <si>
    <t>MANHUAÇU</t>
  </si>
  <si>
    <t>ABRE CAMPO</t>
  </si>
  <si>
    <t>ALTO CAPARAÓ</t>
  </si>
  <si>
    <t>ALTO JEQUITIBÁ</t>
  </si>
  <si>
    <t>CAPUTIRA</t>
  </si>
  <si>
    <t>CHALÉ</t>
  </si>
  <si>
    <t>CONCEIÇÃO DE IPANEMA</t>
  </si>
  <si>
    <t>DURANDÉ</t>
  </si>
  <si>
    <t>IPANEMA</t>
  </si>
  <si>
    <t>LAJINHA</t>
  </si>
  <si>
    <t>LUISBURGO</t>
  </si>
  <si>
    <t>MANHUMIRIM</t>
  </si>
  <si>
    <t>MARTINS SOARES</t>
  </si>
  <si>
    <t>MATIPÓ</t>
  </si>
  <si>
    <t>MUTUM</t>
  </si>
  <si>
    <t>POCRANE</t>
  </si>
  <si>
    <t>REDUTO</t>
  </si>
  <si>
    <t>SANTA MARGARIDA</t>
  </si>
  <si>
    <t>SANTANA DO MANHUAÇU</t>
  </si>
  <si>
    <t>SÃO JOÃO DO MANHUAÇU</t>
  </si>
  <si>
    <t>SÃO JOSÉ DO MANTIMENTO</t>
  </si>
  <si>
    <t>SIMONÉSIA</t>
  </si>
  <si>
    <t>TAPARUBA</t>
  </si>
  <si>
    <t>MUNICÍPIO</t>
  </si>
  <si>
    <t>Pop</t>
  </si>
  <si>
    <t>Prod 2019</t>
  </si>
  <si>
    <t>Prod 2020</t>
  </si>
  <si>
    <t>Prod 2021</t>
  </si>
  <si>
    <t>Prod 2022</t>
  </si>
  <si>
    <t>Prod 2023-1-2</t>
  </si>
  <si>
    <t>Prod 2023-3</t>
  </si>
  <si>
    <t>PONTE NOVA</t>
  </si>
  <si>
    <t>ACAIACA</t>
  </si>
  <si>
    <t>ALVINÓPOLIS</t>
  </si>
  <si>
    <t>AMPARO DO SERRA</t>
  </si>
  <si>
    <t>BARRA LONGA</t>
  </si>
  <si>
    <t>DIOGO DE VASCONCELOS</t>
  </si>
  <si>
    <t>DOM SILVÉRIO</t>
  </si>
  <si>
    <t>GUARACIABA</t>
  </si>
  <si>
    <t>JEQUERI</t>
  </si>
  <si>
    <t>ORATÓRIOS</t>
  </si>
  <si>
    <t>PIEDADE DE PONTE NOVA</t>
  </si>
  <si>
    <t>RAUL SOARES</t>
  </si>
  <si>
    <t>RIO CASCA</t>
  </si>
  <si>
    <t>RIO DOCE</t>
  </si>
  <si>
    <t>SANTA CRUZ DO ESCALVADO</t>
  </si>
  <si>
    <t>SANTO ANTÔNIO DO GRAMA</t>
  </si>
  <si>
    <t>SÃO JOSÉ DO GOIABAL</t>
  </si>
  <si>
    <t>SÃO PEDRO DOS FERROS</t>
  </si>
  <si>
    <t>SEM-PEIXE</t>
  </si>
  <si>
    <t>SERICITA</t>
  </si>
  <si>
    <t>URUCÂNIA</t>
  </si>
  <si>
    <t>VIÇOSA</t>
  </si>
  <si>
    <t>ARAPONGA</t>
  </si>
  <si>
    <t>CAJURI</t>
  </si>
  <si>
    <t>CANAÃ</t>
  </si>
  <si>
    <t>PAULA CÂNDIDO</t>
  </si>
  <si>
    <t>PEDRA DO ANTA</t>
  </si>
  <si>
    <t>PORTO FIRME</t>
  </si>
  <si>
    <t>SÃO MIGUEL DO ANTA</t>
  </si>
  <si>
    <t>TEIXEIRAS</t>
  </si>
  <si>
    <t>Dif 2019</t>
  </si>
  <si>
    <t>Dif 2020</t>
  </si>
  <si>
    <t>Dif 2021</t>
  </si>
  <si>
    <t>Dif 2022</t>
  </si>
  <si>
    <t>Dif 2023 1-2</t>
  </si>
  <si>
    <t>Dif 2023 3</t>
  </si>
  <si>
    <t>area_2019</t>
  </si>
  <si>
    <t>area_2020</t>
  </si>
  <si>
    <t>area_2021</t>
  </si>
  <si>
    <t>area_2022</t>
  </si>
  <si>
    <t>area_2023-1-2</t>
  </si>
  <si>
    <t>area_2023-3</t>
  </si>
  <si>
    <t>SOMA_ÁREAS</t>
  </si>
  <si>
    <t>GINI (1-ÁREA)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</si>
</sst>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0" fillId="0" borderId="1" xfId="0" applyBorder="1"/>
    <xf numFmtId="2" fontId="0" fillId="0" borderId="1" xfId="0" applyNumberFormat="1" applyBorder="1"/>
    <xf numFmtId="0" fontId="1" fillId="2" borderId="2" xfId="0" applyFont="1" applyFill="1" applyBorder="1" applyAlignment="1">
      <alignment vertical="center"/>
    </xf>
    <xf numFmtId="0" fontId="1" fillId="4" borderId="2" xfId="0" applyFont="1" applyFill="1" applyBorder="1" applyAlignment="1">
      <alignment vertical="center" wrapText="1"/>
    </xf>
    <xf numFmtId="0" fontId="0" fillId="8" borderId="1" xfId="0" applyFill="1" applyBorder="1"/>
    <xf numFmtId="0" fontId="0" fillId="8" borderId="1" xfId="0" applyFill="1" applyBorder="1" applyAlignment="1">
      <alignment horizontal="left" indent="2"/>
    </xf>
    <xf numFmtId="0" fontId="1" fillId="7" borderId="1" xfId="0" applyFont="1" applyFill="1" applyBorder="1" applyAlignment="1">
      <alignment horizontal="left" indent="2"/>
    </xf>
    <xf numFmtId="0" fontId="1" fillId="7" borderId="1" xfId="0" applyFont="1" applyFill="1" applyBorder="1"/>
    <xf numFmtId="2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MANHUAÇU!$J$1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MANHUAÇU!$J$2:$J$24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2D-4277-907B-FB4B4BB2CF54}"/>
            </c:ext>
          </c:extLst>
        </c:ser>
        <c:ser>
          <c:idx val="1"/>
          <c:order val="1"/>
          <c:tx>
            <c:strRef>
              <c:f>MANHUAÇU!$K$1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MANHUAÇU!$K$2:$K$24</c:f>
              <c:numCache>
                <c:formatCode>0.00</c:formatCode>
                <c:ptCount val="23"/>
                <c:pt idx="0">
                  <c:v>4.0567951318458417E-3</c:v>
                </c:pt>
                <c:pt idx="1">
                  <c:v>8.1135902636916835E-3</c:v>
                </c:pt>
                <c:pt idx="2">
                  <c:v>2.231237322515213E-2</c:v>
                </c:pt>
                <c:pt idx="3">
                  <c:v>5.8823529411764705E-2</c:v>
                </c:pt>
                <c:pt idx="4">
                  <c:v>7.9107505070993914E-2</c:v>
                </c:pt>
                <c:pt idx="5">
                  <c:v>9.7363083164300201E-2</c:v>
                </c:pt>
                <c:pt idx="6">
                  <c:v>0.11561866125760649</c:v>
                </c:pt>
                <c:pt idx="7">
                  <c:v>0.14401622718052737</c:v>
                </c:pt>
                <c:pt idx="8">
                  <c:v>0.16024340770791073</c:v>
                </c:pt>
                <c:pt idx="9">
                  <c:v>0.1764705882352941</c:v>
                </c:pt>
                <c:pt idx="10">
                  <c:v>0.19675456389452331</c:v>
                </c:pt>
                <c:pt idx="11">
                  <c:v>0.20486815415821499</c:v>
                </c:pt>
                <c:pt idx="12">
                  <c:v>0.23732251521298173</c:v>
                </c:pt>
                <c:pt idx="13">
                  <c:v>0.26572008113590262</c:v>
                </c:pt>
                <c:pt idx="14">
                  <c:v>0.35902636916835695</c:v>
                </c:pt>
                <c:pt idx="15">
                  <c:v>0.46450304259634884</c:v>
                </c:pt>
                <c:pt idx="16">
                  <c:v>0.50912778904665312</c:v>
                </c:pt>
                <c:pt idx="17">
                  <c:v>0.55375253549695735</c:v>
                </c:pt>
                <c:pt idx="18">
                  <c:v>0.58620689655172409</c:v>
                </c:pt>
                <c:pt idx="19">
                  <c:v>0.61460446247464495</c:v>
                </c:pt>
                <c:pt idx="20">
                  <c:v>0.66734279918864092</c:v>
                </c:pt>
                <c:pt idx="21">
                  <c:v>0.78093306288032449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E2D-4277-907B-FB4B4BB2CF54}"/>
            </c:ext>
          </c:extLst>
        </c:ser>
        <c:ser>
          <c:idx val="2"/>
          <c:order val="2"/>
          <c:tx>
            <c:strRef>
              <c:f>MANHUAÇU!$L$1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MANHUAÇU!$L$2:$L$24</c:f>
              <c:numCache>
                <c:formatCode>0.00</c:formatCode>
                <c:ptCount val="23"/>
                <c:pt idx="0">
                  <c:v>3.1746031746031746E-3</c:v>
                </c:pt>
                <c:pt idx="1">
                  <c:v>9.5238095238095247E-3</c:v>
                </c:pt>
                <c:pt idx="2">
                  <c:v>4.7619047619047623E-2</c:v>
                </c:pt>
                <c:pt idx="3">
                  <c:v>6.0317460317460325E-2</c:v>
                </c:pt>
                <c:pt idx="4">
                  <c:v>6.666666666666668E-2</c:v>
                </c:pt>
                <c:pt idx="5">
                  <c:v>8.5714285714285729E-2</c:v>
                </c:pt>
                <c:pt idx="6">
                  <c:v>0.11746031746031747</c:v>
                </c:pt>
                <c:pt idx="7">
                  <c:v>0.13015873015873017</c:v>
                </c:pt>
                <c:pt idx="8">
                  <c:v>0.13968253968253969</c:v>
                </c:pt>
                <c:pt idx="9">
                  <c:v>0.15555555555555556</c:v>
                </c:pt>
                <c:pt idx="10">
                  <c:v>0.19682539682539682</c:v>
                </c:pt>
                <c:pt idx="11">
                  <c:v>0.21587301587301588</c:v>
                </c:pt>
                <c:pt idx="12">
                  <c:v>0.25079365079365079</c:v>
                </c:pt>
                <c:pt idx="13">
                  <c:v>0.26666666666666666</c:v>
                </c:pt>
                <c:pt idx="14">
                  <c:v>0.33015873015873015</c:v>
                </c:pt>
                <c:pt idx="15">
                  <c:v>0.42539682539682538</c:v>
                </c:pt>
                <c:pt idx="16">
                  <c:v>0.55873015873015874</c:v>
                </c:pt>
                <c:pt idx="17">
                  <c:v>0.59047619047619049</c:v>
                </c:pt>
                <c:pt idx="18">
                  <c:v>0.6253968253968254</c:v>
                </c:pt>
                <c:pt idx="19">
                  <c:v>0.67619047619047623</c:v>
                </c:pt>
                <c:pt idx="20">
                  <c:v>0.72698412698412707</c:v>
                </c:pt>
                <c:pt idx="21">
                  <c:v>0.80317460317460321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E2D-4277-907B-FB4B4BB2CF54}"/>
            </c:ext>
          </c:extLst>
        </c:ser>
        <c:ser>
          <c:idx val="3"/>
          <c:order val="3"/>
          <c:tx>
            <c:strRef>
              <c:f>MANHUAÇU!$M$1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MANHUAÇU!$M$2:$M$24</c:f>
              <c:numCache>
                <c:formatCode>0.00</c:formatCode>
                <c:ptCount val="23"/>
                <c:pt idx="0">
                  <c:v>1.7751479289940829E-2</c:v>
                </c:pt>
                <c:pt idx="1">
                  <c:v>2.9585798816568046E-2</c:v>
                </c:pt>
                <c:pt idx="2">
                  <c:v>3.5502958579881658E-2</c:v>
                </c:pt>
                <c:pt idx="3">
                  <c:v>5.6213017751479293E-2</c:v>
                </c:pt>
                <c:pt idx="4">
                  <c:v>6.5088757396449703E-2</c:v>
                </c:pt>
                <c:pt idx="5">
                  <c:v>9.7633136094674555E-2</c:v>
                </c:pt>
                <c:pt idx="6">
                  <c:v>0.10355029585798817</c:v>
                </c:pt>
                <c:pt idx="7">
                  <c:v>0.1242603550295858</c:v>
                </c:pt>
                <c:pt idx="8">
                  <c:v>0.1331360946745562</c:v>
                </c:pt>
                <c:pt idx="9">
                  <c:v>0.14792899408284022</c:v>
                </c:pt>
                <c:pt idx="10">
                  <c:v>0.19230769230769229</c:v>
                </c:pt>
                <c:pt idx="11">
                  <c:v>0.23668639053254437</c:v>
                </c:pt>
                <c:pt idx="12">
                  <c:v>0.28402366863905326</c:v>
                </c:pt>
                <c:pt idx="13">
                  <c:v>0.31656804733727811</c:v>
                </c:pt>
                <c:pt idx="14">
                  <c:v>0.38165680473372782</c:v>
                </c:pt>
                <c:pt idx="15">
                  <c:v>0.48816568047337278</c:v>
                </c:pt>
                <c:pt idx="16">
                  <c:v>0.59171597633136097</c:v>
                </c:pt>
                <c:pt idx="17">
                  <c:v>0.63905325443786987</c:v>
                </c:pt>
                <c:pt idx="18">
                  <c:v>0.67455621301775148</c:v>
                </c:pt>
                <c:pt idx="19">
                  <c:v>0.70118343195266275</c:v>
                </c:pt>
                <c:pt idx="20">
                  <c:v>0.73964497041420119</c:v>
                </c:pt>
                <c:pt idx="21">
                  <c:v>0.79289940828402372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E2D-4277-907B-FB4B4BB2C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601712"/>
        <c:axId val="764603152"/>
      </c:scatterChart>
      <c:valAx>
        <c:axId val="76460171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603152"/>
        <c:crosses val="autoZero"/>
        <c:crossBetween val="midCat"/>
      </c:valAx>
      <c:valAx>
        <c:axId val="7646031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6017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MANHUAÇU!$J$1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MANHUAÇU!$J$2:$J$24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0A-4BDE-8DEA-735572807D41}"/>
            </c:ext>
          </c:extLst>
        </c:ser>
        <c:ser>
          <c:idx val="1"/>
          <c:order val="1"/>
          <c:tx>
            <c:strRef>
              <c:f>MANHUAÇU!$N$1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MANHUAÇU!$N$2:$N$24</c:f>
              <c:numCache>
                <c:formatCode>0.00</c:formatCode>
                <c:ptCount val="23"/>
                <c:pt idx="0">
                  <c:v>2.8571428571428571E-2</c:v>
                </c:pt>
                <c:pt idx="1">
                  <c:v>4.9350649350649353E-2</c:v>
                </c:pt>
                <c:pt idx="2">
                  <c:v>5.454545454545455E-2</c:v>
                </c:pt>
                <c:pt idx="3">
                  <c:v>7.5324675324675322E-2</c:v>
                </c:pt>
                <c:pt idx="4">
                  <c:v>8.0519480519480519E-2</c:v>
                </c:pt>
                <c:pt idx="5">
                  <c:v>0.12727272727272726</c:v>
                </c:pt>
                <c:pt idx="6">
                  <c:v>0.14285714285714285</c:v>
                </c:pt>
                <c:pt idx="7">
                  <c:v>0.14285714285714285</c:v>
                </c:pt>
                <c:pt idx="8">
                  <c:v>0.14805194805194805</c:v>
                </c:pt>
                <c:pt idx="9">
                  <c:v>0.17142857142857143</c:v>
                </c:pt>
                <c:pt idx="10">
                  <c:v>0.20519480519480521</c:v>
                </c:pt>
                <c:pt idx="11">
                  <c:v>0.24675324675324678</c:v>
                </c:pt>
                <c:pt idx="12">
                  <c:v>0.28831168831168835</c:v>
                </c:pt>
                <c:pt idx="13">
                  <c:v>0.31168831168831174</c:v>
                </c:pt>
                <c:pt idx="14">
                  <c:v>0.44415584415584419</c:v>
                </c:pt>
                <c:pt idx="15">
                  <c:v>0.54545454545454553</c:v>
                </c:pt>
                <c:pt idx="16">
                  <c:v>0.62077922077922087</c:v>
                </c:pt>
                <c:pt idx="17">
                  <c:v>0.66233766233766245</c:v>
                </c:pt>
                <c:pt idx="18">
                  <c:v>0.7350649350649352</c:v>
                </c:pt>
                <c:pt idx="19">
                  <c:v>0.77662337662337677</c:v>
                </c:pt>
                <c:pt idx="20">
                  <c:v>0.83116883116883133</c:v>
                </c:pt>
                <c:pt idx="21">
                  <c:v>0.86493506493506511</c:v>
                </c:pt>
                <c:pt idx="22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20A-4BDE-8DEA-735572807D41}"/>
            </c:ext>
          </c:extLst>
        </c:ser>
        <c:ser>
          <c:idx val="2"/>
          <c:order val="2"/>
          <c:tx>
            <c:strRef>
              <c:f>MANHUAÇU!$O$1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MANHUAÇU!$O$2:$O$24</c:f>
              <c:numCache>
                <c:formatCode>0.00</c:formatCode>
                <c:ptCount val="23"/>
                <c:pt idx="0">
                  <c:v>1.7094017094017096E-2</c:v>
                </c:pt>
                <c:pt idx="1">
                  <c:v>2.9914529914529916E-2</c:v>
                </c:pt>
                <c:pt idx="2">
                  <c:v>3.4188034188034191E-2</c:v>
                </c:pt>
                <c:pt idx="3">
                  <c:v>6.4102564102564111E-2</c:v>
                </c:pt>
                <c:pt idx="4">
                  <c:v>7.6923076923076927E-2</c:v>
                </c:pt>
                <c:pt idx="5">
                  <c:v>0.11538461538461539</c:v>
                </c:pt>
                <c:pt idx="6">
                  <c:v>0.12820512820512822</c:v>
                </c:pt>
                <c:pt idx="7">
                  <c:v>0.14102564102564105</c:v>
                </c:pt>
                <c:pt idx="8">
                  <c:v>0.14529914529914534</c:v>
                </c:pt>
                <c:pt idx="9">
                  <c:v>0.16239316239316243</c:v>
                </c:pt>
                <c:pt idx="10">
                  <c:v>0.1837606837606838</c:v>
                </c:pt>
                <c:pt idx="11">
                  <c:v>0.26495726495726502</c:v>
                </c:pt>
                <c:pt idx="12">
                  <c:v>0.28632478632478636</c:v>
                </c:pt>
                <c:pt idx="13">
                  <c:v>0.32051282051282054</c:v>
                </c:pt>
                <c:pt idx="14">
                  <c:v>0.44444444444444448</c:v>
                </c:pt>
                <c:pt idx="15">
                  <c:v>0.48717948717948723</c:v>
                </c:pt>
                <c:pt idx="16">
                  <c:v>0.56837606837606847</c:v>
                </c:pt>
                <c:pt idx="17">
                  <c:v>0.64957264957264971</c:v>
                </c:pt>
                <c:pt idx="18">
                  <c:v>0.6923076923076924</c:v>
                </c:pt>
                <c:pt idx="19">
                  <c:v>0.76495726495726502</c:v>
                </c:pt>
                <c:pt idx="20">
                  <c:v>0.8205128205128206</c:v>
                </c:pt>
                <c:pt idx="21">
                  <c:v>0.88888888888888895</c:v>
                </c:pt>
                <c:pt idx="2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0A-4BDE-8DEA-735572807D41}"/>
            </c:ext>
          </c:extLst>
        </c:ser>
        <c:ser>
          <c:idx val="3"/>
          <c:order val="3"/>
          <c:tx>
            <c:strRef>
              <c:f>MANHUAÇU!$P$1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MANHUAÇU!$I$2:$I$24</c:f>
              <c:numCache>
                <c:formatCode>0.00</c:formatCode>
                <c:ptCount val="23"/>
                <c:pt idx="0">
                  <c:v>8.0780486687398699E-3</c:v>
                </c:pt>
                <c:pt idx="1">
                  <c:v>1.6934980442016162E-2</c:v>
                </c:pt>
                <c:pt idx="2">
                  <c:v>3.005286096363876E-2</c:v>
                </c:pt>
                <c:pt idx="3">
                  <c:v>4.6360725964870078E-2</c:v>
                </c:pt>
                <c:pt idx="4">
                  <c:v>6.3364431386698283E-2</c:v>
                </c:pt>
                <c:pt idx="5">
                  <c:v>8.1258698005257465E-2</c:v>
                </c:pt>
                <c:pt idx="6">
                  <c:v>0.1020107783676672</c:v>
                </c:pt>
                <c:pt idx="7">
                  <c:v>0.12462702380747843</c:v>
                </c:pt>
                <c:pt idx="8">
                  <c:v>0.14835432308758428</c:v>
                </c:pt>
                <c:pt idx="9">
                  <c:v>0.17208734944934112</c:v>
                </c:pt>
                <c:pt idx="10">
                  <c:v>0.1968283421816745</c:v>
                </c:pt>
                <c:pt idx="11">
                  <c:v>0.2216266057305179</c:v>
                </c:pt>
                <c:pt idx="12">
                  <c:v>0.24830907914254133</c:v>
                </c:pt>
                <c:pt idx="13">
                  <c:v>0.28205590777107709</c:v>
                </c:pt>
                <c:pt idx="14">
                  <c:v>0.3205247152208649</c:v>
                </c:pt>
                <c:pt idx="15">
                  <c:v>0.36746673997331181</c:v>
                </c:pt>
                <c:pt idx="16">
                  <c:v>0.42215464265874036</c:v>
                </c:pt>
                <c:pt idx="17">
                  <c:v>0.4789501113917381</c:v>
                </c:pt>
                <c:pt idx="18">
                  <c:v>0.53597466339077593</c:v>
                </c:pt>
                <c:pt idx="19">
                  <c:v>0.59362633083059857</c:v>
                </c:pt>
                <c:pt idx="20">
                  <c:v>0.65918423448963104</c:v>
                </c:pt>
                <c:pt idx="21">
                  <c:v>0.73634234203277027</c:v>
                </c:pt>
                <c:pt idx="22">
                  <c:v>0.99999999999999989</c:v>
                </c:pt>
              </c:numCache>
            </c:numRef>
          </c:xVal>
          <c:yVal>
            <c:numRef>
              <c:f>MANHUAÇU!$P$2:$P$24</c:f>
              <c:numCache>
                <c:formatCode>0.00</c:formatCode>
                <c:ptCount val="23"/>
                <c:pt idx="0">
                  <c:v>2.5316455696202531E-2</c:v>
                </c:pt>
                <c:pt idx="1">
                  <c:v>2.5316455696202531E-2</c:v>
                </c:pt>
                <c:pt idx="2">
                  <c:v>4.4303797468354431E-2</c:v>
                </c:pt>
                <c:pt idx="3">
                  <c:v>5.0632911392405063E-2</c:v>
                </c:pt>
                <c:pt idx="4">
                  <c:v>5.6962025316455694E-2</c:v>
                </c:pt>
                <c:pt idx="5">
                  <c:v>8.8607594936708861E-2</c:v>
                </c:pt>
                <c:pt idx="6">
                  <c:v>0.12025316455696203</c:v>
                </c:pt>
                <c:pt idx="7">
                  <c:v>0.13291139240506331</c:v>
                </c:pt>
                <c:pt idx="8">
                  <c:v>0.14556962025316458</c:v>
                </c:pt>
                <c:pt idx="9">
                  <c:v>0.15189873417721522</c:v>
                </c:pt>
                <c:pt idx="10">
                  <c:v>0.17721518987341775</c:v>
                </c:pt>
                <c:pt idx="11">
                  <c:v>0.22151898734177217</c:v>
                </c:pt>
                <c:pt idx="12">
                  <c:v>0.27215189873417722</c:v>
                </c:pt>
                <c:pt idx="13">
                  <c:v>0.27215189873417722</c:v>
                </c:pt>
                <c:pt idx="14">
                  <c:v>0.36075949367088611</c:v>
                </c:pt>
                <c:pt idx="15">
                  <c:v>0.449367088607595</c:v>
                </c:pt>
                <c:pt idx="16">
                  <c:v>0.53797468354430389</c:v>
                </c:pt>
                <c:pt idx="17">
                  <c:v>0.65189873417721533</c:v>
                </c:pt>
                <c:pt idx="18">
                  <c:v>0.68987341772151911</c:v>
                </c:pt>
                <c:pt idx="19">
                  <c:v>0.79746835443037989</c:v>
                </c:pt>
                <c:pt idx="20">
                  <c:v>0.81645569620253178</c:v>
                </c:pt>
                <c:pt idx="21">
                  <c:v>0.87974683544303811</c:v>
                </c:pt>
                <c:pt idx="22">
                  <c:v>1.0000000000000002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0A-4BDE-8DEA-735572807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298176"/>
        <c:axId val="304288576"/>
      </c:scatterChart>
      <c:valAx>
        <c:axId val="30429817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288576"/>
        <c:crosses val="autoZero"/>
        <c:crossBetween val="midCat"/>
      </c:valAx>
      <c:valAx>
        <c:axId val="30428857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298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'PONTE NOVA'!$J$1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NOVA'!$J$2:$J$22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505-46A2-B0ED-B38401D235A4}"/>
            </c:ext>
          </c:extLst>
        </c:ser>
        <c:ser>
          <c:idx val="1"/>
          <c:order val="1"/>
          <c:tx>
            <c:strRef>
              <c:f>'PONTE NOVA'!$K$1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NOVA'!$K$2:$K$22</c:f>
              <c:numCache>
                <c:formatCode>0.00</c:formatCode>
                <c:ptCount val="21"/>
                <c:pt idx="0">
                  <c:v>1.4925373134328358E-2</c:v>
                </c:pt>
                <c:pt idx="1">
                  <c:v>2.4875621890547261E-2</c:v>
                </c:pt>
                <c:pt idx="2">
                  <c:v>3.2338308457711441E-2</c:v>
                </c:pt>
                <c:pt idx="3">
                  <c:v>4.4776119402985072E-2</c:v>
                </c:pt>
                <c:pt idx="4">
                  <c:v>6.4676616915422883E-2</c:v>
                </c:pt>
                <c:pt idx="5">
                  <c:v>8.45771144278607E-2</c:v>
                </c:pt>
                <c:pt idx="6">
                  <c:v>9.950248756218906E-2</c:v>
                </c:pt>
                <c:pt idx="7">
                  <c:v>0.15174129353233831</c:v>
                </c:pt>
                <c:pt idx="8">
                  <c:v>0.16169154228855723</c:v>
                </c:pt>
                <c:pt idx="9">
                  <c:v>0.17164179104477614</c:v>
                </c:pt>
                <c:pt idx="10">
                  <c:v>0.18905472636815923</c:v>
                </c:pt>
                <c:pt idx="11">
                  <c:v>0.21144278606965178</c:v>
                </c:pt>
                <c:pt idx="12">
                  <c:v>0.24378109452736321</c:v>
                </c:pt>
                <c:pt idx="13">
                  <c:v>0.28109452736318408</c:v>
                </c:pt>
                <c:pt idx="14">
                  <c:v>0.29850746268656714</c:v>
                </c:pt>
                <c:pt idx="15">
                  <c:v>0.34328358208955223</c:v>
                </c:pt>
                <c:pt idx="16">
                  <c:v>0.37562189054726369</c:v>
                </c:pt>
                <c:pt idx="17">
                  <c:v>0.44029850746268656</c:v>
                </c:pt>
                <c:pt idx="18">
                  <c:v>0.49004975124378108</c:v>
                </c:pt>
                <c:pt idx="19">
                  <c:v>0.55970149253731338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505-46A2-B0ED-B38401D235A4}"/>
            </c:ext>
          </c:extLst>
        </c:ser>
        <c:ser>
          <c:idx val="2"/>
          <c:order val="2"/>
          <c:tx>
            <c:strRef>
              <c:f>'PONTE NOVA'!$L$1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NOVA'!$L$2:$L$22</c:f>
              <c:numCache>
                <c:formatCode>0.00</c:formatCode>
                <c:ptCount val="21"/>
                <c:pt idx="0">
                  <c:v>1.0752688172043012E-2</c:v>
                </c:pt>
                <c:pt idx="1">
                  <c:v>2.1505376344086023E-2</c:v>
                </c:pt>
                <c:pt idx="2">
                  <c:v>3.2258064516129031E-2</c:v>
                </c:pt>
                <c:pt idx="3">
                  <c:v>5.3763440860215055E-2</c:v>
                </c:pt>
                <c:pt idx="4">
                  <c:v>5.9139784946236562E-2</c:v>
                </c:pt>
                <c:pt idx="5">
                  <c:v>6.4516129032258063E-2</c:v>
                </c:pt>
                <c:pt idx="6">
                  <c:v>8.0645161290322578E-2</c:v>
                </c:pt>
                <c:pt idx="7">
                  <c:v>0.11827956989247312</c:v>
                </c:pt>
                <c:pt idx="8">
                  <c:v>0.15053763440860216</c:v>
                </c:pt>
                <c:pt idx="9">
                  <c:v>0.18817204301075269</c:v>
                </c:pt>
                <c:pt idx="10">
                  <c:v>0.18817204301075269</c:v>
                </c:pt>
                <c:pt idx="11">
                  <c:v>0.20967741935483872</c:v>
                </c:pt>
                <c:pt idx="12">
                  <c:v>0.23655913978494625</c:v>
                </c:pt>
                <c:pt idx="13">
                  <c:v>0.26344086021505375</c:v>
                </c:pt>
                <c:pt idx="14">
                  <c:v>0.31720430107526881</c:v>
                </c:pt>
                <c:pt idx="15">
                  <c:v>0.32258064516129031</c:v>
                </c:pt>
                <c:pt idx="16">
                  <c:v>0.34946236559139782</c:v>
                </c:pt>
                <c:pt idx="17">
                  <c:v>0.5376344086021505</c:v>
                </c:pt>
                <c:pt idx="18">
                  <c:v>0.63978494623655913</c:v>
                </c:pt>
                <c:pt idx="19">
                  <c:v>0.70967741935483875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505-46A2-B0ED-B38401D235A4}"/>
            </c:ext>
          </c:extLst>
        </c:ser>
        <c:ser>
          <c:idx val="3"/>
          <c:order val="3"/>
          <c:tx>
            <c:strRef>
              <c:f>'PONTE NOVA'!$M$1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NOVA'!$M$2:$M$22</c:f>
              <c:numCache>
                <c:formatCode>0.00</c:formatCode>
                <c:ptCount val="21"/>
                <c:pt idx="0">
                  <c:v>3.8314176245210726E-3</c:v>
                </c:pt>
                <c:pt idx="1">
                  <c:v>3.8314176245210726E-3</c:v>
                </c:pt>
                <c:pt idx="2">
                  <c:v>1.532567049808429E-2</c:v>
                </c:pt>
                <c:pt idx="3">
                  <c:v>2.6819923371647507E-2</c:v>
                </c:pt>
                <c:pt idx="4">
                  <c:v>3.4482758620689655E-2</c:v>
                </c:pt>
                <c:pt idx="5">
                  <c:v>3.8314176245210725E-2</c:v>
                </c:pt>
                <c:pt idx="6">
                  <c:v>5.7471264367816091E-2</c:v>
                </c:pt>
                <c:pt idx="7">
                  <c:v>9.1954022988505746E-2</c:v>
                </c:pt>
                <c:pt idx="8">
                  <c:v>0.13026819923371646</c:v>
                </c:pt>
                <c:pt idx="9">
                  <c:v>0.14559386973180075</c:v>
                </c:pt>
                <c:pt idx="10">
                  <c:v>0.14942528735632182</c:v>
                </c:pt>
                <c:pt idx="11">
                  <c:v>0.17241379310344826</c:v>
                </c:pt>
                <c:pt idx="12">
                  <c:v>0.18390804597701149</c:v>
                </c:pt>
                <c:pt idx="13">
                  <c:v>0.1954022988505747</c:v>
                </c:pt>
                <c:pt idx="14">
                  <c:v>0.21839080459770113</c:v>
                </c:pt>
                <c:pt idx="15">
                  <c:v>0.27586206896551724</c:v>
                </c:pt>
                <c:pt idx="16">
                  <c:v>0.31034482758620691</c:v>
                </c:pt>
                <c:pt idx="17">
                  <c:v>0.47126436781609193</c:v>
                </c:pt>
                <c:pt idx="18">
                  <c:v>0.58620689655172409</c:v>
                </c:pt>
                <c:pt idx="19">
                  <c:v>0.65517241379310343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505-46A2-B0ED-B38401D23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18816"/>
        <c:axId val="304319776"/>
      </c:scatterChart>
      <c:valAx>
        <c:axId val="3043188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19776"/>
        <c:crosses val="autoZero"/>
        <c:crossBetween val="midCat"/>
      </c:valAx>
      <c:valAx>
        <c:axId val="30431977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18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'PONTE NOVA'!$J$1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NOVA'!$J$2:$J$22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B6-4319-AF07-4F9809115359}"/>
            </c:ext>
          </c:extLst>
        </c:ser>
        <c:ser>
          <c:idx val="1"/>
          <c:order val="1"/>
          <c:tx>
            <c:strRef>
              <c:f>'PONTE NOVA'!$N$1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NOVA'!$N$2:$N$22</c:f>
              <c:numCache>
                <c:formatCode>0.00</c:formatCode>
                <c:ptCount val="21"/>
                <c:pt idx="0">
                  <c:v>1.5789473684210527E-2</c:v>
                </c:pt>
                <c:pt idx="1">
                  <c:v>2.1052631578947368E-2</c:v>
                </c:pt>
                <c:pt idx="2">
                  <c:v>2.8947368421052631E-2</c:v>
                </c:pt>
                <c:pt idx="3">
                  <c:v>4.4736842105263158E-2</c:v>
                </c:pt>
                <c:pt idx="4">
                  <c:v>6.5789473684210523E-2</c:v>
                </c:pt>
                <c:pt idx="5">
                  <c:v>9.4736842105263147E-2</c:v>
                </c:pt>
                <c:pt idx="6">
                  <c:v>0.12105263157894736</c:v>
                </c:pt>
                <c:pt idx="7">
                  <c:v>0.14736842105263157</c:v>
                </c:pt>
                <c:pt idx="8">
                  <c:v>0.16052631578947368</c:v>
                </c:pt>
                <c:pt idx="9">
                  <c:v>0.16315789473684211</c:v>
                </c:pt>
                <c:pt idx="10">
                  <c:v>0.1736842105263158</c:v>
                </c:pt>
                <c:pt idx="11">
                  <c:v>0.21842105263157896</c:v>
                </c:pt>
                <c:pt idx="12">
                  <c:v>0.23947368421052634</c:v>
                </c:pt>
                <c:pt idx="13">
                  <c:v>0.27368421052631581</c:v>
                </c:pt>
                <c:pt idx="14">
                  <c:v>0.30789473684210528</c:v>
                </c:pt>
                <c:pt idx="15">
                  <c:v>0.35000000000000003</c:v>
                </c:pt>
                <c:pt idx="16">
                  <c:v>0.37894736842105264</c:v>
                </c:pt>
                <c:pt idx="17">
                  <c:v>0.46052631578947367</c:v>
                </c:pt>
                <c:pt idx="18">
                  <c:v>0.56578947368421051</c:v>
                </c:pt>
                <c:pt idx="19">
                  <c:v>0.66052631578947363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B6-4319-AF07-4F9809115359}"/>
            </c:ext>
          </c:extLst>
        </c:ser>
        <c:ser>
          <c:idx val="2"/>
          <c:order val="2"/>
          <c:tx>
            <c:strRef>
              <c:f>'PONTE NOVA'!$O$1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NOVA'!$O$2:$O$22</c:f>
              <c:numCache>
                <c:formatCode>0.00</c:formatCode>
                <c:ptCount val="21"/>
                <c:pt idx="0">
                  <c:v>2.2900763358778626E-2</c:v>
                </c:pt>
                <c:pt idx="1">
                  <c:v>3.0534351145038167E-2</c:v>
                </c:pt>
                <c:pt idx="2">
                  <c:v>3.4351145038167941E-2</c:v>
                </c:pt>
                <c:pt idx="3">
                  <c:v>6.8702290076335881E-2</c:v>
                </c:pt>
                <c:pt idx="4">
                  <c:v>8.0152671755725199E-2</c:v>
                </c:pt>
                <c:pt idx="5">
                  <c:v>8.778625954198474E-2</c:v>
                </c:pt>
                <c:pt idx="6">
                  <c:v>0.11450381679389314</c:v>
                </c:pt>
                <c:pt idx="7">
                  <c:v>0.14885496183206109</c:v>
                </c:pt>
                <c:pt idx="8">
                  <c:v>0.1603053435114504</c:v>
                </c:pt>
                <c:pt idx="9">
                  <c:v>0.17938931297709926</c:v>
                </c:pt>
                <c:pt idx="10">
                  <c:v>0.19083969465648856</c:v>
                </c:pt>
                <c:pt idx="11">
                  <c:v>0.19465648854961834</c:v>
                </c:pt>
                <c:pt idx="12">
                  <c:v>0.21755725190839698</c:v>
                </c:pt>
                <c:pt idx="13">
                  <c:v>0.27099236641221375</c:v>
                </c:pt>
                <c:pt idx="14">
                  <c:v>0.33206106870229007</c:v>
                </c:pt>
                <c:pt idx="15">
                  <c:v>0.36641221374045801</c:v>
                </c:pt>
                <c:pt idx="16">
                  <c:v>0.4580152671755725</c:v>
                </c:pt>
                <c:pt idx="17">
                  <c:v>0.5725190839694656</c:v>
                </c:pt>
                <c:pt idx="18">
                  <c:v>0.63740458015267176</c:v>
                </c:pt>
                <c:pt idx="19">
                  <c:v>0.76717557251908397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B6-4319-AF07-4F9809115359}"/>
            </c:ext>
          </c:extLst>
        </c:ser>
        <c:ser>
          <c:idx val="3"/>
          <c:order val="3"/>
          <c:tx>
            <c:strRef>
              <c:f>'PONTE NOVA'!$P$1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'PONTE NOVA'!$I$2:$I$22</c:f>
              <c:numCache>
                <c:formatCode>0.00</c:formatCode>
                <c:ptCount val="21"/>
                <c:pt idx="0">
                  <c:v>1.2250326564541029E-2</c:v>
                </c:pt>
                <c:pt idx="1">
                  <c:v>2.4742904643154019E-2</c:v>
                </c:pt>
                <c:pt idx="2">
                  <c:v>4.2693266832917701E-2</c:v>
                </c:pt>
                <c:pt idx="3">
                  <c:v>6.10331314570716E-2</c:v>
                </c:pt>
                <c:pt idx="4">
                  <c:v>8.0009500059375363E-2</c:v>
                </c:pt>
                <c:pt idx="5">
                  <c:v>9.967937299608122E-2</c:v>
                </c:pt>
                <c:pt idx="6">
                  <c:v>0.12173376083600522</c:v>
                </c:pt>
                <c:pt idx="7">
                  <c:v>0.1439211495071844</c:v>
                </c:pt>
                <c:pt idx="8">
                  <c:v>0.16621303883149269</c:v>
                </c:pt>
                <c:pt idx="9">
                  <c:v>0.1895119344495903</c:v>
                </c:pt>
                <c:pt idx="10">
                  <c:v>0.21434033962712265</c:v>
                </c:pt>
                <c:pt idx="11">
                  <c:v>0.23978149863436643</c:v>
                </c:pt>
                <c:pt idx="12">
                  <c:v>0.27464671654197836</c:v>
                </c:pt>
                <c:pt idx="13">
                  <c:v>0.31090844317776983</c:v>
                </c:pt>
                <c:pt idx="14">
                  <c:v>0.35986699916874476</c:v>
                </c:pt>
                <c:pt idx="15">
                  <c:v>0.40894905593159953</c:v>
                </c:pt>
                <c:pt idx="16">
                  <c:v>0.46711791948699677</c:v>
                </c:pt>
                <c:pt idx="17">
                  <c:v>0.53069231682698015</c:v>
                </c:pt>
                <c:pt idx="18">
                  <c:v>0.60258401615010093</c:v>
                </c:pt>
                <c:pt idx="19">
                  <c:v>0.71498396864980407</c:v>
                </c:pt>
                <c:pt idx="20">
                  <c:v>1</c:v>
                </c:pt>
              </c:numCache>
            </c:numRef>
          </c:xVal>
          <c:yVal>
            <c:numRef>
              <c:f>'PONTE NOVA'!$P$2:$P$22</c:f>
              <c:numCache>
                <c:formatCode>0.00</c:formatCode>
                <c:ptCount val="21"/>
                <c:pt idx="0">
                  <c:v>1.9047619047619049E-2</c:v>
                </c:pt>
                <c:pt idx="1">
                  <c:v>1.9047619047619049E-2</c:v>
                </c:pt>
                <c:pt idx="2">
                  <c:v>1.9047619047619049E-2</c:v>
                </c:pt>
                <c:pt idx="3">
                  <c:v>4.7619047619047616E-2</c:v>
                </c:pt>
                <c:pt idx="4">
                  <c:v>6.6666666666666666E-2</c:v>
                </c:pt>
                <c:pt idx="5">
                  <c:v>7.6190476190476197E-2</c:v>
                </c:pt>
                <c:pt idx="6">
                  <c:v>0.10476190476190476</c:v>
                </c:pt>
                <c:pt idx="7">
                  <c:v>0.13333333333333333</c:v>
                </c:pt>
                <c:pt idx="8">
                  <c:v>0.15238095238095239</c:v>
                </c:pt>
                <c:pt idx="9">
                  <c:v>0.17142857142857143</c:v>
                </c:pt>
                <c:pt idx="10">
                  <c:v>0.2</c:v>
                </c:pt>
                <c:pt idx="11">
                  <c:v>0.22857142857142859</c:v>
                </c:pt>
                <c:pt idx="12">
                  <c:v>0.23809523809523811</c:v>
                </c:pt>
                <c:pt idx="13">
                  <c:v>0.25714285714285717</c:v>
                </c:pt>
                <c:pt idx="14">
                  <c:v>0.28571428571428575</c:v>
                </c:pt>
                <c:pt idx="15">
                  <c:v>0.2952380952380953</c:v>
                </c:pt>
                <c:pt idx="16">
                  <c:v>0.3714285714285715</c:v>
                </c:pt>
                <c:pt idx="17">
                  <c:v>0.49523809523809531</c:v>
                </c:pt>
                <c:pt idx="18">
                  <c:v>0.60952380952380958</c:v>
                </c:pt>
                <c:pt idx="19">
                  <c:v>0.77142857142857146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B6-4319-AF07-4F98091153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61056"/>
        <c:axId val="304347616"/>
      </c:scatterChart>
      <c:valAx>
        <c:axId val="30436105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47616"/>
        <c:crosses val="autoZero"/>
        <c:crossBetween val="midCat"/>
      </c:valAx>
      <c:valAx>
        <c:axId val="30434761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610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VIÇOSA!$J$1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VIÇOSA!$J$2:$J$10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C3-42D2-93A7-7B1C59158ECE}"/>
            </c:ext>
          </c:extLst>
        </c:ser>
        <c:ser>
          <c:idx val="1"/>
          <c:order val="1"/>
          <c:tx>
            <c:strRef>
              <c:f>VIÇOSA!$K$1</c:f>
              <c:strCache>
                <c:ptCount val="1"/>
                <c:pt idx="0">
                  <c:v>Prod 2019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VIÇOSA!$K$2:$K$10</c:f>
              <c:numCache>
                <c:formatCode>0.00</c:formatCode>
                <c:ptCount val="9"/>
                <c:pt idx="0">
                  <c:v>7.7319587628865982E-2</c:v>
                </c:pt>
                <c:pt idx="1">
                  <c:v>9.2783505154639179E-2</c:v>
                </c:pt>
                <c:pt idx="2">
                  <c:v>0.12371134020618557</c:v>
                </c:pt>
                <c:pt idx="3">
                  <c:v>0.22164948453608246</c:v>
                </c:pt>
                <c:pt idx="4">
                  <c:v>0.27835051546391754</c:v>
                </c:pt>
                <c:pt idx="5">
                  <c:v>0.30927835051546393</c:v>
                </c:pt>
                <c:pt idx="6">
                  <c:v>0.5</c:v>
                </c:pt>
                <c:pt idx="7">
                  <c:v>0.60824742268041243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FC3-42D2-93A7-7B1C59158ECE}"/>
            </c:ext>
          </c:extLst>
        </c:ser>
        <c:ser>
          <c:idx val="2"/>
          <c:order val="2"/>
          <c:tx>
            <c:strRef>
              <c:f>VIÇOSA!$L$1</c:f>
              <c:strCache>
                <c:ptCount val="1"/>
                <c:pt idx="0">
                  <c:v>Prod 2020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VIÇOSA!$L$2:$L$10</c:f>
              <c:numCache>
                <c:formatCode>0.00</c:formatCode>
                <c:ptCount val="9"/>
                <c:pt idx="0">
                  <c:v>3.7313432835820892E-2</c:v>
                </c:pt>
                <c:pt idx="1">
                  <c:v>8.2089552238805957E-2</c:v>
                </c:pt>
                <c:pt idx="2">
                  <c:v>0.14925373134328357</c:v>
                </c:pt>
                <c:pt idx="3">
                  <c:v>0.26119402985074625</c:v>
                </c:pt>
                <c:pt idx="4">
                  <c:v>0.30597014925373134</c:v>
                </c:pt>
                <c:pt idx="5">
                  <c:v>0.35820895522388058</c:v>
                </c:pt>
                <c:pt idx="6">
                  <c:v>0.45522388059701491</c:v>
                </c:pt>
                <c:pt idx="7">
                  <c:v>0.62686567164179108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FC3-42D2-93A7-7B1C59158ECE}"/>
            </c:ext>
          </c:extLst>
        </c:ser>
        <c:ser>
          <c:idx val="3"/>
          <c:order val="3"/>
          <c:tx>
            <c:strRef>
              <c:f>VIÇOSA!$M$1</c:f>
              <c:strCache>
                <c:ptCount val="1"/>
                <c:pt idx="0">
                  <c:v>Prod 2021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VIÇOSA!$M$2:$M$10</c:f>
              <c:numCache>
                <c:formatCode>0.00</c:formatCode>
                <c:ptCount val="9"/>
                <c:pt idx="0">
                  <c:v>5.4263565891472867E-2</c:v>
                </c:pt>
                <c:pt idx="1">
                  <c:v>0.20930232558139533</c:v>
                </c:pt>
                <c:pt idx="2">
                  <c:v>0.23255813953488369</c:v>
                </c:pt>
                <c:pt idx="3">
                  <c:v>0.31007751937984496</c:v>
                </c:pt>
                <c:pt idx="4">
                  <c:v>0.39534883720930231</c:v>
                </c:pt>
                <c:pt idx="5">
                  <c:v>0.44961240310077516</c:v>
                </c:pt>
                <c:pt idx="6">
                  <c:v>0.58139534883720922</c:v>
                </c:pt>
                <c:pt idx="7">
                  <c:v>0.64341085271317822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FC3-42D2-93A7-7B1C59158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4374016"/>
        <c:axId val="304374496"/>
      </c:scatterChart>
      <c:valAx>
        <c:axId val="30437401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74496"/>
        <c:crosses val="autoZero"/>
        <c:crossBetween val="midCat"/>
      </c:valAx>
      <c:valAx>
        <c:axId val="3043744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0437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VIÇOSA!$J$1</c:f>
              <c:strCache>
                <c:ptCount val="1"/>
                <c:pt idx="0">
                  <c:v>Pop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VIÇOSA!$J$2:$J$10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5F-41AE-9BA0-638BFC43C6C6}"/>
            </c:ext>
          </c:extLst>
        </c:ser>
        <c:ser>
          <c:idx val="1"/>
          <c:order val="1"/>
          <c:tx>
            <c:strRef>
              <c:f>VIÇOSA!$N$1</c:f>
              <c:strCache>
                <c:ptCount val="1"/>
                <c:pt idx="0">
                  <c:v>Prod 2022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VIÇOSA!$N$2:$N$10</c:f>
              <c:numCache>
                <c:formatCode>0.00</c:formatCode>
                <c:ptCount val="9"/>
                <c:pt idx="0">
                  <c:v>4.3103448275862072E-2</c:v>
                </c:pt>
                <c:pt idx="1">
                  <c:v>0.13793103448275862</c:v>
                </c:pt>
                <c:pt idx="2">
                  <c:v>0.16810344827586207</c:v>
                </c:pt>
                <c:pt idx="3">
                  <c:v>0.25</c:v>
                </c:pt>
                <c:pt idx="4">
                  <c:v>0.4181034482758621</c:v>
                </c:pt>
                <c:pt idx="5">
                  <c:v>0.50862068965517249</c:v>
                </c:pt>
                <c:pt idx="6">
                  <c:v>0.57327586206896564</c:v>
                </c:pt>
                <c:pt idx="7">
                  <c:v>0.7112068965517242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5F-41AE-9BA0-638BFC43C6C6}"/>
            </c:ext>
          </c:extLst>
        </c:ser>
        <c:ser>
          <c:idx val="2"/>
          <c:order val="2"/>
          <c:tx>
            <c:strRef>
              <c:f>VIÇOSA!$O$1</c:f>
              <c:strCache>
                <c:ptCount val="1"/>
                <c:pt idx="0">
                  <c:v>Prod 2023-1-2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VIÇOSA!$O$2:$O$10</c:f>
              <c:numCache>
                <c:formatCode>0.00</c:formatCode>
                <c:ptCount val="9"/>
                <c:pt idx="0">
                  <c:v>3.1055900621118012E-2</c:v>
                </c:pt>
                <c:pt idx="1">
                  <c:v>7.4534161490683232E-2</c:v>
                </c:pt>
                <c:pt idx="2">
                  <c:v>0.14906832298136646</c:v>
                </c:pt>
                <c:pt idx="3">
                  <c:v>0.26708074534161491</c:v>
                </c:pt>
                <c:pt idx="4">
                  <c:v>0.38509316770186336</c:v>
                </c:pt>
                <c:pt idx="5">
                  <c:v>0.49689440993788819</c:v>
                </c:pt>
                <c:pt idx="6">
                  <c:v>0.59627329192546585</c:v>
                </c:pt>
                <c:pt idx="7">
                  <c:v>0.72670807453416153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25F-41AE-9BA0-638BFC43C6C6}"/>
            </c:ext>
          </c:extLst>
        </c:ser>
        <c:ser>
          <c:idx val="3"/>
          <c:order val="3"/>
          <c:tx>
            <c:strRef>
              <c:f>VIÇOSA!$P$1</c:f>
              <c:strCache>
                <c:ptCount val="1"/>
                <c:pt idx="0">
                  <c:v>Prod 2023-3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VIÇOSA!$I$2:$I$10</c:f>
              <c:numCache>
                <c:formatCode>0.00</c:formatCode>
                <c:ptCount val="9"/>
                <c:pt idx="0">
                  <c:v>2.1223049953036831E-2</c:v>
                </c:pt>
                <c:pt idx="1">
                  <c:v>4.9623219163840507E-2</c:v>
                </c:pt>
                <c:pt idx="2">
                  <c:v>8.2124599379082383E-2</c:v>
                </c:pt>
                <c:pt idx="3">
                  <c:v>0.13194857712355973</c:v>
                </c:pt>
                <c:pt idx="4">
                  <c:v>0.19265653791827692</c:v>
                </c:pt>
                <c:pt idx="5">
                  <c:v>0.26146654143155207</c:v>
                </c:pt>
                <c:pt idx="6">
                  <c:v>0.34330434283829614</c:v>
                </c:pt>
                <c:pt idx="7">
                  <c:v>0.42704935076109013</c:v>
                </c:pt>
                <c:pt idx="8">
                  <c:v>1</c:v>
                </c:pt>
              </c:numCache>
            </c:numRef>
          </c:xVal>
          <c:yVal>
            <c:numRef>
              <c:f>VIÇOSA!$P$2:$P$10</c:f>
              <c:numCache>
                <c:formatCode>0.00</c:formatCode>
                <c:ptCount val="9"/>
                <c:pt idx="0">
                  <c:v>9.45945945945946E-2</c:v>
                </c:pt>
                <c:pt idx="1">
                  <c:v>0.14864864864864866</c:v>
                </c:pt>
                <c:pt idx="2">
                  <c:v>0.24324324324324326</c:v>
                </c:pt>
                <c:pt idx="3">
                  <c:v>0.31081081081081086</c:v>
                </c:pt>
                <c:pt idx="4">
                  <c:v>0.41891891891891897</c:v>
                </c:pt>
                <c:pt idx="5">
                  <c:v>0.5135135135135136</c:v>
                </c:pt>
                <c:pt idx="6">
                  <c:v>0.66216216216216228</c:v>
                </c:pt>
                <c:pt idx="7">
                  <c:v>0.78378378378378388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25F-41AE-9BA0-638BFC43C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4592592"/>
        <c:axId val="764594992"/>
      </c:scatterChart>
      <c:valAx>
        <c:axId val="7645925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94992"/>
        <c:crosses val="autoZero"/>
        <c:crossBetween val="midCat"/>
      </c:valAx>
      <c:valAx>
        <c:axId val="76459499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64592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114300</xdr:colOff>
      <xdr:row>0</xdr:row>
      <xdr:rowOff>64770</xdr:rowOff>
    </xdr:from>
    <xdr:to>
      <xdr:col>23</xdr:col>
      <xdr:colOff>419100</xdr:colOff>
      <xdr:row>14</xdr:row>
      <xdr:rowOff>72390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4BAF1D7-E8CF-42EE-B45E-9747A05C32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106680</xdr:colOff>
      <xdr:row>14</xdr:row>
      <xdr:rowOff>118110</xdr:rowOff>
    </xdr:from>
    <xdr:to>
      <xdr:col>23</xdr:col>
      <xdr:colOff>411480</xdr:colOff>
      <xdr:row>28</xdr:row>
      <xdr:rowOff>118110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3651110-575D-335F-8494-74988DE91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94075</xdr:colOff>
      <xdr:row>0</xdr:row>
      <xdr:rowOff>63030</xdr:rowOff>
    </xdr:from>
    <xdr:to>
      <xdr:col>23</xdr:col>
      <xdr:colOff>385705</xdr:colOff>
      <xdr:row>14</xdr:row>
      <xdr:rowOff>125119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31B5623-29D0-A77C-D74B-75D71D7ECB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84667</xdr:colOff>
      <xdr:row>14</xdr:row>
      <xdr:rowOff>166511</xdr:rowOff>
    </xdr:from>
    <xdr:to>
      <xdr:col>23</xdr:col>
      <xdr:colOff>376297</xdr:colOff>
      <xdr:row>29</xdr:row>
      <xdr:rowOff>40452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5E3698B-6708-A150-CE6A-B2642E08A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55563</xdr:colOff>
      <xdr:row>0</xdr:row>
      <xdr:rowOff>76993</xdr:rowOff>
    </xdr:from>
    <xdr:to>
      <xdr:col>23</xdr:col>
      <xdr:colOff>349250</xdr:colOff>
      <xdr:row>13</xdr:row>
      <xdr:rowOff>89693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20739C8A-3BFF-608C-3D2E-821B84631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31751</xdr:colOff>
      <xdr:row>13</xdr:row>
      <xdr:rowOff>124618</xdr:rowOff>
    </xdr:from>
    <xdr:to>
      <xdr:col>23</xdr:col>
      <xdr:colOff>325438</xdr:colOff>
      <xdr:row>28</xdr:row>
      <xdr:rowOff>129380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2F3C1B6-AE05-49D0-6900-7CFFDB3B1D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A88BC-50C5-48D8-AA18-CBA3B1D54160}">
  <dimension ref="A1:P52"/>
  <sheetViews>
    <sheetView tabSelected="1" workbookViewId="0"/>
  </sheetViews>
  <sheetFormatPr defaultRowHeight="14.4" x14ac:dyDescent="0.3"/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8" t="s">
        <v>20</v>
      </c>
      <c r="B2" s="16">
        <v>8.0780486687398699E-3</v>
      </c>
      <c r="C2" s="16">
        <v>4.0567951318458417E-3</v>
      </c>
      <c r="D2" s="16">
        <v>3.1746031746031746E-3</v>
      </c>
      <c r="E2" s="16">
        <v>1.7751479289940829E-2</v>
      </c>
      <c r="F2" s="16">
        <v>2.8571428571428571E-2</v>
      </c>
      <c r="G2" s="16">
        <v>1.7094017094017096E-2</v>
      </c>
      <c r="H2" s="16">
        <v>2.5316455696202531E-2</v>
      </c>
      <c r="I2" s="9">
        <v>8.0780486687398699E-3</v>
      </c>
      <c r="J2" s="17">
        <v>8.0780486687398699E-3</v>
      </c>
      <c r="K2" s="17">
        <v>4.0567951318458417E-3</v>
      </c>
      <c r="L2" s="17">
        <v>3.1746031746031746E-3</v>
      </c>
      <c r="M2" s="17">
        <v>1.7751479289940829E-2</v>
      </c>
      <c r="N2" s="17">
        <v>2.8571428571428571E-2</v>
      </c>
      <c r="O2" s="17">
        <v>1.7094017094017096E-2</v>
      </c>
      <c r="P2" s="17">
        <v>2.5316455696202531E-2</v>
      </c>
    </row>
    <row r="3" spans="1:16" x14ac:dyDescent="0.3">
      <c r="A3" s="8" t="s">
        <v>22</v>
      </c>
      <c r="B3" s="16">
        <v>8.8569317732762921E-3</v>
      </c>
      <c r="C3" s="16">
        <v>4.0567951318458417E-3</v>
      </c>
      <c r="D3" s="16">
        <v>6.3492063492063492E-3</v>
      </c>
      <c r="E3" s="16">
        <v>1.1834319526627219E-2</v>
      </c>
      <c r="F3" s="16">
        <v>2.0779220779220779E-2</v>
      </c>
      <c r="G3" s="16">
        <v>1.282051282051282E-2</v>
      </c>
      <c r="H3" s="16">
        <v>0</v>
      </c>
      <c r="I3" s="9">
        <v>1.6934980442016162E-2</v>
      </c>
      <c r="J3" s="9">
        <f>J2+B3</f>
        <v>1.6934980442016162E-2</v>
      </c>
      <c r="K3" s="9">
        <f t="shared" ref="K3:P18" si="0">K2+C3</f>
        <v>8.1135902636916835E-3</v>
      </c>
      <c r="L3" s="9">
        <f t="shared" si="0"/>
        <v>9.5238095238095247E-3</v>
      </c>
      <c r="M3" s="9">
        <f t="shared" si="0"/>
        <v>2.9585798816568046E-2</v>
      </c>
      <c r="N3" s="9">
        <f t="shared" si="0"/>
        <v>4.9350649350649353E-2</v>
      </c>
      <c r="O3" s="9">
        <f t="shared" si="0"/>
        <v>2.9914529914529916E-2</v>
      </c>
      <c r="P3" s="9">
        <f t="shared" si="0"/>
        <v>2.5316455696202531E-2</v>
      </c>
    </row>
    <row r="4" spans="1:16" x14ac:dyDescent="0.3">
      <c r="A4" s="8" t="s">
        <v>6</v>
      </c>
      <c r="B4" s="16">
        <v>1.3117880521622596E-2</v>
      </c>
      <c r="C4" s="16">
        <v>1.4198782961460446E-2</v>
      </c>
      <c r="D4" s="16">
        <v>3.8095238095238099E-2</v>
      </c>
      <c r="E4" s="16">
        <v>5.9171597633136093E-3</v>
      </c>
      <c r="F4" s="16">
        <v>5.1948051948051948E-3</v>
      </c>
      <c r="G4" s="16">
        <v>4.2735042735042739E-3</v>
      </c>
      <c r="H4" s="16">
        <v>1.8987341772151899E-2</v>
      </c>
      <c r="I4" s="9">
        <v>3.005286096363876E-2</v>
      </c>
      <c r="J4" s="9">
        <f t="shared" ref="J4:P19" si="1">J3+B4</f>
        <v>3.005286096363876E-2</v>
      </c>
      <c r="K4" s="9">
        <f t="shared" si="0"/>
        <v>2.231237322515213E-2</v>
      </c>
      <c r="L4" s="9">
        <f t="shared" si="0"/>
        <v>4.7619047619047623E-2</v>
      </c>
      <c r="M4" s="9">
        <f t="shared" si="0"/>
        <v>3.5502958579881658E-2</v>
      </c>
      <c r="N4" s="9">
        <f t="shared" si="0"/>
        <v>5.454545454545455E-2</v>
      </c>
      <c r="O4" s="9">
        <f t="shared" si="0"/>
        <v>3.4188034188034191E-2</v>
      </c>
      <c r="P4" s="9">
        <f t="shared" si="0"/>
        <v>4.4303797468354431E-2</v>
      </c>
    </row>
    <row r="5" spans="1:16" x14ac:dyDescent="0.3">
      <c r="A5" s="8" t="s">
        <v>5</v>
      </c>
      <c r="B5" s="16">
        <v>1.6307865001231322E-2</v>
      </c>
      <c r="C5" s="16">
        <v>3.6511156186612576E-2</v>
      </c>
      <c r="D5" s="16">
        <v>1.2698412698412698E-2</v>
      </c>
      <c r="E5" s="16">
        <v>2.0710059171597635E-2</v>
      </c>
      <c r="F5" s="16">
        <v>2.0779220779220779E-2</v>
      </c>
      <c r="G5" s="16">
        <v>2.9914529914529916E-2</v>
      </c>
      <c r="H5" s="16">
        <v>6.3291139240506328E-3</v>
      </c>
      <c r="I5" s="9">
        <v>4.6360725964870078E-2</v>
      </c>
      <c r="J5" s="9">
        <f t="shared" si="1"/>
        <v>4.6360725964870078E-2</v>
      </c>
      <c r="K5" s="9">
        <f t="shared" si="0"/>
        <v>5.8823529411764705E-2</v>
      </c>
      <c r="L5" s="9">
        <f t="shared" si="0"/>
        <v>6.0317460317460325E-2</v>
      </c>
      <c r="M5" s="9">
        <f t="shared" si="0"/>
        <v>5.6213017751479293E-2</v>
      </c>
      <c r="N5" s="9">
        <f t="shared" si="0"/>
        <v>7.5324675324675322E-2</v>
      </c>
      <c r="O5" s="9">
        <f t="shared" si="0"/>
        <v>6.4102564102564111E-2</v>
      </c>
      <c r="P5" s="9">
        <f t="shared" si="0"/>
        <v>5.0632911392405063E-2</v>
      </c>
    </row>
    <row r="6" spans="1:16" x14ac:dyDescent="0.3">
      <c r="A6" s="8" t="s">
        <v>2</v>
      </c>
      <c r="B6" s="16">
        <v>1.7003705421828198E-2</v>
      </c>
      <c r="C6" s="16">
        <v>2.0283975659229209E-2</v>
      </c>
      <c r="D6" s="16">
        <v>6.3492063492063492E-3</v>
      </c>
      <c r="E6" s="16">
        <v>8.8757396449704144E-3</v>
      </c>
      <c r="F6" s="16">
        <v>5.1948051948051948E-3</v>
      </c>
      <c r="G6" s="16">
        <v>1.282051282051282E-2</v>
      </c>
      <c r="H6" s="16">
        <v>6.3291139240506328E-3</v>
      </c>
      <c r="I6" s="9">
        <v>6.3364431386698283E-2</v>
      </c>
      <c r="J6" s="9">
        <f t="shared" si="1"/>
        <v>6.3364431386698283E-2</v>
      </c>
      <c r="K6" s="9">
        <f t="shared" si="0"/>
        <v>7.9107505070993914E-2</v>
      </c>
      <c r="L6" s="9">
        <f t="shared" si="0"/>
        <v>6.666666666666668E-2</v>
      </c>
      <c r="M6" s="9">
        <f t="shared" si="0"/>
        <v>6.5088757396449703E-2</v>
      </c>
      <c r="N6" s="9">
        <f t="shared" si="0"/>
        <v>8.0519480519480519E-2</v>
      </c>
      <c r="O6" s="9">
        <f t="shared" si="0"/>
        <v>7.6923076923076927E-2</v>
      </c>
      <c r="P6" s="9">
        <f t="shared" si="0"/>
        <v>5.6962025316455694E-2</v>
      </c>
    </row>
    <row r="7" spans="1:16" x14ac:dyDescent="0.3">
      <c r="A7" s="8" t="s">
        <v>10</v>
      </c>
      <c r="B7" s="16">
        <v>1.7894266618559182E-2</v>
      </c>
      <c r="C7" s="16">
        <v>1.8255578093306288E-2</v>
      </c>
      <c r="D7" s="16">
        <v>1.9047619047619049E-2</v>
      </c>
      <c r="E7" s="16">
        <v>3.2544378698224852E-2</v>
      </c>
      <c r="F7" s="16">
        <v>4.6753246753246755E-2</v>
      </c>
      <c r="G7" s="16">
        <v>3.8461538461538464E-2</v>
      </c>
      <c r="H7" s="16">
        <v>3.1645569620253167E-2</v>
      </c>
      <c r="I7" s="9">
        <v>8.1258698005257465E-2</v>
      </c>
      <c r="J7" s="9">
        <f t="shared" si="1"/>
        <v>8.1258698005257465E-2</v>
      </c>
      <c r="K7" s="9">
        <f t="shared" si="0"/>
        <v>9.7363083164300201E-2</v>
      </c>
      <c r="L7" s="9">
        <f t="shared" si="0"/>
        <v>8.5714285714285729E-2</v>
      </c>
      <c r="M7" s="9">
        <f t="shared" si="0"/>
        <v>9.7633136094674555E-2</v>
      </c>
      <c r="N7" s="9">
        <f t="shared" si="0"/>
        <v>0.12727272727272726</v>
      </c>
      <c r="O7" s="9">
        <f t="shared" si="0"/>
        <v>0.11538461538461539</v>
      </c>
      <c r="P7" s="9">
        <f t="shared" si="0"/>
        <v>8.8607594936708861E-2</v>
      </c>
    </row>
    <row r="8" spans="1:16" x14ac:dyDescent="0.3">
      <c r="A8" s="8" t="s">
        <v>16</v>
      </c>
      <c r="B8" s="16">
        <v>2.0752080362409726E-2</v>
      </c>
      <c r="C8" s="16">
        <v>1.8255578093306288E-2</v>
      </c>
      <c r="D8" s="16">
        <v>3.1746031746031744E-2</v>
      </c>
      <c r="E8" s="16">
        <v>5.9171597633136093E-3</v>
      </c>
      <c r="F8" s="16">
        <v>1.5584415584415584E-2</v>
      </c>
      <c r="G8" s="16">
        <v>1.282051282051282E-2</v>
      </c>
      <c r="H8" s="16">
        <v>3.1645569620253167E-2</v>
      </c>
      <c r="I8" s="9">
        <v>0.1020107783676672</v>
      </c>
      <c r="J8" s="9">
        <f t="shared" si="1"/>
        <v>0.1020107783676672</v>
      </c>
      <c r="K8" s="9">
        <f t="shared" si="0"/>
        <v>0.11561866125760649</v>
      </c>
      <c r="L8" s="9">
        <f t="shared" si="0"/>
        <v>0.11746031746031747</v>
      </c>
      <c r="M8" s="9">
        <f t="shared" si="0"/>
        <v>0.10355029585798817</v>
      </c>
      <c r="N8" s="9">
        <f t="shared" si="0"/>
        <v>0.14285714285714285</v>
      </c>
      <c r="O8" s="9">
        <f t="shared" si="0"/>
        <v>0.12820512820512822</v>
      </c>
      <c r="P8" s="9">
        <f t="shared" si="0"/>
        <v>0.12025316455696203</v>
      </c>
    </row>
    <row r="9" spans="1:16" x14ac:dyDescent="0.3">
      <c r="A9" s="8" t="s">
        <v>7</v>
      </c>
      <c r="B9" s="16">
        <v>2.2616245439811236E-2</v>
      </c>
      <c r="C9" s="16">
        <v>2.8397565922920892E-2</v>
      </c>
      <c r="D9" s="16">
        <v>1.2698412698412698E-2</v>
      </c>
      <c r="E9" s="16">
        <v>2.0710059171597635E-2</v>
      </c>
      <c r="F9" s="16">
        <v>0</v>
      </c>
      <c r="G9" s="16">
        <v>1.282051282051282E-2</v>
      </c>
      <c r="H9" s="16">
        <v>1.2658227848101266E-2</v>
      </c>
      <c r="I9" s="9">
        <v>0.12462702380747843</v>
      </c>
      <c r="J9" s="9">
        <f t="shared" si="1"/>
        <v>0.12462702380747843</v>
      </c>
      <c r="K9" s="9">
        <f t="shared" si="0"/>
        <v>0.14401622718052737</v>
      </c>
      <c r="L9" s="9">
        <f t="shared" si="0"/>
        <v>0.13015873015873017</v>
      </c>
      <c r="M9" s="9">
        <f t="shared" si="0"/>
        <v>0.1242603550295858</v>
      </c>
      <c r="N9" s="9">
        <f t="shared" si="0"/>
        <v>0.14285714285714285</v>
      </c>
      <c r="O9" s="9">
        <f t="shared" si="0"/>
        <v>0.14102564102564105</v>
      </c>
      <c r="P9" s="9">
        <f t="shared" si="0"/>
        <v>0.13291139240506331</v>
      </c>
    </row>
    <row r="10" spans="1:16" x14ac:dyDescent="0.3">
      <c r="A10" s="8" t="s">
        <v>3</v>
      </c>
      <c r="B10" s="16">
        <v>2.3727299280105838E-2</v>
      </c>
      <c r="C10" s="16">
        <v>1.6227180527383367E-2</v>
      </c>
      <c r="D10" s="16">
        <v>9.5238095238095247E-3</v>
      </c>
      <c r="E10" s="16">
        <v>8.8757396449704144E-3</v>
      </c>
      <c r="F10" s="16">
        <v>5.1948051948051948E-3</v>
      </c>
      <c r="G10" s="16">
        <v>4.2735042735042739E-3</v>
      </c>
      <c r="H10" s="16">
        <v>1.2658227848101266E-2</v>
      </c>
      <c r="I10" s="9">
        <v>0.14835432308758428</v>
      </c>
      <c r="J10" s="9">
        <f t="shared" si="1"/>
        <v>0.14835432308758428</v>
      </c>
      <c r="K10" s="9">
        <f t="shared" si="0"/>
        <v>0.16024340770791073</v>
      </c>
      <c r="L10" s="9">
        <f t="shared" si="0"/>
        <v>0.13968253968253969</v>
      </c>
      <c r="M10" s="9">
        <f t="shared" si="0"/>
        <v>0.1331360946745562</v>
      </c>
      <c r="N10" s="9">
        <f t="shared" si="0"/>
        <v>0.14805194805194805</v>
      </c>
      <c r="O10" s="9">
        <f t="shared" si="0"/>
        <v>0.14529914529914534</v>
      </c>
      <c r="P10" s="9">
        <f t="shared" si="0"/>
        <v>0.14556962025316458</v>
      </c>
    </row>
    <row r="11" spans="1:16" x14ac:dyDescent="0.3">
      <c r="A11" s="8" t="s">
        <v>15</v>
      </c>
      <c r="B11" s="16">
        <v>2.3733026361756841E-2</v>
      </c>
      <c r="C11" s="16">
        <v>1.6227180527383367E-2</v>
      </c>
      <c r="D11" s="16">
        <v>1.5873015873015872E-2</v>
      </c>
      <c r="E11" s="16">
        <v>1.4792899408284023E-2</v>
      </c>
      <c r="F11" s="16">
        <v>2.3376623376623377E-2</v>
      </c>
      <c r="G11" s="16">
        <v>1.7094017094017096E-2</v>
      </c>
      <c r="H11" s="16">
        <v>6.3291139240506328E-3</v>
      </c>
      <c r="I11" s="9">
        <v>0.17208734944934112</v>
      </c>
      <c r="J11" s="9">
        <f t="shared" si="1"/>
        <v>0.17208734944934112</v>
      </c>
      <c r="K11" s="9">
        <f t="shared" si="0"/>
        <v>0.1764705882352941</v>
      </c>
      <c r="L11" s="9">
        <f t="shared" si="0"/>
        <v>0.15555555555555556</v>
      </c>
      <c r="M11" s="9">
        <f t="shared" si="0"/>
        <v>0.14792899408284022</v>
      </c>
      <c r="N11" s="9">
        <f t="shared" si="0"/>
        <v>0.17142857142857143</v>
      </c>
      <c r="O11" s="9">
        <f t="shared" si="0"/>
        <v>0.16239316239316243</v>
      </c>
      <c r="P11" s="9">
        <f t="shared" si="0"/>
        <v>0.15189873417721522</v>
      </c>
    </row>
    <row r="12" spans="1:16" x14ac:dyDescent="0.3">
      <c r="A12" s="8" t="s">
        <v>12</v>
      </c>
      <c r="B12" s="16">
        <v>2.4740992732333385E-2</v>
      </c>
      <c r="C12" s="16">
        <v>2.0283975659229209E-2</v>
      </c>
      <c r="D12" s="16">
        <v>4.1269841269841269E-2</v>
      </c>
      <c r="E12" s="16">
        <v>4.4378698224852069E-2</v>
      </c>
      <c r="F12" s="16">
        <v>3.3766233766233764E-2</v>
      </c>
      <c r="G12" s="16">
        <v>2.1367521367521368E-2</v>
      </c>
      <c r="H12" s="16">
        <v>2.5316455696202531E-2</v>
      </c>
      <c r="I12" s="9">
        <v>0.1968283421816745</v>
      </c>
      <c r="J12" s="9">
        <f t="shared" si="1"/>
        <v>0.1968283421816745</v>
      </c>
      <c r="K12" s="9">
        <f t="shared" si="0"/>
        <v>0.19675456389452331</v>
      </c>
      <c r="L12" s="9">
        <f t="shared" si="0"/>
        <v>0.19682539682539682</v>
      </c>
      <c r="M12" s="9">
        <f t="shared" si="0"/>
        <v>0.19230769230769229</v>
      </c>
      <c r="N12" s="9">
        <f t="shared" si="0"/>
        <v>0.20519480519480521</v>
      </c>
      <c r="O12" s="9">
        <f t="shared" si="0"/>
        <v>0.1837606837606838</v>
      </c>
      <c r="P12" s="9">
        <f t="shared" si="0"/>
        <v>0.17721518987341775</v>
      </c>
    </row>
    <row r="13" spans="1:16" x14ac:dyDescent="0.3">
      <c r="A13" s="8" t="s">
        <v>18</v>
      </c>
      <c r="B13" s="16">
        <v>2.4798263548843416E-2</v>
      </c>
      <c r="C13" s="16">
        <v>8.1135902636916835E-3</v>
      </c>
      <c r="D13" s="16">
        <v>1.9047619047619049E-2</v>
      </c>
      <c r="E13" s="16">
        <v>4.4378698224852069E-2</v>
      </c>
      <c r="F13" s="16">
        <v>4.1558441558441558E-2</v>
      </c>
      <c r="G13" s="16">
        <v>8.11965811965812E-2</v>
      </c>
      <c r="H13" s="16">
        <v>4.4303797468354431E-2</v>
      </c>
      <c r="I13" s="9">
        <v>0.2216266057305179</v>
      </c>
      <c r="J13" s="9">
        <f t="shared" si="1"/>
        <v>0.2216266057305179</v>
      </c>
      <c r="K13" s="9">
        <f t="shared" si="0"/>
        <v>0.20486815415821499</v>
      </c>
      <c r="L13" s="9">
        <f t="shared" si="0"/>
        <v>0.21587301587301588</v>
      </c>
      <c r="M13" s="9">
        <f t="shared" si="0"/>
        <v>0.23668639053254437</v>
      </c>
      <c r="N13" s="9">
        <f t="shared" si="0"/>
        <v>0.24675324675324678</v>
      </c>
      <c r="O13" s="9">
        <f t="shared" si="0"/>
        <v>0.26495726495726502</v>
      </c>
      <c r="P13" s="9">
        <f t="shared" si="0"/>
        <v>0.22151898734177217</v>
      </c>
    </row>
    <row r="14" spans="1:16" x14ac:dyDescent="0.3">
      <c r="A14" s="8" t="s">
        <v>4</v>
      </c>
      <c r="B14" s="16">
        <v>2.6682473412023434E-2</v>
      </c>
      <c r="C14" s="16">
        <v>3.2454361054766734E-2</v>
      </c>
      <c r="D14" s="16">
        <v>3.4920634920634921E-2</v>
      </c>
      <c r="E14" s="16">
        <v>4.7337278106508875E-2</v>
      </c>
      <c r="F14" s="16">
        <v>4.1558441558441558E-2</v>
      </c>
      <c r="G14" s="16">
        <v>2.1367521367521368E-2</v>
      </c>
      <c r="H14" s="16">
        <v>5.0632911392405063E-2</v>
      </c>
      <c r="I14" s="9">
        <v>0.24830907914254133</v>
      </c>
      <c r="J14" s="9">
        <f t="shared" si="1"/>
        <v>0.24830907914254133</v>
      </c>
      <c r="K14" s="9">
        <f t="shared" si="0"/>
        <v>0.23732251521298173</v>
      </c>
      <c r="L14" s="9">
        <f t="shared" si="0"/>
        <v>0.25079365079365079</v>
      </c>
      <c r="M14" s="9">
        <f t="shared" si="0"/>
        <v>0.28402366863905326</v>
      </c>
      <c r="N14" s="9">
        <f t="shared" si="0"/>
        <v>0.28831168831168835</v>
      </c>
      <c r="O14" s="9">
        <f t="shared" si="0"/>
        <v>0.28632478632478636</v>
      </c>
      <c r="P14" s="9">
        <f t="shared" si="0"/>
        <v>0.27215189873417722</v>
      </c>
    </row>
    <row r="15" spans="1:16" x14ac:dyDescent="0.3">
      <c r="A15" s="8" t="s">
        <v>19</v>
      </c>
      <c r="B15" s="16">
        <v>3.3746828628535758E-2</v>
      </c>
      <c r="C15" s="16">
        <v>2.8397565922920892E-2</v>
      </c>
      <c r="D15" s="16">
        <v>1.5873015873015872E-2</v>
      </c>
      <c r="E15" s="16">
        <v>3.2544378698224852E-2</v>
      </c>
      <c r="F15" s="16">
        <v>2.3376623376623377E-2</v>
      </c>
      <c r="G15" s="16">
        <v>3.4188034188034191E-2</v>
      </c>
      <c r="H15" s="16">
        <v>0</v>
      </c>
      <c r="I15" s="9">
        <v>0.28205590777107709</v>
      </c>
      <c r="J15" s="9">
        <f t="shared" si="1"/>
        <v>0.28205590777107709</v>
      </c>
      <c r="K15" s="9">
        <f t="shared" si="0"/>
        <v>0.26572008113590262</v>
      </c>
      <c r="L15" s="9">
        <f t="shared" si="0"/>
        <v>0.26666666666666666</v>
      </c>
      <c r="M15" s="9">
        <f t="shared" si="0"/>
        <v>0.31656804733727811</v>
      </c>
      <c r="N15" s="9">
        <f t="shared" si="0"/>
        <v>0.31168831168831174</v>
      </c>
      <c r="O15" s="9">
        <f t="shared" si="0"/>
        <v>0.32051282051282054</v>
      </c>
      <c r="P15" s="9">
        <f t="shared" si="0"/>
        <v>0.27215189873417722</v>
      </c>
    </row>
    <row r="16" spans="1:16" x14ac:dyDescent="0.3">
      <c r="A16" s="8" t="s">
        <v>1</v>
      </c>
      <c r="B16" s="16">
        <v>3.8468807449787812E-2</v>
      </c>
      <c r="C16" s="16">
        <v>9.330628803245436E-2</v>
      </c>
      <c r="D16" s="16">
        <v>6.3492063492063489E-2</v>
      </c>
      <c r="E16" s="16">
        <v>6.5088757396449703E-2</v>
      </c>
      <c r="F16" s="16">
        <v>0.13246753246753246</v>
      </c>
      <c r="G16" s="16">
        <v>0.12393162393162394</v>
      </c>
      <c r="H16" s="16">
        <v>8.8607594936708861E-2</v>
      </c>
      <c r="I16" s="9">
        <v>0.3205247152208649</v>
      </c>
      <c r="J16" s="9">
        <f t="shared" si="1"/>
        <v>0.3205247152208649</v>
      </c>
      <c r="K16" s="9">
        <f t="shared" si="0"/>
        <v>0.35902636916835695</v>
      </c>
      <c r="L16" s="9">
        <f t="shared" si="0"/>
        <v>0.33015873015873015</v>
      </c>
      <c r="M16" s="9">
        <f t="shared" si="0"/>
        <v>0.38165680473372782</v>
      </c>
      <c r="N16" s="9">
        <f t="shared" si="0"/>
        <v>0.44415584415584419</v>
      </c>
      <c r="O16" s="9">
        <f t="shared" si="0"/>
        <v>0.44444444444444448</v>
      </c>
      <c r="P16" s="9">
        <f t="shared" si="0"/>
        <v>0.36075949367088611</v>
      </c>
    </row>
    <row r="17" spans="1:16" x14ac:dyDescent="0.3">
      <c r="A17" s="8" t="s">
        <v>17</v>
      </c>
      <c r="B17" s="16">
        <v>4.6942024752446895E-2</v>
      </c>
      <c r="C17" s="16">
        <v>0.10547667342799188</v>
      </c>
      <c r="D17" s="16">
        <v>9.5238095238095233E-2</v>
      </c>
      <c r="E17" s="16">
        <v>0.10650887573964497</v>
      </c>
      <c r="F17" s="16">
        <v>0.1012987012987013</v>
      </c>
      <c r="G17" s="16">
        <v>4.2735042735042736E-2</v>
      </c>
      <c r="H17" s="16">
        <v>8.8607594936708861E-2</v>
      </c>
      <c r="I17" s="9">
        <v>0.36746673997331181</v>
      </c>
      <c r="J17" s="9">
        <f t="shared" si="1"/>
        <v>0.36746673997331181</v>
      </c>
      <c r="K17" s="9">
        <f t="shared" si="0"/>
        <v>0.46450304259634884</v>
      </c>
      <c r="L17" s="9">
        <f t="shared" si="0"/>
        <v>0.42539682539682538</v>
      </c>
      <c r="M17" s="9">
        <f t="shared" si="0"/>
        <v>0.48816568047337278</v>
      </c>
      <c r="N17" s="9">
        <f t="shared" si="0"/>
        <v>0.54545454545454553</v>
      </c>
      <c r="O17" s="9">
        <f t="shared" si="0"/>
        <v>0.48717948717948723</v>
      </c>
      <c r="P17" s="9">
        <f t="shared" si="0"/>
        <v>0.449367088607595</v>
      </c>
    </row>
    <row r="18" spans="1:16" x14ac:dyDescent="0.3">
      <c r="A18" s="8" t="s">
        <v>13</v>
      </c>
      <c r="B18" s="16">
        <v>5.4687902685428585E-2</v>
      </c>
      <c r="C18" s="16">
        <v>4.4624746450304259E-2</v>
      </c>
      <c r="D18" s="16">
        <v>0.13333333333333333</v>
      </c>
      <c r="E18" s="16">
        <v>0.10355029585798817</v>
      </c>
      <c r="F18" s="16">
        <v>7.5324675324675322E-2</v>
      </c>
      <c r="G18" s="16">
        <v>8.11965811965812E-2</v>
      </c>
      <c r="H18" s="16">
        <v>8.8607594936708861E-2</v>
      </c>
      <c r="I18" s="9">
        <v>0.42215464265874036</v>
      </c>
      <c r="J18" s="9">
        <f t="shared" si="1"/>
        <v>0.42215464265874036</v>
      </c>
      <c r="K18" s="9">
        <f t="shared" si="0"/>
        <v>0.50912778904665312</v>
      </c>
      <c r="L18" s="9">
        <f t="shared" si="0"/>
        <v>0.55873015873015874</v>
      </c>
      <c r="M18" s="9">
        <f t="shared" si="0"/>
        <v>0.59171597633136097</v>
      </c>
      <c r="N18" s="9">
        <f t="shared" si="0"/>
        <v>0.62077922077922087</v>
      </c>
      <c r="O18" s="9">
        <f t="shared" si="0"/>
        <v>0.56837606837606847</v>
      </c>
      <c r="P18" s="9">
        <f t="shared" si="0"/>
        <v>0.53797468354430389</v>
      </c>
    </row>
    <row r="19" spans="1:16" x14ac:dyDescent="0.3">
      <c r="A19" s="8" t="s">
        <v>21</v>
      </c>
      <c r="B19" s="16">
        <v>5.6795468732997727E-2</v>
      </c>
      <c r="C19" s="16">
        <v>4.4624746450304259E-2</v>
      </c>
      <c r="D19" s="16">
        <v>3.1746031746031744E-2</v>
      </c>
      <c r="E19" s="16">
        <v>4.7337278106508875E-2</v>
      </c>
      <c r="F19" s="16">
        <v>4.1558441558441558E-2</v>
      </c>
      <c r="G19" s="16">
        <v>8.11965811965812E-2</v>
      </c>
      <c r="H19" s="16">
        <v>0.11392405063291139</v>
      </c>
      <c r="I19" s="9">
        <v>0.4789501113917381</v>
      </c>
      <c r="J19" s="9">
        <f t="shared" si="1"/>
        <v>0.4789501113917381</v>
      </c>
      <c r="K19" s="9">
        <f t="shared" si="1"/>
        <v>0.55375253549695735</v>
      </c>
      <c r="L19" s="9">
        <f t="shared" si="1"/>
        <v>0.59047619047619049</v>
      </c>
      <c r="M19" s="9">
        <f t="shared" si="1"/>
        <v>0.63905325443786987</v>
      </c>
      <c r="N19" s="9">
        <f t="shared" si="1"/>
        <v>0.66233766233766245</v>
      </c>
      <c r="O19" s="9">
        <f t="shared" si="1"/>
        <v>0.64957264957264971</v>
      </c>
      <c r="P19" s="9">
        <f t="shared" si="1"/>
        <v>0.65189873417721533</v>
      </c>
    </row>
    <row r="20" spans="1:16" x14ac:dyDescent="0.3">
      <c r="A20" s="8" t="s">
        <v>9</v>
      </c>
      <c r="B20" s="16">
        <v>5.7024551999037852E-2</v>
      </c>
      <c r="C20" s="16">
        <v>3.2454361054766734E-2</v>
      </c>
      <c r="D20" s="16">
        <v>3.4920634920634921E-2</v>
      </c>
      <c r="E20" s="16">
        <v>3.5502958579881658E-2</v>
      </c>
      <c r="F20" s="16">
        <v>7.2727272727272724E-2</v>
      </c>
      <c r="G20" s="16">
        <v>4.2735042735042736E-2</v>
      </c>
      <c r="H20" s="16">
        <v>3.7974683544303799E-2</v>
      </c>
      <c r="I20" s="9">
        <v>0.53597466339077593</v>
      </c>
      <c r="J20" s="9">
        <f t="shared" ref="J20:P24" si="2">J19+B20</f>
        <v>0.53597466339077593</v>
      </c>
      <c r="K20" s="9">
        <f t="shared" si="2"/>
        <v>0.58620689655172409</v>
      </c>
      <c r="L20" s="9">
        <f t="shared" si="2"/>
        <v>0.6253968253968254</v>
      </c>
      <c r="M20" s="9">
        <f t="shared" si="2"/>
        <v>0.67455621301775148</v>
      </c>
      <c r="N20" s="9">
        <f t="shared" si="2"/>
        <v>0.7350649350649352</v>
      </c>
      <c r="O20" s="9">
        <f t="shared" si="2"/>
        <v>0.6923076923076924</v>
      </c>
      <c r="P20" s="9">
        <f t="shared" si="2"/>
        <v>0.68987341772151911</v>
      </c>
    </row>
    <row r="21" spans="1:16" x14ac:dyDescent="0.3">
      <c r="A21" s="8" t="s">
        <v>8</v>
      </c>
      <c r="B21" s="16">
        <v>5.7651667439822689E-2</v>
      </c>
      <c r="C21" s="16">
        <v>2.8397565922920892E-2</v>
      </c>
      <c r="D21" s="16">
        <v>5.0793650793650794E-2</v>
      </c>
      <c r="E21" s="16">
        <v>2.6627218934911243E-2</v>
      </c>
      <c r="F21" s="16">
        <v>4.1558441558441558E-2</v>
      </c>
      <c r="G21" s="16">
        <v>7.2649572649572655E-2</v>
      </c>
      <c r="H21" s="16">
        <v>0.10759493670886076</v>
      </c>
      <c r="I21" s="9">
        <v>0.59362633083059857</v>
      </c>
      <c r="J21" s="9">
        <f t="shared" si="2"/>
        <v>0.59362633083059857</v>
      </c>
      <c r="K21" s="9">
        <f t="shared" si="2"/>
        <v>0.61460446247464495</v>
      </c>
      <c r="L21" s="9">
        <f t="shared" si="2"/>
        <v>0.67619047619047623</v>
      </c>
      <c r="M21" s="9">
        <f t="shared" si="2"/>
        <v>0.70118343195266275</v>
      </c>
      <c r="N21" s="9">
        <f t="shared" si="2"/>
        <v>0.77662337662337677</v>
      </c>
      <c r="O21" s="9">
        <f t="shared" si="2"/>
        <v>0.76495726495726502</v>
      </c>
      <c r="P21" s="9">
        <f t="shared" si="2"/>
        <v>0.79746835443037989</v>
      </c>
    </row>
    <row r="22" spans="1:16" x14ac:dyDescent="0.3">
      <c r="A22" s="8" t="s">
        <v>11</v>
      </c>
      <c r="B22" s="16">
        <v>6.5557903659032468E-2</v>
      </c>
      <c r="C22" s="16">
        <v>5.2738336713995942E-2</v>
      </c>
      <c r="D22" s="16">
        <v>5.0793650793650794E-2</v>
      </c>
      <c r="E22" s="16">
        <v>3.8461538461538464E-2</v>
      </c>
      <c r="F22" s="16">
        <v>5.4545454545454543E-2</v>
      </c>
      <c r="G22" s="16">
        <v>5.5555555555555552E-2</v>
      </c>
      <c r="H22" s="16">
        <v>1.8987341772151899E-2</v>
      </c>
      <c r="I22" s="9">
        <v>0.65918423448963104</v>
      </c>
      <c r="J22" s="9">
        <f t="shared" si="2"/>
        <v>0.65918423448963104</v>
      </c>
      <c r="K22" s="9">
        <f t="shared" si="2"/>
        <v>0.66734279918864092</v>
      </c>
      <c r="L22" s="9">
        <f t="shared" si="2"/>
        <v>0.72698412698412707</v>
      </c>
      <c r="M22" s="9">
        <f t="shared" si="2"/>
        <v>0.73964497041420119</v>
      </c>
      <c r="N22" s="9">
        <f t="shared" si="2"/>
        <v>0.83116883116883133</v>
      </c>
      <c r="O22" s="9">
        <f t="shared" si="2"/>
        <v>0.8205128205128206</v>
      </c>
      <c r="P22" s="9">
        <f t="shared" si="2"/>
        <v>0.81645569620253178</v>
      </c>
    </row>
    <row r="23" spans="1:16" x14ac:dyDescent="0.3">
      <c r="A23" s="8" t="s">
        <v>14</v>
      </c>
      <c r="B23" s="16">
        <v>7.7158107543139245E-2</v>
      </c>
      <c r="C23" s="16">
        <v>0.11359026369168357</v>
      </c>
      <c r="D23" s="16">
        <v>7.6190476190476197E-2</v>
      </c>
      <c r="E23" s="16">
        <v>5.3254437869822487E-2</v>
      </c>
      <c r="F23" s="16">
        <v>3.3766233766233764E-2</v>
      </c>
      <c r="G23" s="16">
        <v>6.8376068376068383E-2</v>
      </c>
      <c r="H23" s="16">
        <v>6.3291139240506333E-2</v>
      </c>
      <c r="I23" s="9">
        <v>0.73634234203277027</v>
      </c>
      <c r="J23" s="9">
        <f t="shared" si="2"/>
        <v>0.73634234203277027</v>
      </c>
      <c r="K23" s="9">
        <f t="shared" si="2"/>
        <v>0.78093306288032449</v>
      </c>
      <c r="L23" s="9">
        <f t="shared" si="2"/>
        <v>0.80317460317460321</v>
      </c>
      <c r="M23" s="9">
        <f t="shared" si="2"/>
        <v>0.79289940828402372</v>
      </c>
      <c r="N23" s="9">
        <f t="shared" si="2"/>
        <v>0.86493506493506511</v>
      </c>
      <c r="O23" s="9">
        <f t="shared" si="2"/>
        <v>0.88888888888888895</v>
      </c>
      <c r="P23" s="9">
        <f t="shared" si="2"/>
        <v>0.87974683544303811</v>
      </c>
    </row>
    <row r="24" spans="1:16" x14ac:dyDescent="0.3">
      <c r="A24" s="8" t="s">
        <v>0</v>
      </c>
      <c r="B24" s="16">
        <v>0.26365765796722962</v>
      </c>
      <c r="C24" s="16">
        <v>0.21906693711967545</v>
      </c>
      <c r="D24" s="16">
        <v>0.19682539682539682</v>
      </c>
      <c r="E24" s="16">
        <v>0.20710059171597633</v>
      </c>
      <c r="F24" s="16">
        <v>0.13506493506493505</v>
      </c>
      <c r="G24" s="16">
        <v>0.1111111111111111</v>
      </c>
      <c r="H24" s="16">
        <v>0.12025316455696203</v>
      </c>
      <c r="I24" s="9">
        <v>0.99999999999999989</v>
      </c>
      <c r="J24" s="9">
        <f t="shared" si="2"/>
        <v>0.99999999999999989</v>
      </c>
      <c r="K24" s="9">
        <f t="shared" si="2"/>
        <v>1</v>
      </c>
      <c r="L24" s="9">
        <f t="shared" si="2"/>
        <v>1</v>
      </c>
      <c r="M24" s="9">
        <f t="shared" si="2"/>
        <v>1</v>
      </c>
      <c r="N24" s="9">
        <f t="shared" si="2"/>
        <v>1.0000000000000002</v>
      </c>
      <c r="O24" s="9">
        <f t="shared" si="2"/>
        <v>1</v>
      </c>
      <c r="P24" s="9">
        <f t="shared" si="2"/>
        <v>1.0000000000000002</v>
      </c>
    </row>
    <row r="27" spans="1:16" ht="28.8" x14ac:dyDescent="0.3">
      <c r="B27" s="10" t="s">
        <v>23</v>
      </c>
      <c r="C27" s="11" t="s">
        <v>61</v>
      </c>
      <c r="D27" s="11" t="s">
        <v>62</v>
      </c>
      <c r="E27" s="11" t="s">
        <v>63</v>
      </c>
      <c r="F27" s="11" t="s">
        <v>64</v>
      </c>
      <c r="G27" s="11" t="s">
        <v>65</v>
      </c>
      <c r="H27" s="11" t="s">
        <v>66</v>
      </c>
      <c r="J27" s="8"/>
      <c r="K27" s="12" t="s">
        <v>67</v>
      </c>
      <c r="L27" s="12" t="s">
        <v>68</v>
      </c>
      <c r="M27" s="12" t="s">
        <v>69</v>
      </c>
      <c r="N27" s="12" t="s">
        <v>70</v>
      </c>
      <c r="O27" s="12" t="s">
        <v>71</v>
      </c>
      <c r="P27" s="12" t="s">
        <v>72</v>
      </c>
    </row>
    <row r="28" spans="1:16" x14ac:dyDescent="0.3">
      <c r="B28" s="8" t="s">
        <v>20</v>
      </c>
      <c r="C28" s="9">
        <f>C2-B2</f>
        <v>-4.0212535368940282E-3</v>
      </c>
      <c r="D28" s="9">
        <f>D2-B2</f>
        <v>-4.9034454941366953E-3</v>
      </c>
      <c r="E28" s="9">
        <f>E2-B2</f>
        <v>9.673430621200959E-3</v>
      </c>
      <c r="F28" s="9">
        <f>F2-B2</f>
        <v>2.0493379902688701E-2</v>
      </c>
      <c r="G28" s="9">
        <f>G2-B2</f>
        <v>9.0159684252772258E-3</v>
      </c>
      <c r="H28" s="9">
        <f>H2-B2</f>
        <v>1.7238407027462661E-2</v>
      </c>
      <c r="J28" s="8" t="s">
        <v>20</v>
      </c>
      <c r="K28" s="8">
        <f>(J2-0) * ((K2+0))</f>
        <v>3.2770988514157689E-5</v>
      </c>
      <c r="L28" s="8">
        <f>(J2-0) * ((L2+0))</f>
        <v>2.5644598948380541E-5</v>
      </c>
      <c r="M28" s="8">
        <f>(J2-0) * ((M2+0))</f>
        <v>1.433973136462699E-4</v>
      </c>
      <c r="N28" s="8">
        <f>(J2-0) * ((N2+0))</f>
        <v>2.3080139053542484E-4</v>
      </c>
      <c r="O28" s="8">
        <f>(J2-0) * ((O2+0))</f>
        <v>1.3808630202974138E-4</v>
      </c>
      <c r="P28" s="8">
        <f>(J2-0) * ((P2+0))</f>
        <v>2.0450756123392076E-4</v>
      </c>
    </row>
    <row r="29" spans="1:16" x14ac:dyDescent="0.3">
      <c r="B29" s="8" t="s">
        <v>22</v>
      </c>
      <c r="C29" s="9">
        <f t="shared" ref="C29:C50" si="3">C3-B3</f>
        <v>-4.8001366414304504E-3</v>
      </c>
      <c r="D29" s="9">
        <f t="shared" ref="D29:D50" si="4">D3-B3</f>
        <v>-2.5077254240699429E-3</v>
      </c>
      <c r="E29" s="9">
        <f t="shared" ref="E29:E50" si="5">E3-B3</f>
        <v>2.9773877533509265E-3</v>
      </c>
      <c r="F29" s="9">
        <f t="shared" ref="F29:F50" si="6">F3-B3</f>
        <v>1.1922289005944487E-2</v>
      </c>
      <c r="G29" s="9">
        <f t="shared" ref="G29:G50" si="7">G3-B3</f>
        <v>3.9635810472365279E-3</v>
      </c>
      <c r="H29" s="9">
        <f t="shared" ref="H29:H50" si="8">H3-B3</f>
        <v>-8.8569317732762921E-3</v>
      </c>
      <c r="J29" s="8" t="s">
        <v>22</v>
      </c>
      <c r="K29" s="8">
        <f>(J3-J2) * ((K3+K2))</f>
        <v>1.0779227310275406E-4</v>
      </c>
      <c r="L29" s="8">
        <f>(J3-J2) * ((L3+L2))</f>
        <v>1.1246897489874656E-4</v>
      </c>
      <c r="M29" s="8">
        <f>(J3-J2) * ((M3+M2))</f>
        <v>4.1926304252195467E-4</v>
      </c>
      <c r="N29" s="8">
        <f>(J3-J2) * ((N3+N2))</f>
        <v>6.9015052778776298E-4</v>
      </c>
      <c r="O29" s="8">
        <f>(J3-J2) * ((O3+O2))</f>
        <v>4.1635149361555221E-4</v>
      </c>
      <c r="P29" s="8">
        <f>(J3-J2) * ((P3+P2))</f>
        <v>4.4845224168487552E-4</v>
      </c>
    </row>
    <row r="30" spans="1:16" x14ac:dyDescent="0.3">
      <c r="B30" s="8" t="s">
        <v>6</v>
      </c>
      <c r="C30" s="9">
        <f t="shared" si="3"/>
        <v>1.0809024398378501E-3</v>
      </c>
      <c r="D30" s="9">
        <f t="shared" si="4"/>
        <v>2.4977357573615501E-2</v>
      </c>
      <c r="E30" s="9">
        <f t="shared" si="5"/>
        <v>-7.2007207583089866E-3</v>
      </c>
      <c r="F30" s="9">
        <f t="shared" si="6"/>
        <v>-7.9230753268174012E-3</v>
      </c>
      <c r="G30" s="9">
        <f t="shared" si="7"/>
        <v>-8.844376248118322E-3</v>
      </c>
      <c r="H30" s="9">
        <f t="shared" si="8"/>
        <v>5.8694612505293033E-3</v>
      </c>
      <c r="J30" s="8" t="s">
        <v>6</v>
      </c>
      <c r="K30" s="8">
        <f t="shared" ref="K30:K50" si="9">(J4-J3) * ((K4+K3))</f>
        <v>3.9912415380190458E-4</v>
      </c>
      <c r="L30" s="8">
        <f t="shared" ref="L30:L50" si="10">(J4-J3) * ((L4+L3))</f>
        <v>7.495931726641485E-4</v>
      </c>
      <c r="M30" s="8">
        <f t="shared" ref="M30:M50" si="11">(J4-J3) * ((M4+M3))</f>
        <v>8.5382654282750638E-4</v>
      </c>
      <c r="N30" s="8">
        <f t="shared" ref="N30:N50" si="12">(J4-J3) * ((N4+N3))</f>
        <v>1.362896677571179E-3</v>
      </c>
      <c r="O30" s="8">
        <f t="shared" ref="O30:O50" si="13">(J4-J3) * ((O4+O3))</f>
        <v>8.4088977702708974E-4</v>
      </c>
      <c r="P30" s="8">
        <f t="shared" ref="P30:P50" si="14">(J4-J3) * ((P4+P3))</f>
        <v>9.1327016289777577E-4</v>
      </c>
    </row>
    <row r="31" spans="1:16" x14ac:dyDescent="0.3">
      <c r="B31" s="8" t="s">
        <v>5</v>
      </c>
      <c r="C31" s="9">
        <f t="shared" si="3"/>
        <v>2.0203291185381254E-2</v>
      </c>
      <c r="D31" s="9">
        <f t="shared" si="4"/>
        <v>-3.6094523028186234E-3</v>
      </c>
      <c r="E31" s="9">
        <f t="shared" si="5"/>
        <v>4.402194170366313E-3</v>
      </c>
      <c r="F31" s="9">
        <f t="shared" si="6"/>
        <v>4.4713557779894574E-3</v>
      </c>
      <c r="G31" s="9">
        <f t="shared" si="7"/>
        <v>1.3606664913298594E-2</v>
      </c>
      <c r="H31" s="9">
        <f t="shared" si="8"/>
        <v>-9.9787510771806899E-3</v>
      </c>
      <c r="J31" s="8" t="s">
        <v>5</v>
      </c>
      <c r="K31" s="8">
        <f t="shared" si="9"/>
        <v>1.3231533469558879E-3</v>
      </c>
      <c r="L31" s="8">
        <f t="shared" si="10"/>
        <v>1.7602140001329043E-3</v>
      </c>
      <c r="M31" s="8">
        <f t="shared" si="11"/>
        <v>1.4956917604679611E-3</v>
      </c>
      <c r="N31" s="8">
        <f t="shared" si="12"/>
        <v>2.1179045456144567E-3</v>
      </c>
      <c r="O31" s="8">
        <f t="shared" si="13"/>
        <v>1.6029098078133349E-3</v>
      </c>
      <c r="P31" s="8">
        <f t="shared" si="14"/>
        <v>1.5482150317624671E-3</v>
      </c>
    </row>
    <row r="32" spans="1:16" x14ac:dyDescent="0.3">
      <c r="B32" s="8" t="s">
        <v>2</v>
      </c>
      <c r="C32" s="9">
        <f t="shared" si="3"/>
        <v>3.2802702374010104E-3</v>
      </c>
      <c r="D32" s="9">
        <f t="shared" si="4"/>
        <v>-1.0654499072621849E-2</v>
      </c>
      <c r="E32" s="9">
        <f t="shared" si="5"/>
        <v>-8.1279657768577838E-3</v>
      </c>
      <c r="F32" s="9">
        <f t="shared" si="6"/>
        <v>-1.1808900227023003E-2</v>
      </c>
      <c r="G32" s="9">
        <f t="shared" si="7"/>
        <v>-4.1831926013153782E-3</v>
      </c>
      <c r="H32" s="9">
        <f t="shared" si="8"/>
        <v>-1.0674591497777566E-2</v>
      </c>
      <c r="J32" s="8" t="s">
        <v>2</v>
      </c>
      <c r="K32" s="8">
        <f t="shared" si="9"/>
        <v>2.3453386788728557E-3</v>
      </c>
      <c r="L32" s="8">
        <f t="shared" si="10"/>
        <v>2.1592006884861219E-3</v>
      </c>
      <c r="M32" s="8">
        <f t="shared" si="11"/>
        <v>2.0625796517602262E-3</v>
      </c>
      <c r="N32" s="8">
        <f t="shared" si="12"/>
        <v>2.6499281176875123E-3</v>
      </c>
      <c r="O32" s="8">
        <f t="shared" si="13"/>
        <v>2.3979584569244904E-3</v>
      </c>
      <c r="P32" s="8">
        <f t="shared" si="14"/>
        <v>1.8295126086777182E-3</v>
      </c>
    </row>
    <row r="33" spans="2:16" x14ac:dyDescent="0.3">
      <c r="B33" s="8" t="s">
        <v>10</v>
      </c>
      <c r="C33" s="9">
        <f t="shared" si="3"/>
        <v>3.6131147474710579E-4</v>
      </c>
      <c r="D33" s="9">
        <f t="shared" si="4"/>
        <v>1.1533524290598673E-3</v>
      </c>
      <c r="E33" s="9">
        <f t="shared" si="5"/>
        <v>1.465011207966567E-2</v>
      </c>
      <c r="F33" s="9">
        <f t="shared" si="6"/>
        <v>2.8858980134687573E-2</v>
      </c>
      <c r="G33" s="9">
        <f t="shared" si="7"/>
        <v>2.0567271842979282E-2</v>
      </c>
      <c r="H33" s="9">
        <f t="shared" si="8"/>
        <v>1.3751303001693985E-2</v>
      </c>
      <c r="J33" s="8" t="s">
        <v>10</v>
      </c>
      <c r="K33" s="8">
        <f t="shared" si="9"/>
        <v>3.1578117562163261E-3</v>
      </c>
      <c r="L33" s="8">
        <f t="shared" si="10"/>
        <v>2.7267453894947329E-3</v>
      </c>
      <c r="M33" s="8">
        <f t="shared" si="11"/>
        <v>2.9117889468069673E-3</v>
      </c>
      <c r="N33" s="8">
        <f t="shared" si="12"/>
        <v>3.718289167492817E-3</v>
      </c>
      <c r="O33" s="8">
        <f t="shared" si="13"/>
        <v>3.441205118953689E-3</v>
      </c>
      <c r="P33" s="8">
        <f t="shared" si="14"/>
        <v>2.604861596372539E-3</v>
      </c>
    </row>
    <row r="34" spans="2:16" x14ac:dyDescent="0.3">
      <c r="B34" s="8" t="s">
        <v>16</v>
      </c>
      <c r="C34" s="9">
        <f t="shared" si="3"/>
        <v>-2.4965022691034386E-3</v>
      </c>
      <c r="D34" s="9">
        <f t="shared" si="4"/>
        <v>1.0993951383622018E-2</v>
      </c>
      <c r="E34" s="9">
        <f t="shared" si="5"/>
        <v>-1.4834920599096118E-2</v>
      </c>
      <c r="F34" s="9">
        <f t="shared" si="6"/>
        <v>-5.167664777994142E-3</v>
      </c>
      <c r="G34" s="9">
        <f t="shared" si="7"/>
        <v>-7.9315675418969063E-3</v>
      </c>
      <c r="H34" s="9">
        <f t="shared" si="8"/>
        <v>1.089348925784344E-2</v>
      </c>
      <c r="J34" s="8" t="s">
        <v>16</v>
      </c>
      <c r="K34" s="8">
        <f t="shared" si="9"/>
        <v>4.4198142759696189E-3</v>
      </c>
      <c r="L34" s="8">
        <f t="shared" si="10"/>
        <v>4.2162956926800731E-3</v>
      </c>
      <c r="M34" s="8">
        <f t="shared" si="11"/>
        <v>4.1749747474670472E-3</v>
      </c>
      <c r="N34" s="8">
        <f t="shared" si="12"/>
        <v>5.6057567732223689E-3</v>
      </c>
      <c r="O34" s="8">
        <f t="shared" si="13"/>
        <v>5.0549939344331409E-3</v>
      </c>
      <c r="P34" s="8">
        <f t="shared" si="14"/>
        <v>4.3342952655665897E-3</v>
      </c>
    </row>
    <row r="35" spans="2:16" x14ac:dyDescent="0.3">
      <c r="B35" s="8" t="s">
        <v>7</v>
      </c>
      <c r="C35" s="9">
        <f t="shared" si="3"/>
        <v>5.781320483109656E-3</v>
      </c>
      <c r="D35" s="9">
        <f t="shared" si="4"/>
        <v>-9.9178327413985377E-3</v>
      </c>
      <c r="E35" s="9">
        <f t="shared" si="5"/>
        <v>-1.9061862682136013E-3</v>
      </c>
      <c r="F35" s="9">
        <f t="shared" si="6"/>
        <v>-2.2616245439811236E-2</v>
      </c>
      <c r="G35" s="9">
        <f t="shared" si="7"/>
        <v>-9.7957326192984161E-3</v>
      </c>
      <c r="H35" s="9">
        <f t="shared" si="8"/>
        <v>-9.9580175917099705E-3</v>
      </c>
      <c r="J35" s="8" t="s">
        <v>7</v>
      </c>
      <c r="K35" s="8">
        <f t="shared" si="9"/>
        <v>5.8719663616548443E-3</v>
      </c>
      <c r="L35" s="8">
        <f t="shared" si="10"/>
        <v>5.600213156524687E-3</v>
      </c>
      <c r="M35" s="8">
        <f t="shared" si="11"/>
        <v>5.1522215942765241E-3</v>
      </c>
      <c r="N35" s="8">
        <f t="shared" si="12"/>
        <v>6.4617844113746383E-3</v>
      </c>
      <c r="O35" s="8">
        <f t="shared" si="13"/>
        <v>6.0889891568722569E-3</v>
      </c>
      <c r="P35" s="8">
        <f t="shared" si="14"/>
        <v>5.7256317569142371E-3</v>
      </c>
    </row>
    <row r="36" spans="2:16" x14ac:dyDescent="0.3">
      <c r="B36" s="8" t="s">
        <v>3</v>
      </c>
      <c r="C36" s="9">
        <f t="shared" si="3"/>
        <v>-7.5001187527224712E-3</v>
      </c>
      <c r="D36" s="9">
        <f t="shared" si="4"/>
        <v>-1.4203489756296313E-2</v>
      </c>
      <c r="E36" s="9">
        <f t="shared" si="5"/>
        <v>-1.4851559635135424E-2</v>
      </c>
      <c r="F36" s="9">
        <f t="shared" si="6"/>
        <v>-1.8532494085300645E-2</v>
      </c>
      <c r="G36" s="9">
        <f t="shared" si="7"/>
        <v>-1.9453795006601562E-2</v>
      </c>
      <c r="H36" s="9">
        <f t="shared" si="8"/>
        <v>-1.1069071432004573E-2</v>
      </c>
      <c r="J36" s="8" t="s">
        <v>3</v>
      </c>
      <c r="K36" s="8">
        <f t="shared" si="9"/>
        <v>7.2192594158537061E-3</v>
      </c>
      <c r="L36" s="8">
        <f t="shared" si="10"/>
        <v>6.4026045676476113E-3</v>
      </c>
      <c r="M36" s="8">
        <f t="shared" si="11"/>
        <v>6.1073225957668899E-3</v>
      </c>
      <c r="N36" s="8">
        <f t="shared" si="12"/>
        <v>6.9024870633035192E-3</v>
      </c>
      <c r="O36" s="8">
        <f t="shared" si="13"/>
        <v>6.7937138964405657E-3</v>
      </c>
      <c r="P36" s="8">
        <f t="shared" si="14"/>
        <v>6.6076023311687181E-3</v>
      </c>
    </row>
    <row r="37" spans="2:16" x14ac:dyDescent="0.3">
      <c r="B37" s="8" t="s">
        <v>15</v>
      </c>
      <c r="C37" s="9">
        <f t="shared" si="3"/>
        <v>-7.5058458343734737E-3</v>
      </c>
      <c r="D37" s="9">
        <f t="shared" si="4"/>
        <v>-7.8600104887409684E-3</v>
      </c>
      <c r="E37" s="9">
        <f t="shared" si="5"/>
        <v>-8.9401269534728177E-3</v>
      </c>
      <c r="F37" s="9">
        <f t="shared" si="6"/>
        <v>-3.5640298513346311E-4</v>
      </c>
      <c r="G37" s="9">
        <f t="shared" si="7"/>
        <v>-6.6390092677397448E-3</v>
      </c>
      <c r="H37" s="9">
        <f t="shared" si="8"/>
        <v>-1.7403912437706209E-2</v>
      </c>
      <c r="J37" s="8" t="s">
        <v>15</v>
      </c>
      <c r="K37" s="8">
        <f t="shared" si="9"/>
        <v>7.9912421420925642E-3</v>
      </c>
      <c r="L37" s="8">
        <f t="shared" si="10"/>
        <v>7.0068934972805901E-3</v>
      </c>
      <c r="M37" s="8">
        <f t="shared" si="11"/>
        <v>6.6705251608488152E-3</v>
      </c>
      <c r="N37" s="8">
        <f t="shared" si="12"/>
        <v>7.5822395908989376E-3</v>
      </c>
      <c r="O37" s="8">
        <f t="shared" si="13"/>
        <v>7.3024696497713364E-3</v>
      </c>
      <c r="P37" s="8">
        <f t="shared" si="14"/>
        <v>7.0598242974846291E-3</v>
      </c>
    </row>
    <row r="38" spans="2:16" x14ac:dyDescent="0.3">
      <c r="B38" s="8" t="s">
        <v>12</v>
      </c>
      <c r="C38" s="9">
        <f t="shared" si="3"/>
        <v>-4.4570170731041761E-3</v>
      </c>
      <c r="D38" s="9">
        <f t="shared" si="4"/>
        <v>1.6528848537507884E-2</v>
      </c>
      <c r="E38" s="9">
        <f t="shared" si="5"/>
        <v>1.9637705492518684E-2</v>
      </c>
      <c r="F38" s="9">
        <f t="shared" si="6"/>
        <v>9.0252410339003789E-3</v>
      </c>
      <c r="G38" s="9">
        <f t="shared" si="7"/>
        <v>-3.3734713648120168E-3</v>
      </c>
      <c r="H38" s="9">
        <f t="shared" si="8"/>
        <v>5.754629638691465E-4</v>
      </c>
      <c r="J38" s="8" t="s">
        <v>12</v>
      </c>
      <c r="K38" s="8">
        <f t="shared" si="9"/>
        <v>9.2339607763678323E-3</v>
      </c>
      <c r="L38" s="8">
        <f t="shared" si="10"/>
        <v>8.7182545818698561E-3</v>
      </c>
      <c r="M38" s="8">
        <f t="shared" si="11"/>
        <v>8.4177933852613556E-3</v>
      </c>
      <c r="N38" s="8">
        <f t="shared" si="12"/>
        <v>9.3180362238658183E-3</v>
      </c>
      <c r="O38" s="8">
        <f t="shared" si="13"/>
        <v>8.5641897919615569E-3</v>
      </c>
      <c r="P38" s="8">
        <f t="shared" si="14"/>
        <v>8.142605203046431E-3</v>
      </c>
    </row>
    <row r="39" spans="2:16" x14ac:dyDescent="0.3">
      <c r="B39" s="8" t="s">
        <v>18</v>
      </c>
      <c r="C39" s="9">
        <f t="shared" si="3"/>
        <v>-1.6684673285151733E-2</v>
      </c>
      <c r="D39" s="9">
        <f t="shared" si="4"/>
        <v>-5.7506445012243668E-3</v>
      </c>
      <c r="E39" s="9">
        <f t="shared" si="5"/>
        <v>1.9580434676008653E-2</v>
      </c>
      <c r="F39" s="9">
        <f t="shared" si="6"/>
        <v>1.6760178009598142E-2</v>
      </c>
      <c r="G39" s="9">
        <f t="shared" si="7"/>
        <v>5.6398317647737783E-2</v>
      </c>
      <c r="H39" s="9">
        <f t="shared" si="8"/>
        <v>1.9505533919511014E-2</v>
      </c>
      <c r="J39" s="8" t="s">
        <v>18</v>
      </c>
      <c r="K39" s="8">
        <f t="shared" si="9"/>
        <v>9.9595460094746308E-3</v>
      </c>
      <c r="L39" s="8">
        <f t="shared" si="10"/>
        <v>1.0234204004284578E-2</v>
      </c>
      <c r="M39" s="8">
        <f t="shared" si="11"/>
        <v>1.0638308327166548E-2</v>
      </c>
      <c r="N39" s="8">
        <f t="shared" si="12"/>
        <v>1.1207526902594162E-2</v>
      </c>
      <c r="O39" s="8">
        <f t="shared" si="13"/>
        <v>1.1127425951404092E-2</v>
      </c>
      <c r="P39" s="8">
        <f t="shared" si="14"/>
        <v>9.8879152125135091E-3</v>
      </c>
    </row>
    <row r="40" spans="2:16" x14ac:dyDescent="0.3">
      <c r="B40" s="8" t="s">
        <v>4</v>
      </c>
      <c r="C40" s="9">
        <f t="shared" si="3"/>
        <v>5.7718876427432994E-3</v>
      </c>
      <c r="D40" s="9">
        <f t="shared" si="4"/>
        <v>8.238161508611487E-3</v>
      </c>
      <c r="E40" s="9">
        <f t="shared" si="5"/>
        <v>2.065480469448544E-2</v>
      </c>
      <c r="F40" s="9">
        <f t="shared" si="6"/>
        <v>1.4875968146418124E-2</v>
      </c>
      <c r="G40" s="9">
        <f t="shared" si="7"/>
        <v>-5.3149520445020665E-3</v>
      </c>
      <c r="H40" s="9">
        <f t="shared" si="8"/>
        <v>2.3950437980381628E-2</v>
      </c>
      <c r="J40" s="8" t="s">
        <v>4</v>
      </c>
      <c r="K40" s="8">
        <f t="shared" si="9"/>
        <v>1.1798740778541799E-2</v>
      </c>
      <c r="L40" s="8">
        <f t="shared" si="10"/>
        <v>1.2451820925610932E-2</v>
      </c>
      <c r="M40" s="8">
        <f t="shared" si="11"/>
        <v>1.38938323092193E-2</v>
      </c>
      <c r="N40" s="8">
        <f t="shared" si="12"/>
        <v>1.4276855903576174E-2</v>
      </c>
      <c r="O40" s="8">
        <f t="shared" si="13"/>
        <v>1.4709568675859069E-2</v>
      </c>
      <c r="P40" s="8">
        <f t="shared" si="14"/>
        <v>1.3172360292011565E-2</v>
      </c>
    </row>
    <row r="41" spans="2:16" x14ac:dyDescent="0.3">
      <c r="B41" s="8" t="s">
        <v>19</v>
      </c>
      <c r="C41" s="9">
        <f t="shared" si="3"/>
        <v>-5.3492627056148656E-3</v>
      </c>
      <c r="D41" s="9">
        <f t="shared" si="4"/>
        <v>-1.7873812755519886E-2</v>
      </c>
      <c r="E41" s="9">
        <f t="shared" si="5"/>
        <v>-1.202449930310906E-3</v>
      </c>
      <c r="F41" s="9">
        <f t="shared" si="6"/>
        <v>-1.037020525191238E-2</v>
      </c>
      <c r="G41" s="9">
        <f t="shared" si="7"/>
        <v>4.4120555949843376E-4</v>
      </c>
      <c r="H41" s="9">
        <f t="shared" si="8"/>
        <v>-3.3746828628535758E-2</v>
      </c>
      <c r="J41" s="8" t="s">
        <v>19</v>
      </c>
      <c r="K41" s="8">
        <f t="shared" si="9"/>
        <v>1.6976092291839488E-2</v>
      </c>
      <c r="L41" s="8">
        <f t="shared" si="10"/>
        <v>1.7462644655401042E-2</v>
      </c>
      <c r="M41" s="8">
        <f t="shared" si="11"/>
        <v>2.0268065714771476E-2</v>
      </c>
      <c r="N41" s="8">
        <f t="shared" si="12"/>
        <v>2.0248097177121456E-2</v>
      </c>
      <c r="O41" s="8">
        <f t="shared" si="13"/>
        <v>2.0478844723299479E-2</v>
      </c>
      <c r="P41" s="8">
        <f t="shared" si="14"/>
        <v>1.8368526975025792E-2</v>
      </c>
    </row>
    <row r="42" spans="2:16" x14ac:dyDescent="0.3">
      <c r="B42" s="8" t="s">
        <v>1</v>
      </c>
      <c r="C42" s="9">
        <f t="shared" si="3"/>
        <v>5.4837480582666548E-2</v>
      </c>
      <c r="D42" s="9">
        <f t="shared" si="4"/>
        <v>2.5023256042275677E-2</v>
      </c>
      <c r="E42" s="9">
        <f t="shared" si="5"/>
        <v>2.6619949946661892E-2</v>
      </c>
      <c r="F42" s="9">
        <f t="shared" si="6"/>
        <v>9.3998725017744644E-2</v>
      </c>
      <c r="G42" s="9">
        <f t="shared" si="7"/>
        <v>8.5462816481836124E-2</v>
      </c>
      <c r="H42" s="9">
        <f t="shared" si="8"/>
        <v>5.0138787486921049E-2</v>
      </c>
      <c r="J42" s="8" t="s">
        <v>1</v>
      </c>
      <c r="K42" s="8">
        <f t="shared" si="9"/>
        <v>2.403325090169299E-2</v>
      </c>
      <c r="L42" s="8">
        <f t="shared" si="10"/>
        <v>2.2959161271619392E-2</v>
      </c>
      <c r="M42" s="8">
        <f t="shared" si="11"/>
        <v>2.6859877390976106E-2</v>
      </c>
      <c r="N42" s="8">
        <f t="shared" si="12"/>
        <v>2.9076423293216247E-2</v>
      </c>
      <c r="O42" s="8">
        <f t="shared" si="13"/>
        <v>2.9426993732957346E-2</v>
      </c>
      <c r="P42" s="8">
        <f t="shared" si="14"/>
        <v>2.4347346487207478E-2</v>
      </c>
    </row>
    <row r="43" spans="2:16" x14ac:dyDescent="0.3">
      <c r="B43" s="8" t="s">
        <v>17</v>
      </c>
      <c r="C43" s="9">
        <f t="shared" si="3"/>
        <v>5.853464867554499E-2</v>
      </c>
      <c r="D43" s="9">
        <f t="shared" si="4"/>
        <v>4.8296070485648337E-2</v>
      </c>
      <c r="E43" s="9">
        <f t="shared" si="5"/>
        <v>5.9566850987198078E-2</v>
      </c>
      <c r="F43" s="9">
        <f t="shared" si="6"/>
        <v>5.4356676546254409E-2</v>
      </c>
      <c r="G43" s="9">
        <f t="shared" si="7"/>
        <v>-4.2069820174041594E-3</v>
      </c>
      <c r="H43" s="9">
        <f t="shared" si="8"/>
        <v>4.1665570184261966E-2</v>
      </c>
      <c r="J43" s="8" t="s">
        <v>17</v>
      </c>
      <c r="K43" s="8">
        <f t="shared" si="9"/>
        <v>3.8658138031426863E-2</v>
      </c>
      <c r="L43" s="8">
        <f t="shared" si="10"/>
        <v>3.5467307590737664E-2</v>
      </c>
      <c r="M43" s="8">
        <f t="shared" si="11"/>
        <v>4.0831228630826603E-2</v>
      </c>
      <c r="N43" s="8">
        <f t="shared" si="12"/>
        <v>4.6454315404369541E-2</v>
      </c>
      <c r="O43" s="8">
        <f t="shared" si="13"/>
        <v>4.3732313658262509E-2</v>
      </c>
      <c r="P43" s="8">
        <f t="shared" si="14"/>
        <v>3.8028982077931678E-2</v>
      </c>
    </row>
    <row r="44" spans="2:16" x14ac:dyDescent="0.3">
      <c r="B44" s="8" t="s">
        <v>13</v>
      </c>
      <c r="C44" s="9">
        <f t="shared" si="3"/>
        <v>-1.0063156235124326E-2</v>
      </c>
      <c r="D44" s="9">
        <f t="shared" si="4"/>
        <v>7.8645430647904746E-2</v>
      </c>
      <c r="E44" s="9">
        <f t="shared" si="5"/>
        <v>4.8862393172559582E-2</v>
      </c>
      <c r="F44" s="9">
        <f t="shared" si="6"/>
        <v>2.0636772639246737E-2</v>
      </c>
      <c r="G44" s="9">
        <f t="shared" si="7"/>
        <v>2.6508678511152614E-2</v>
      </c>
      <c r="H44" s="9">
        <f t="shared" si="8"/>
        <v>3.3919692251280276E-2</v>
      </c>
      <c r="J44" s="8" t="s">
        <v>13</v>
      </c>
      <c r="K44" s="8">
        <f t="shared" si="9"/>
        <v>5.3245828172425368E-2</v>
      </c>
      <c r="L44" s="8">
        <f t="shared" si="10"/>
        <v>5.3819840738040803E-2</v>
      </c>
      <c r="M44" s="8">
        <f t="shared" si="11"/>
        <v>5.9056462959116644E-2</v>
      </c>
      <c r="N44" s="8">
        <f t="shared" si="12"/>
        <v>6.3778878716253054E-2</v>
      </c>
      <c r="O44" s="8">
        <f t="shared" si="13"/>
        <v>5.7726119501285714E-2</v>
      </c>
      <c r="P44" s="8">
        <f t="shared" si="14"/>
        <v>5.3995650752701622E-2</v>
      </c>
    </row>
    <row r="45" spans="2:16" x14ac:dyDescent="0.3">
      <c r="B45" s="8" t="s">
        <v>21</v>
      </c>
      <c r="C45" s="9">
        <f t="shared" si="3"/>
        <v>-1.2170722282693468E-2</v>
      </c>
      <c r="D45" s="9">
        <f t="shared" si="4"/>
        <v>-2.5049436986965982E-2</v>
      </c>
      <c r="E45" s="9">
        <f t="shared" si="5"/>
        <v>-9.4581906264888521E-3</v>
      </c>
      <c r="F45" s="9">
        <f t="shared" si="6"/>
        <v>-1.5237027174556168E-2</v>
      </c>
      <c r="G45" s="9">
        <f t="shared" si="7"/>
        <v>2.4401112463583473E-2</v>
      </c>
      <c r="H45" s="9">
        <f t="shared" si="8"/>
        <v>5.7128581899913662E-2</v>
      </c>
      <c r="J45" s="8" t="s">
        <v>21</v>
      </c>
      <c r="K45" s="8">
        <f t="shared" si="9"/>
        <v>6.0366786239535113E-2</v>
      </c>
      <c r="L45" s="8">
        <f t="shared" si="10"/>
        <v>6.5269713274111671E-2</v>
      </c>
      <c r="M45" s="8">
        <f t="shared" si="11"/>
        <v>6.9902115363689524E-2</v>
      </c>
      <c r="N45" s="8">
        <f t="shared" si="12"/>
        <v>7.2875224815846448E-2</v>
      </c>
      <c r="O45" s="8">
        <f t="shared" si="13"/>
        <v>6.9173968328651095E-2</v>
      </c>
      <c r="P45" s="8">
        <f t="shared" si="14"/>
        <v>6.7579418492427684E-2</v>
      </c>
    </row>
    <row r="46" spans="2:16" x14ac:dyDescent="0.3">
      <c r="B46" s="8" t="s">
        <v>9</v>
      </c>
      <c r="C46" s="9">
        <f t="shared" si="3"/>
        <v>-2.4570190944271118E-2</v>
      </c>
      <c r="D46" s="9">
        <f t="shared" si="4"/>
        <v>-2.2103917078402931E-2</v>
      </c>
      <c r="E46" s="9">
        <f t="shared" si="5"/>
        <v>-2.1521593419156194E-2</v>
      </c>
      <c r="F46" s="9">
        <f t="shared" si="6"/>
        <v>1.5702720728234872E-2</v>
      </c>
      <c r="G46" s="9">
        <f t="shared" si="7"/>
        <v>-1.4289509263995116E-2</v>
      </c>
      <c r="H46" s="9">
        <f t="shared" si="8"/>
        <v>-1.9049868454734054E-2</v>
      </c>
      <c r="J46" s="8" t="s">
        <v>9</v>
      </c>
      <c r="K46" s="8">
        <f t="shared" si="9"/>
        <v>6.5005675909653671E-2</v>
      </c>
      <c r="L46" s="8">
        <f t="shared" si="10"/>
        <v>6.9334614017877758E-2</v>
      </c>
      <c r="M46" s="8">
        <f t="shared" si="11"/>
        <v>7.4907991383351469E-2</v>
      </c>
      <c r="N46" s="8">
        <f t="shared" si="12"/>
        <v>7.9686257079174955E-2</v>
      </c>
      <c r="O46" s="8">
        <f t="shared" si="13"/>
        <v>7.6520125332042221E-2</v>
      </c>
      <c r="P46" s="8">
        <f t="shared" si="14"/>
        <v>7.6513955846810269E-2</v>
      </c>
    </row>
    <row r="47" spans="2:16" x14ac:dyDescent="0.3">
      <c r="B47" s="8" t="s">
        <v>8</v>
      </c>
      <c r="C47" s="9">
        <f t="shared" si="3"/>
        <v>-2.9254101516901797E-2</v>
      </c>
      <c r="D47" s="9">
        <f t="shared" si="4"/>
        <v>-6.8580166461718953E-3</v>
      </c>
      <c r="E47" s="9">
        <f t="shared" si="5"/>
        <v>-3.1024448504911446E-2</v>
      </c>
      <c r="F47" s="9">
        <f t="shared" si="6"/>
        <v>-1.609322588138113E-2</v>
      </c>
      <c r="G47" s="9">
        <f t="shared" si="7"/>
        <v>1.4997905209749966E-2</v>
      </c>
      <c r="H47" s="9">
        <f t="shared" si="8"/>
        <v>4.9943269269038075E-2</v>
      </c>
      <c r="J47" s="8" t="s">
        <v>8</v>
      </c>
      <c r="K47" s="8">
        <f t="shared" si="9"/>
        <v>6.922877712854969E-2</v>
      </c>
      <c r="L47" s="8">
        <f t="shared" si="10"/>
        <v>7.5038678255007249E-2</v>
      </c>
      <c r="M47" s="8">
        <f t="shared" si="11"/>
        <v>7.931368449561399E-2</v>
      </c>
      <c r="N47" s="8">
        <f t="shared" si="12"/>
        <v>8.7151351818121517E-2</v>
      </c>
      <c r="O47" s="8">
        <f t="shared" si="13"/>
        <v>8.4013754687946682E-2</v>
      </c>
      <c r="P47" s="8">
        <f t="shared" si="14"/>
        <v>8.5747733217457753E-2</v>
      </c>
    </row>
    <row r="48" spans="2:16" x14ac:dyDescent="0.3">
      <c r="B48" s="8" t="s">
        <v>11</v>
      </c>
      <c r="C48" s="9">
        <f t="shared" si="3"/>
        <v>-1.2819566945036526E-2</v>
      </c>
      <c r="D48" s="9">
        <f t="shared" si="4"/>
        <v>-1.4764252865381675E-2</v>
      </c>
      <c r="E48" s="9">
        <f t="shared" si="5"/>
        <v>-2.7096365197494005E-2</v>
      </c>
      <c r="F48" s="9">
        <f t="shared" si="6"/>
        <v>-1.1012449113577925E-2</v>
      </c>
      <c r="G48" s="9">
        <f t="shared" si="7"/>
        <v>-1.0002348103476916E-2</v>
      </c>
      <c r="H48" s="9">
        <f t="shared" si="8"/>
        <v>-4.6570561886880565E-2</v>
      </c>
      <c r="J48" s="8" t="s">
        <v>11</v>
      </c>
      <c r="K48" s="8">
        <f t="shared" si="9"/>
        <v>8.4041775076082181E-2</v>
      </c>
      <c r="L48" s="8">
        <f t="shared" si="10"/>
        <v>9.1989185451721758E-2</v>
      </c>
      <c r="M48" s="8">
        <f t="shared" si="11"/>
        <v>9.4457689591564545E-2</v>
      </c>
      <c r="N48" s="8">
        <f t="shared" si="12"/>
        <v>0.1054034866621847</v>
      </c>
      <c r="O48" s="8">
        <f t="shared" si="13"/>
        <v>0.10394009511752585</v>
      </c>
      <c r="P48" s="8">
        <f t="shared" si="14"/>
        <v>0.10580547742438785</v>
      </c>
    </row>
    <row r="49" spans="2:16" x14ac:dyDescent="0.3">
      <c r="B49" s="8" t="s">
        <v>14</v>
      </c>
      <c r="C49" s="9">
        <f t="shared" si="3"/>
        <v>3.6432156148544323E-2</v>
      </c>
      <c r="D49" s="9">
        <f t="shared" si="4"/>
        <v>-9.6763135266304812E-4</v>
      </c>
      <c r="E49" s="9">
        <f t="shared" si="5"/>
        <v>-2.3903669673316759E-2</v>
      </c>
      <c r="F49" s="9">
        <f t="shared" si="6"/>
        <v>-4.3391873776905482E-2</v>
      </c>
      <c r="G49" s="9">
        <f t="shared" si="7"/>
        <v>-8.7820391670708625E-3</v>
      </c>
      <c r="H49" s="9">
        <f t="shared" si="8"/>
        <v>-1.3866968302632912E-2</v>
      </c>
      <c r="J49" s="8" t="s">
        <v>14</v>
      </c>
      <c r="K49" s="8">
        <f t="shared" si="9"/>
        <v>0.1117462247176499</v>
      </c>
      <c r="L49" s="8">
        <f t="shared" si="10"/>
        <v>0.11806415185966067</v>
      </c>
      <c r="M49" s="8">
        <f t="shared" si="11"/>
        <v>0.11824822398623114</v>
      </c>
      <c r="N49" s="8">
        <f t="shared" si="12"/>
        <v>0.13086816681992189</v>
      </c>
      <c r="O49" s="8">
        <f t="shared" si="13"/>
        <v>0.13189420092844314</v>
      </c>
      <c r="P49" s="8">
        <f t="shared" si="14"/>
        <v>0.1308757773516539</v>
      </c>
    </row>
    <row r="50" spans="2:16" x14ac:dyDescent="0.3">
      <c r="B50" s="8" t="s">
        <v>0</v>
      </c>
      <c r="C50" s="9">
        <f t="shared" si="3"/>
        <v>-4.4590720847554166E-2</v>
      </c>
      <c r="D50" s="9">
        <f t="shared" si="4"/>
        <v>-6.6832261141832799E-2</v>
      </c>
      <c r="E50" s="9">
        <f t="shared" si="5"/>
        <v>-5.6557066251253285E-2</v>
      </c>
      <c r="F50" s="9">
        <f t="shared" si="6"/>
        <v>-0.12859272290229457</v>
      </c>
      <c r="G50" s="9">
        <f t="shared" si="7"/>
        <v>-0.15254654685611851</v>
      </c>
      <c r="H50" s="9">
        <f t="shared" si="8"/>
        <v>-0.14340449341026759</v>
      </c>
      <c r="J50" s="8" t="s">
        <v>0</v>
      </c>
      <c r="K50" s="8">
        <f t="shared" si="9"/>
        <v>0.46955664035543127</v>
      </c>
      <c r="L50" s="8">
        <f t="shared" si="10"/>
        <v>0.47542079277900451</v>
      </c>
      <c r="M50" s="8">
        <f t="shared" si="11"/>
        <v>0.47271165895899747</v>
      </c>
      <c r="N50" s="8">
        <f t="shared" si="12"/>
        <v>0.4917044114817426</v>
      </c>
      <c r="O50" s="8">
        <f t="shared" si="13"/>
        <v>0.49802002060476702</v>
      </c>
      <c r="P50" s="8">
        <f t="shared" si="14"/>
        <v>0.49560964820422282</v>
      </c>
    </row>
    <row r="51" spans="2:16" x14ac:dyDescent="0.3">
      <c r="J51" s="13" t="s">
        <v>73</v>
      </c>
      <c r="K51" s="12">
        <f>SUM(K28:K50)</f>
        <v>1.0567197097817054</v>
      </c>
      <c r="L51" s="12">
        <f t="shared" ref="L51:P51" si="15">SUM(L28:L50)</f>
        <v>1.0869902431437057</v>
      </c>
      <c r="M51" s="12">
        <f t="shared" si="15"/>
        <v>1.1194985238531765</v>
      </c>
      <c r="N51" s="12">
        <f t="shared" si="15"/>
        <v>1.1993712705634771</v>
      </c>
      <c r="O51" s="12">
        <f t="shared" si="15"/>
        <v>1.183405188628287</v>
      </c>
      <c r="P51" s="12">
        <f t="shared" si="15"/>
        <v>1.1593515703911619</v>
      </c>
    </row>
    <row r="52" spans="2:16" x14ac:dyDescent="0.3">
      <c r="J52" s="14" t="s">
        <v>74</v>
      </c>
      <c r="K52" s="15">
        <f>1-K51</f>
        <v>-5.6719709781705374E-2</v>
      </c>
      <c r="L52" s="15">
        <f t="shared" ref="L52:P52" si="16">1-L51</f>
        <v>-8.6990243143705737E-2</v>
      </c>
      <c r="M52" s="15">
        <f t="shared" si="16"/>
        <v>-0.1194985238531765</v>
      </c>
      <c r="N52" s="15">
        <f t="shared" si="16"/>
        <v>-0.19937127056347714</v>
      </c>
      <c r="O52" s="15">
        <f t="shared" si="16"/>
        <v>-0.18340518862828703</v>
      </c>
      <c r="P52" s="15">
        <f t="shared" si="16"/>
        <v>-0.15935157039116188</v>
      </c>
    </row>
  </sheetData>
  <sortState xmlns:xlrd2="http://schemas.microsoft.com/office/spreadsheetml/2017/richdata2" ref="A2:P25">
    <sortCondition ref="B1:B25"/>
  </sortState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860-9565-4C9C-B333-24CA2CB1792A}">
  <dimension ref="A1:P47"/>
  <sheetViews>
    <sheetView zoomScale="81" workbookViewId="0">
      <selection activeCell="A23" sqref="A23"/>
    </sheetView>
  </sheetViews>
  <sheetFormatPr defaultRowHeight="14.4" x14ac:dyDescent="0.3"/>
  <cols>
    <col min="11" max="11" width="12" bestFit="1" customWidth="1"/>
  </cols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8" t="s">
        <v>49</v>
      </c>
      <c r="B2" s="16">
        <v>1.2250326564541029E-2</v>
      </c>
      <c r="C2" s="16">
        <v>1.4925373134328358E-2</v>
      </c>
      <c r="D2" s="16">
        <v>1.0752688172043012E-2</v>
      </c>
      <c r="E2" s="16">
        <v>3.8314176245210726E-3</v>
      </c>
      <c r="F2" s="16">
        <v>1.5789473684210527E-2</v>
      </c>
      <c r="G2" s="16">
        <v>2.2900763358778626E-2</v>
      </c>
      <c r="H2" s="16">
        <v>1.9047619047619049E-2</v>
      </c>
      <c r="I2" s="9">
        <v>1.2250326564541029E-2</v>
      </c>
      <c r="J2" s="17">
        <v>1.2250326564541029E-2</v>
      </c>
      <c r="K2" s="17">
        <v>1.4925373134328358E-2</v>
      </c>
      <c r="L2" s="17">
        <v>1.0752688172043012E-2</v>
      </c>
      <c r="M2" s="17">
        <v>3.8314176245210726E-3</v>
      </c>
      <c r="N2" s="17">
        <v>1.5789473684210527E-2</v>
      </c>
      <c r="O2" s="17">
        <v>2.2900763358778626E-2</v>
      </c>
      <c r="P2" s="17">
        <v>1.9047619047619049E-2</v>
      </c>
    </row>
    <row r="3" spans="1:16" x14ac:dyDescent="0.3">
      <c r="A3" s="8" t="s">
        <v>44</v>
      </c>
      <c r="B3" s="16">
        <v>1.2492578078612992E-2</v>
      </c>
      <c r="C3" s="16">
        <v>9.9502487562189053E-3</v>
      </c>
      <c r="D3" s="16">
        <v>1.0752688172043012E-2</v>
      </c>
      <c r="E3" s="16">
        <v>0</v>
      </c>
      <c r="F3" s="16">
        <v>5.263157894736842E-3</v>
      </c>
      <c r="G3" s="16">
        <v>7.6335877862595417E-3</v>
      </c>
      <c r="H3" s="16">
        <v>0</v>
      </c>
      <c r="I3" s="9">
        <v>2.4742904643154019E-2</v>
      </c>
      <c r="J3" s="9">
        <f>J2+B3</f>
        <v>2.4742904643154019E-2</v>
      </c>
      <c r="K3" s="9">
        <f t="shared" ref="K3:P18" si="0">K2+C3</f>
        <v>2.4875621890547261E-2</v>
      </c>
      <c r="L3" s="9">
        <f t="shared" si="0"/>
        <v>2.1505376344086023E-2</v>
      </c>
      <c r="M3" s="9">
        <f t="shared" si="0"/>
        <v>3.8314176245210726E-3</v>
      </c>
      <c r="N3" s="9">
        <f t="shared" si="0"/>
        <v>2.1052631578947368E-2</v>
      </c>
      <c r="O3" s="9">
        <f t="shared" si="0"/>
        <v>3.0534351145038167E-2</v>
      </c>
      <c r="P3" s="9">
        <f t="shared" si="0"/>
        <v>1.9047619047619049E-2</v>
      </c>
    </row>
    <row r="4" spans="1:16" x14ac:dyDescent="0.3">
      <c r="A4" s="8" t="s">
        <v>36</v>
      </c>
      <c r="B4" s="16">
        <v>1.7950362189763685E-2</v>
      </c>
      <c r="C4" s="16">
        <v>7.462686567164179E-3</v>
      </c>
      <c r="D4" s="16">
        <v>1.0752688172043012E-2</v>
      </c>
      <c r="E4" s="16">
        <v>1.1494252873563218E-2</v>
      </c>
      <c r="F4" s="16">
        <v>7.8947368421052634E-3</v>
      </c>
      <c r="G4" s="16">
        <v>3.8167938931297708E-3</v>
      </c>
      <c r="H4" s="16">
        <v>0</v>
      </c>
      <c r="I4" s="9">
        <v>4.2693266832917701E-2</v>
      </c>
      <c r="J4" s="9">
        <f t="shared" ref="J4:P19" si="1">J3+B4</f>
        <v>4.2693266832917701E-2</v>
      </c>
      <c r="K4" s="9">
        <f t="shared" si="0"/>
        <v>3.2338308457711441E-2</v>
      </c>
      <c r="L4" s="9">
        <f t="shared" si="0"/>
        <v>3.2258064516129031E-2</v>
      </c>
      <c r="M4" s="9">
        <f t="shared" si="0"/>
        <v>1.532567049808429E-2</v>
      </c>
      <c r="N4" s="9">
        <f t="shared" si="0"/>
        <v>2.8947368421052631E-2</v>
      </c>
      <c r="O4" s="9">
        <f t="shared" si="0"/>
        <v>3.4351145038167941E-2</v>
      </c>
      <c r="P4" s="9">
        <f t="shared" si="0"/>
        <v>1.9047619047619049E-2</v>
      </c>
    </row>
    <row r="5" spans="1:16" x14ac:dyDescent="0.3">
      <c r="A5" s="8" t="s">
        <v>46</v>
      </c>
      <c r="B5" s="16">
        <v>1.83398646241539E-2</v>
      </c>
      <c r="C5" s="16">
        <v>1.2437810945273632E-2</v>
      </c>
      <c r="D5" s="16">
        <v>2.1505376344086023E-2</v>
      </c>
      <c r="E5" s="16">
        <v>1.1494252873563218E-2</v>
      </c>
      <c r="F5" s="16">
        <v>1.5789473684210527E-2</v>
      </c>
      <c r="G5" s="16">
        <v>3.4351145038167941E-2</v>
      </c>
      <c r="H5" s="16">
        <v>2.8571428571428571E-2</v>
      </c>
      <c r="I5" s="9">
        <v>6.10331314570716E-2</v>
      </c>
      <c r="J5" s="9">
        <f t="shared" si="1"/>
        <v>6.10331314570716E-2</v>
      </c>
      <c r="K5" s="9">
        <f t="shared" si="0"/>
        <v>4.4776119402985072E-2</v>
      </c>
      <c r="L5" s="9">
        <f t="shared" si="0"/>
        <v>5.3763440860215055E-2</v>
      </c>
      <c r="M5" s="9">
        <f t="shared" si="0"/>
        <v>2.6819923371647507E-2</v>
      </c>
      <c r="N5" s="9">
        <f t="shared" si="0"/>
        <v>4.4736842105263158E-2</v>
      </c>
      <c r="O5" s="9">
        <f t="shared" si="0"/>
        <v>6.8702290076335881E-2</v>
      </c>
      <c r="P5" s="9">
        <f t="shared" si="0"/>
        <v>4.7619047619047616E-2</v>
      </c>
    </row>
    <row r="6" spans="1:16" x14ac:dyDescent="0.3">
      <c r="A6" s="8" t="s">
        <v>32</v>
      </c>
      <c r="B6" s="16">
        <v>1.8976368602303763E-2</v>
      </c>
      <c r="C6" s="16">
        <v>1.9900497512437811E-2</v>
      </c>
      <c r="D6" s="16">
        <v>5.3763440860215058E-3</v>
      </c>
      <c r="E6" s="16">
        <v>7.6628352490421452E-3</v>
      </c>
      <c r="F6" s="16">
        <v>2.1052631578947368E-2</v>
      </c>
      <c r="G6" s="16">
        <v>1.1450381679389313E-2</v>
      </c>
      <c r="H6" s="16">
        <v>1.9047619047619049E-2</v>
      </c>
      <c r="I6" s="9">
        <v>8.0009500059375363E-2</v>
      </c>
      <c r="J6" s="9">
        <f t="shared" si="1"/>
        <v>8.0009500059375363E-2</v>
      </c>
      <c r="K6" s="9">
        <f t="shared" si="0"/>
        <v>6.4676616915422883E-2</v>
      </c>
      <c r="L6" s="9">
        <f t="shared" si="0"/>
        <v>5.9139784946236562E-2</v>
      </c>
      <c r="M6" s="9">
        <f t="shared" si="0"/>
        <v>3.4482758620689655E-2</v>
      </c>
      <c r="N6" s="9">
        <f t="shared" si="0"/>
        <v>6.5789473684210523E-2</v>
      </c>
      <c r="O6" s="9">
        <f t="shared" si="0"/>
        <v>8.0152671755725199E-2</v>
      </c>
      <c r="P6" s="9">
        <f t="shared" si="0"/>
        <v>6.6666666666666666E-2</v>
      </c>
    </row>
    <row r="7" spans="1:16" x14ac:dyDescent="0.3">
      <c r="A7" s="8" t="s">
        <v>41</v>
      </c>
      <c r="B7" s="16">
        <v>1.9669872936705853E-2</v>
      </c>
      <c r="C7" s="16">
        <v>1.9900497512437811E-2</v>
      </c>
      <c r="D7" s="16">
        <v>5.3763440860215058E-3</v>
      </c>
      <c r="E7" s="16">
        <v>3.8314176245210726E-3</v>
      </c>
      <c r="F7" s="16">
        <v>2.8947368421052631E-2</v>
      </c>
      <c r="G7" s="16">
        <v>7.6335877862595417E-3</v>
      </c>
      <c r="H7" s="16">
        <v>9.5238095238095247E-3</v>
      </c>
      <c r="I7" s="9">
        <v>9.967937299608122E-2</v>
      </c>
      <c r="J7" s="9">
        <f t="shared" si="1"/>
        <v>9.967937299608122E-2</v>
      </c>
      <c r="K7" s="9">
        <f t="shared" si="0"/>
        <v>8.45771144278607E-2</v>
      </c>
      <c r="L7" s="9">
        <f t="shared" si="0"/>
        <v>6.4516129032258063E-2</v>
      </c>
      <c r="M7" s="9">
        <f t="shared" si="0"/>
        <v>3.8314176245210725E-2</v>
      </c>
      <c r="N7" s="9">
        <f t="shared" si="0"/>
        <v>9.4736842105263147E-2</v>
      </c>
      <c r="O7" s="9">
        <f t="shared" si="0"/>
        <v>8.778625954198474E-2</v>
      </c>
      <c r="P7" s="9">
        <f t="shared" si="0"/>
        <v>7.6190476190476197E-2</v>
      </c>
    </row>
    <row r="8" spans="1:16" x14ac:dyDescent="0.3">
      <c r="A8" s="8" t="s">
        <v>34</v>
      </c>
      <c r="B8" s="16">
        <v>2.2054387839924E-2</v>
      </c>
      <c r="C8" s="16">
        <v>1.4925373134328358E-2</v>
      </c>
      <c r="D8" s="16">
        <v>1.6129032258064516E-2</v>
      </c>
      <c r="E8" s="16">
        <v>1.9157088122605363E-2</v>
      </c>
      <c r="F8" s="16">
        <v>2.6315789473684209E-2</v>
      </c>
      <c r="G8" s="16">
        <v>2.6717557251908396E-2</v>
      </c>
      <c r="H8" s="16">
        <v>2.8571428571428571E-2</v>
      </c>
      <c r="I8" s="9">
        <v>0.12173376083600522</v>
      </c>
      <c r="J8" s="9">
        <f t="shared" si="1"/>
        <v>0.12173376083600522</v>
      </c>
      <c r="K8" s="9">
        <f t="shared" si="0"/>
        <v>9.950248756218906E-2</v>
      </c>
      <c r="L8" s="9">
        <f t="shared" si="0"/>
        <v>8.0645161290322578E-2</v>
      </c>
      <c r="M8" s="9">
        <f t="shared" si="0"/>
        <v>5.7471264367816091E-2</v>
      </c>
      <c r="N8" s="9">
        <f t="shared" si="0"/>
        <v>0.12105263157894736</v>
      </c>
      <c r="O8" s="9">
        <f t="shared" si="0"/>
        <v>0.11450381679389314</v>
      </c>
      <c r="P8" s="9">
        <f t="shared" si="0"/>
        <v>0.10476190476190476</v>
      </c>
    </row>
    <row r="9" spans="1:16" x14ac:dyDescent="0.3">
      <c r="A9" s="8" t="s">
        <v>40</v>
      </c>
      <c r="B9" s="16">
        <v>2.2187388671179194E-2</v>
      </c>
      <c r="C9" s="16">
        <v>5.2238805970149252E-2</v>
      </c>
      <c r="D9" s="16">
        <v>3.7634408602150539E-2</v>
      </c>
      <c r="E9" s="16">
        <v>3.4482758620689655E-2</v>
      </c>
      <c r="F9" s="16">
        <v>2.6315789473684209E-2</v>
      </c>
      <c r="G9" s="16">
        <v>3.4351145038167941E-2</v>
      </c>
      <c r="H9" s="16">
        <v>2.8571428571428571E-2</v>
      </c>
      <c r="I9" s="9">
        <v>0.1439211495071844</v>
      </c>
      <c r="J9" s="9">
        <f t="shared" si="1"/>
        <v>0.1439211495071844</v>
      </c>
      <c r="K9" s="9">
        <f t="shared" si="0"/>
        <v>0.15174129353233831</v>
      </c>
      <c r="L9" s="9">
        <f t="shared" si="0"/>
        <v>0.11827956989247312</v>
      </c>
      <c r="M9" s="9">
        <f t="shared" si="0"/>
        <v>9.1954022988505746E-2</v>
      </c>
      <c r="N9" s="9">
        <f t="shared" si="0"/>
        <v>0.14736842105263157</v>
      </c>
      <c r="O9" s="9">
        <f t="shared" si="0"/>
        <v>0.14885496183206109</v>
      </c>
      <c r="P9" s="9">
        <f t="shared" si="0"/>
        <v>0.13333333333333333</v>
      </c>
    </row>
    <row r="10" spans="1:16" x14ac:dyDescent="0.3">
      <c r="A10" s="8" t="s">
        <v>45</v>
      </c>
      <c r="B10" s="16">
        <v>2.2291889324308277E-2</v>
      </c>
      <c r="C10" s="16">
        <v>9.9502487562189053E-3</v>
      </c>
      <c r="D10" s="16">
        <v>3.2258064516129031E-2</v>
      </c>
      <c r="E10" s="16">
        <v>3.8314176245210725E-2</v>
      </c>
      <c r="F10" s="16">
        <v>1.3157894736842105E-2</v>
      </c>
      <c r="G10" s="16">
        <v>1.1450381679389313E-2</v>
      </c>
      <c r="H10" s="16">
        <v>1.9047619047619049E-2</v>
      </c>
      <c r="I10" s="9">
        <v>0.16621303883149269</v>
      </c>
      <c r="J10" s="9">
        <f t="shared" si="1"/>
        <v>0.16621303883149269</v>
      </c>
      <c r="K10" s="9">
        <f t="shared" si="0"/>
        <v>0.16169154228855723</v>
      </c>
      <c r="L10" s="9">
        <f t="shared" si="0"/>
        <v>0.15053763440860216</v>
      </c>
      <c r="M10" s="9">
        <f t="shared" si="0"/>
        <v>0.13026819923371646</v>
      </c>
      <c r="N10" s="9">
        <f t="shared" si="0"/>
        <v>0.16052631578947368</v>
      </c>
      <c r="O10" s="9">
        <f t="shared" si="0"/>
        <v>0.1603053435114504</v>
      </c>
      <c r="P10" s="9">
        <f t="shared" si="0"/>
        <v>0.15238095238095239</v>
      </c>
    </row>
    <row r="11" spans="1:16" x14ac:dyDescent="0.3">
      <c r="A11" s="8" t="s">
        <v>35</v>
      </c>
      <c r="B11" s="16">
        <v>2.3298895618097615E-2</v>
      </c>
      <c r="C11" s="16">
        <v>9.9502487562189053E-3</v>
      </c>
      <c r="D11" s="16">
        <v>3.7634408602150539E-2</v>
      </c>
      <c r="E11" s="16">
        <v>1.532567049808429E-2</v>
      </c>
      <c r="F11" s="16">
        <v>2.631578947368421E-3</v>
      </c>
      <c r="G11" s="16">
        <v>1.9083969465648856E-2</v>
      </c>
      <c r="H11" s="16">
        <v>1.9047619047619049E-2</v>
      </c>
      <c r="I11" s="9">
        <v>0.1895119344495903</v>
      </c>
      <c r="J11" s="9">
        <f t="shared" si="1"/>
        <v>0.1895119344495903</v>
      </c>
      <c r="K11" s="9">
        <f t="shared" si="0"/>
        <v>0.17164179104477614</v>
      </c>
      <c r="L11" s="9">
        <f t="shared" si="0"/>
        <v>0.18817204301075269</v>
      </c>
      <c r="M11" s="9">
        <f t="shared" si="0"/>
        <v>0.14559386973180075</v>
      </c>
      <c r="N11" s="9">
        <f t="shared" si="0"/>
        <v>0.16315789473684211</v>
      </c>
      <c r="O11" s="9">
        <f t="shared" si="0"/>
        <v>0.17938931297709926</v>
      </c>
      <c r="P11" s="9">
        <f t="shared" si="0"/>
        <v>0.17142857142857143</v>
      </c>
    </row>
    <row r="12" spans="1:16" x14ac:dyDescent="0.3">
      <c r="A12" s="8" t="s">
        <v>37</v>
      </c>
      <c r="B12" s="16">
        <v>2.4828405177532358E-2</v>
      </c>
      <c r="C12" s="16">
        <v>1.7412935323383085E-2</v>
      </c>
      <c r="D12" s="16">
        <v>0</v>
      </c>
      <c r="E12" s="16">
        <v>3.8314176245210726E-3</v>
      </c>
      <c r="F12" s="16">
        <v>1.0526315789473684E-2</v>
      </c>
      <c r="G12" s="16">
        <v>1.1450381679389313E-2</v>
      </c>
      <c r="H12" s="16">
        <v>2.8571428571428571E-2</v>
      </c>
      <c r="I12" s="9">
        <v>0.21434033962712265</v>
      </c>
      <c r="J12" s="9">
        <f t="shared" si="1"/>
        <v>0.21434033962712265</v>
      </c>
      <c r="K12" s="9">
        <f t="shared" si="0"/>
        <v>0.18905472636815923</v>
      </c>
      <c r="L12" s="9">
        <f t="shared" si="0"/>
        <v>0.18817204301075269</v>
      </c>
      <c r="M12" s="9">
        <f t="shared" si="0"/>
        <v>0.14942528735632182</v>
      </c>
      <c r="N12" s="9">
        <f t="shared" si="0"/>
        <v>0.1736842105263158</v>
      </c>
      <c r="O12" s="9">
        <f t="shared" si="0"/>
        <v>0.19083969465648856</v>
      </c>
      <c r="P12" s="9">
        <f t="shared" si="0"/>
        <v>0.2</v>
      </c>
    </row>
    <row r="13" spans="1:16" x14ac:dyDescent="0.3">
      <c r="A13" s="8" t="s">
        <v>47</v>
      </c>
      <c r="B13" s="16">
        <v>2.5441159007243794E-2</v>
      </c>
      <c r="C13" s="16">
        <v>2.2388059701492536E-2</v>
      </c>
      <c r="D13" s="16">
        <v>2.1505376344086023E-2</v>
      </c>
      <c r="E13" s="16">
        <v>2.2988505747126436E-2</v>
      </c>
      <c r="F13" s="16">
        <v>4.4736842105263158E-2</v>
      </c>
      <c r="G13" s="16">
        <v>3.8167938931297708E-3</v>
      </c>
      <c r="H13" s="16">
        <v>2.8571428571428571E-2</v>
      </c>
      <c r="I13" s="9">
        <v>0.23978149863436643</v>
      </c>
      <c r="J13" s="9">
        <f t="shared" si="1"/>
        <v>0.23978149863436643</v>
      </c>
      <c r="K13" s="9">
        <f t="shared" si="0"/>
        <v>0.21144278606965178</v>
      </c>
      <c r="L13" s="9">
        <f t="shared" si="0"/>
        <v>0.20967741935483872</v>
      </c>
      <c r="M13" s="9">
        <f t="shared" si="0"/>
        <v>0.17241379310344826</v>
      </c>
      <c r="N13" s="9">
        <f t="shared" si="0"/>
        <v>0.21842105263157896</v>
      </c>
      <c r="O13" s="9">
        <f t="shared" si="0"/>
        <v>0.19465648854961834</v>
      </c>
      <c r="P13" s="9">
        <f t="shared" si="0"/>
        <v>0.22857142857142859</v>
      </c>
    </row>
    <row r="14" spans="1:16" x14ac:dyDescent="0.3">
      <c r="A14" s="8" t="s">
        <v>50</v>
      </c>
      <c r="B14" s="16">
        <v>3.486521790761192E-2</v>
      </c>
      <c r="C14" s="16">
        <v>3.2338308457711441E-2</v>
      </c>
      <c r="D14" s="16">
        <v>2.6881720430107527E-2</v>
      </c>
      <c r="E14" s="16">
        <v>1.1494252873563218E-2</v>
      </c>
      <c r="F14" s="16">
        <v>2.1052631578947368E-2</v>
      </c>
      <c r="G14" s="16">
        <v>2.2900763358778626E-2</v>
      </c>
      <c r="H14" s="16">
        <v>9.5238095238095247E-3</v>
      </c>
      <c r="I14" s="9">
        <v>0.27464671654197836</v>
      </c>
      <c r="J14" s="9">
        <f t="shared" si="1"/>
        <v>0.27464671654197836</v>
      </c>
      <c r="K14" s="9">
        <f t="shared" si="0"/>
        <v>0.24378109452736321</v>
      </c>
      <c r="L14" s="9">
        <f t="shared" si="0"/>
        <v>0.23655913978494625</v>
      </c>
      <c r="M14" s="9">
        <f t="shared" si="0"/>
        <v>0.18390804597701149</v>
      </c>
      <c r="N14" s="9">
        <f t="shared" si="0"/>
        <v>0.23947368421052634</v>
      </c>
      <c r="O14" s="9">
        <f t="shared" si="0"/>
        <v>0.21755725190839698</v>
      </c>
      <c r="P14" s="9">
        <f t="shared" si="0"/>
        <v>0.23809523809523811</v>
      </c>
    </row>
    <row r="15" spans="1:16" x14ac:dyDescent="0.3">
      <c r="A15" s="8" t="s">
        <v>48</v>
      </c>
      <c r="B15" s="16">
        <v>3.6261726635791476E-2</v>
      </c>
      <c r="C15" s="16">
        <v>3.7313432835820892E-2</v>
      </c>
      <c r="D15" s="16">
        <v>2.6881720430107527E-2</v>
      </c>
      <c r="E15" s="16">
        <v>1.1494252873563218E-2</v>
      </c>
      <c r="F15" s="16">
        <v>3.4210526315789476E-2</v>
      </c>
      <c r="G15" s="16">
        <v>5.3435114503816793E-2</v>
      </c>
      <c r="H15" s="16">
        <v>1.9047619047619049E-2</v>
      </c>
      <c r="I15" s="9">
        <v>0.31090844317776983</v>
      </c>
      <c r="J15" s="9">
        <f t="shared" si="1"/>
        <v>0.31090844317776983</v>
      </c>
      <c r="K15" s="9">
        <f t="shared" si="0"/>
        <v>0.28109452736318408</v>
      </c>
      <c r="L15" s="9">
        <f t="shared" si="0"/>
        <v>0.26344086021505375</v>
      </c>
      <c r="M15" s="9">
        <f t="shared" si="0"/>
        <v>0.1954022988505747</v>
      </c>
      <c r="N15" s="9">
        <f t="shared" si="0"/>
        <v>0.27368421052631581</v>
      </c>
      <c r="O15" s="9">
        <f t="shared" si="0"/>
        <v>0.27099236641221375</v>
      </c>
      <c r="P15" s="9">
        <f t="shared" si="0"/>
        <v>0.25714285714285717</v>
      </c>
    </row>
    <row r="16" spans="1:16" x14ac:dyDescent="0.3">
      <c r="A16" s="8" t="s">
        <v>38</v>
      </c>
      <c r="B16" s="16">
        <v>4.8958555990974942E-2</v>
      </c>
      <c r="C16" s="16">
        <v>1.7412935323383085E-2</v>
      </c>
      <c r="D16" s="16">
        <v>5.3763440860215055E-2</v>
      </c>
      <c r="E16" s="16">
        <v>2.2988505747126436E-2</v>
      </c>
      <c r="F16" s="16">
        <v>3.4210526315789476E-2</v>
      </c>
      <c r="G16" s="16">
        <v>6.1068702290076333E-2</v>
      </c>
      <c r="H16" s="16">
        <v>2.8571428571428571E-2</v>
      </c>
      <c r="I16" s="9">
        <v>0.35986699916874476</v>
      </c>
      <c r="J16" s="9">
        <f t="shared" si="1"/>
        <v>0.35986699916874476</v>
      </c>
      <c r="K16" s="9">
        <f t="shared" si="0"/>
        <v>0.29850746268656714</v>
      </c>
      <c r="L16" s="9">
        <f t="shared" si="0"/>
        <v>0.31720430107526881</v>
      </c>
      <c r="M16" s="9">
        <f t="shared" si="0"/>
        <v>0.21839080459770113</v>
      </c>
      <c r="N16" s="9">
        <f t="shared" si="0"/>
        <v>0.30789473684210528</v>
      </c>
      <c r="O16" s="9">
        <f t="shared" si="0"/>
        <v>0.33206106870229007</v>
      </c>
      <c r="P16" s="9">
        <f t="shared" si="0"/>
        <v>0.28571428571428575</v>
      </c>
    </row>
    <row r="17" spans="1:16" x14ac:dyDescent="0.3">
      <c r="A17" s="8" t="s">
        <v>51</v>
      </c>
      <c r="B17" s="16">
        <v>4.9082056762854764E-2</v>
      </c>
      <c r="C17" s="16">
        <v>4.4776119402985072E-2</v>
      </c>
      <c r="D17" s="16">
        <v>5.3763440860215058E-3</v>
      </c>
      <c r="E17" s="16">
        <v>5.7471264367816091E-2</v>
      </c>
      <c r="F17" s="16">
        <v>4.2105263157894736E-2</v>
      </c>
      <c r="G17" s="16">
        <v>3.4351145038167941E-2</v>
      </c>
      <c r="H17" s="16">
        <v>9.5238095238095247E-3</v>
      </c>
      <c r="I17" s="9">
        <v>0.40894905593159953</v>
      </c>
      <c r="J17" s="9">
        <f t="shared" si="1"/>
        <v>0.40894905593159953</v>
      </c>
      <c r="K17" s="9">
        <f t="shared" si="0"/>
        <v>0.34328358208955223</v>
      </c>
      <c r="L17" s="9">
        <f t="shared" si="0"/>
        <v>0.32258064516129031</v>
      </c>
      <c r="M17" s="9">
        <f t="shared" si="0"/>
        <v>0.27586206896551724</v>
      </c>
      <c r="N17" s="9">
        <f t="shared" si="0"/>
        <v>0.35000000000000003</v>
      </c>
      <c r="O17" s="9">
        <f t="shared" si="0"/>
        <v>0.36641221374045801</v>
      </c>
      <c r="P17" s="9">
        <f t="shared" si="0"/>
        <v>0.2952380952380953</v>
      </c>
    </row>
    <row r="18" spans="1:16" x14ac:dyDescent="0.3">
      <c r="A18" s="8" t="s">
        <v>39</v>
      </c>
      <c r="B18" s="16">
        <v>5.8168863555397222E-2</v>
      </c>
      <c r="C18" s="16">
        <v>3.2338308457711441E-2</v>
      </c>
      <c r="D18" s="16">
        <v>2.6881720430107527E-2</v>
      </c>
      <c r="E18" s="16">
        <v>3.4482758620689655E-2</v>
      </c>
      <c r="F18" s="16">
        <v>2.8947368421052631E-2</v>
      </c>
      <c r="G18" s="16">
        <v>9.1603053435114504E-2</v>
      </c>
      <c r="H18" s="16">
        <v>7.6190476190476197E-2</v>
      </c>
      <c r="I18" s="9">
        <v>0.46711791948699677</v>
      </c>
      <c r="J18" s="9">
        <f t="shared" si="1"/>
        <v>0.46711791948699677</v>
      </c>
      <c r="K18" s="9">
        <f t="shared" si="0"/>
        <v>0.37562189054726369</v>
      </c>
      <c r="L18" s="9">
        <f t="shared" si="0"/>
        <v>0.34946236559139782</v>
      </c>
      <c r="M18" s="9">
        <f t="shared" si="0"/>
        <v>0.31034482758620691</v>
      </c>
      <c r="N18" s="9">
        <f t="shared" si="0"/>
        <v>0.37894736842105264</v>
      </c>
      <c r="O18" s="9">
        <f t="shared" si="0"/>
        <v>0.4580152671755725</v>
      </c>
      <c r="P18" s="9">
        <f t="shared" si="0"/>
        <v>0.3714285714285715</v>
      </c>
    </row>
    <row r="19" spans="1:16" x14ac:dyDescent="0.3">
      <c r="A19" s="8" t="s">
        <v>43</v>
      </c>
      <c r="B19" s="16">
        <v>6.3574397339983379E-2</v>
      </c>
      <c r="C19" s="16">
        <v>6.4676616915422883E-2</v>
      </c>
      <c r="D19" s="16">
        <v>0.18817204301075269</v>
      </c>
      <c r="E19" s="16">
        <v>0.16091954022988506</v>
      </c>
      <c r="F19" s="16">
        <v>8.1578947368421056E-2</v>
      </c>
      <c r="G19" s="16">
        <v>0.11450381679389313</v>
      </c>
      <c r="H19" s="16">
        <v>0.12380952380952381</v>
      </c>
      <c r="I19" s="9">
        <v>0.53069231682698015</v>
      </c>
      <c r="J19" s="9">
        <f t="shared" si="1"/>
        <v>0.53069231682698015</v>
      </c>
      <c r="K19" s="9">
        <f t="shared" si="1"/>
        <v>0.44029850746268656</v>
      </c>
      <c r="L19" s="9">
        <f t="shared" si="1"/>
        <v>0.5376344086021505</v>
      </c>
      <c r="M19" s="9">
        <f t="shared" si="1"/>
        <v>0.47126436781609193</v>
      </c>
      <c r="N19" s="9">
        <f t="shared" si="1"/>
        <v>0.46052631578947367</v>
      </c>
      <c r="O19" s="9">
        <f t="shared" si="1"/>
        <v>0.5725190839694656</v>
      </c>
      <c r="P19" s="9">
        <f t="shared" si="1"/>
        <v>0.49523809523809531</v>
      </c>
    </row>
    <row r="20" spans="1:16" x14ac:dyDescent="0.3">
      <c r="A20" s="8" t="s">
        <v>33</v>
      </c>
      <c r="B20" s="16">
        <v>7.189169932312077E-2</v>
      </c>
      <c r="C20" s="16">
        <v>4.975124378109453E-2</v>
      </c>
      <c r="D20" s="16">
        <v>0.10215053763440861</v>
      </c>
      <c r="E20" s="16">
        <v>0.11494252873563218</v>
      </c>
      <c r="F20" s="16">
        <v>0.10526315789473684</v>
      </c>
      <c r="G20" s="16">
        <v>6.4885496183206104E-2</v>
      </c>
      <c r="H20" s="16">
        <v>0.11428571428571428</v>
      </c>
      <c r="I20" s="9">
        <v>0.60258401615010093</v>
      </c>
      <c r="J20" s="9">
        <f t="shared" ref="J20:P22" si="2">J19+B20</f>
        <v>0.60258401615010093</v>
      </c>
      <c r="K20" s="9">
        <f t="shared" si="2"/>
        <v>0.49004975124378108</v>
      </c>
      <c r="L20" s="9">
        <f t="shared" si="2"/>
        <v>0.63978494623655913</v>
      </c>
      <c r="M20" s="9">
        <f t="shared" si="2"/>
        <v>0.58620689655172409</v>
      </c>
      <c r="N20" s="9">
        <f t="shared" si="2"/>
        <v>0.56578947368421051</v>
      </c>
      <c r="O20" s="9">
        <f t="shared" si="2"/>
        <v>0.63740458015267176</v>
      </c>
      <c r="P20" s="9">
        <f t="shared" si="2"/>
        <v>0.60952380952380958</v>
      </c>
    </row>
    <row r="21" spans="1:16" x14ac:dyDescent="0.3">
      <c r="A21" s="8" t="s">
        <v>42</v>
      </c>
      <c r="B21" s="16">
        <v>0.11239995249970312</v>
      </c>
      <c r="C21" s="16">
        <v>6.965174129353234E-2</v>
      </c>
      <c r="D21" s="16">
        <v>6.9892473118279563E-2</v>
      </c>
      <c r="E21" s="16">
        <v>6.8965517241379309E-2</v>
      </c>
      <c r="F21" s="16">
        <v>9.4736842105263161E-2</v>
      </c>
      <c r="G21" s="16">
        <v>0.12977099236641221</v>
      </c>
      <c r="H21" s="16">
        <v>0.16190476190476191</v>
      </c>
      <c r="I21" s="9">
        <v>0.71498396864980407</v>
      </c>
      <c r="J21" s="9">
        <f t="shared" si="2"/>
        <v>0.71498396864980407</v>
      </c>
      <c r="K21" s="9">
        <f t="shared" si="2"/>
        <v>0.55970149253731338</v>
      </c>
      <c r="L21" s="9">
        <f t="shared" si="2"/>
        <v>0.70967741935483875</v>
      </c>
      <c r="M21" s="9">
        <f t="shared" si="2"/>
        <v>0.65517241379310343</v>
      </c>
      <c r="N21" s="9">
        <f t="shared" si="2"/>
        <v>0.66052631578947363</v>
      </c>
      <c r="O21" s="9">
        <f t="shared" si="2"/>
        <v>0.76717557251908397</v>
      </c>
      <c r="P21" s="9">
        <f t="shared" si="2"/>
        <v>0.77142857142857146</v>
      </c>
    </row>
    <row r="22" spans="1:16" x14ac:dyDescent="0.3">
      <c r="A22" s="8" t="s">
        <v>31</v>
      </c>
      <c r="B22" s="16">
        <v>0.28501603135019593</v>
      </c>
      <c r="C22" s="16">
        <v>0.44029850746268656</v>
      </c>
      <c r="D22" s="16">
        <v>0.29032258064516131</v>
      </c>
      <c r="E22" s="16">
        <v>0.34482758620689657</v>
      </c>
      <c r="F22" s="16">
        <v>0.33947368421052632</v>
      </c>
      <c r="G22" s="16">
        <v>0.23282442748091603</v>
      </c>
      <c r="H22" s="16">
        <v>0.22857142857142856</v>
      </c>
      <c r="I22" s="9">
        <v>1</v>
      </c>
      <c r="J22" s="9">
        <f t="shared" si="2"/>
        <v>1</v>
      </c>
      <c r="K22" s="9">
        <f t="shared" si="2"/>
        <v>1</v>
      </c>
      <c r="L22" s="9">
        <f t="shared" si="2"/>
        <v>1</v>
      </c>
      <c r="M22" s="9">
        <f t="shared" si="2"/>
        <v>1</v>
      </c>
      <c r="N22" s="9">
        <f t="shared" si="2"/>
        <v>1</v>
      </c>
      <c r="O22" s="9">
        <f t="shared" si="2"/>
        <v>1</v>
      </c>
      <c r="P22" s="9">
        <f t="shared" si="2"/>
        <v>1</v>
      </c>
    </row>
    <row r="24" spans="1:16" ht="28.8" x14ac:dyDescent="0.3">
      <c r="B24" s="1" t="s">
        <v>23</v>
      </c>
      <c r="C24" s="3" t="s">
        <v>61</v>
      </c>
      <c r="D24" s="3" t="s">
        <v>62</v>
      </c>
      <c r="E24" s="3" t="s">
        <v>63</v>
      </c>
      <c r="F24" s="3" t="s">
        <v>64</v>
      </c>
      <c r="G24" s="3" t="s">
        <v>65</v>
      </c>
      <c r="H24" s="3" t="s">
        <v>66</v>
      </c>
      <c r="J24" s="8"/>
      <c r="K24" s="12" t="s">
        <v>67</v>
      </c>
      <c r="L24" s="12" t="s">
        <v>68</v>
      </c>
      <c r="M24" s="12" t="s">
        <v>69</v>
      </c>
      <c r="N24" s="12" t="s">
        <v>70</v>
      </c>
      <c r="O24" s="12" t="s">
        <v>71</v>
      </c>
      <c r="P24" s="12" t="s">
        <v>72</v>
      </c>
    </row>
    <row r="25" spans="1:16" x14ac:dyDescent="0.3">
      <c r="B25" s="8" t="s">
        <v>49</v>
      </c>
      <c r="C25" s="9">
        <f>C2-B2</f>
        <v>2.6750465697873288E-3</v>
      </c>
      <c r="D25" s="9">
        <f>D2-B2</f>
        <v>-1.4976383924980175E-3</v>
      </c>
      <c r="E25" s="9">
        <f>E2-B2</f>
        <v>-8.418908940019957E-3</v>
      </c>
      <c r="F25" s="9">
        <f>F2-B2</f>
        <v>3.5391471196694977E-3</v>
      </c>
      <c r="G25" s="9">
        <f>G2-B2</f>
        <v>1.0650436794237597E-2</v>
      </c>
      <c r="H25" s="9">
        <f>H2-B2</f>
        <v>6.7972924830780202E-3</v>
      </c>
      <c r="J25" s="8" t="s">
        <v>49</v>
      </c>
      <c r="K25" s="8">
        <f>(J2-0) * ((K2+0))</f>
        <v>1.8284069499314968E-4</v>
      </c>
      <c r="L25" s="8">
        <f>(J2-0) * ((L2+0))</f>
        <v>1.3172394155420462E-4</v>
      </c>
      <c r="M25" s="8">
        <f>(J2-0) * ((M2+0))</f>
        <v>4.6936117105521182E-5</v>
      </c>
      <c r="N25" s="8">
        <f>(J2-0) * ((N2+0))</f>
        <v>1.9342620891380573E-4</v>
      </c>
      <c r="O25" s="8">
        <f>(J2-0) * ((O2+0))</f>
        <v>2.8054182972231362E-4</v>
      </c>
      <c r="P25" s="8">
        <f>(J2-0) * ((P2+0))</f>
        <v>2.3333955361030533E-4</v>
      </c>
    </row>
    <row r="26" spans="1:16" x14ac:dyDescent="0.3">
      <c r="B26" s="8" t="s">
        <v>44</v>
      </c>
      <c r="C26" s="9">
        <f t="shared" ref="C26:C45" si="3">C3-B3</f>
        <v>-2.5423293223940865E-3</v>
      </c>
      <c r="D26" s="9">
        <f t="shared" ref="D26:D45" si="4">D3-B3</f>
        <v>-1.7398899065699802E-3</v>
      </c>
      <c r="E26" s="9">
        <f t="shared" ref="E26:E45" si="5">E3-B3</f>
        <v>-1.2492578078612992E-2</v>
      </c>
      <c r="F26" s="9">
        <f t="shared" ref="F26:F45" si="6">F3-B3</f>
        <v>-7.2294201838761498E-3</v>
      </c>
      <c r="G26" s="9">
        <f t="shared" ref="G26:G45" si="7">G3-B3</f>
        <v>-4.8589902923534501E-3</v>
      </c>
      <c r="H26" s="9">
        <f t="shared" ref="H26:H45" si="8">H3-B3</f>
        <v>-1.2492578078612992E-2</v>
      </c>
      <c r="J26" s="8" t="s">
        <v>44</v>
      </c>
      <c r="K26" s="8">
        <f>(J3-J2) * ((K3+K2))</f>
        <v>4.9721703795474589E-4</v>
      </c>
      <c r="L26" s="8">
        <f>(J3-J2) * ((L3+L2))</f>
        <v>4.0298638963267707E-4</v>
      </c>
      <c r="M26" s="8">
        <f>(J3-J2) * ((M3+M2))</f>
        <v>9.5728567652206818E-5</v>
      </c>
      <c r="N26" s="8">
        <f>(J3-J2) * ((N3+N2))</f>
        <v>4.6025287658047864E-4</v>
      </c>
      <c r="O26" s="8">
        <f>(J3-J2) * ((O3+O2))</f>
        <v>6.6754234007855671E-4</v>
      </c>
      <c r="P26" s="8">
        <f>(J3-J2) * ((P3+P2))</f>
        <v>4.7590773632811396E-4</v>
      </c>
    </row>
    <row r="27" spans="1:16" x14ac:dyDescent="0.3">
      <c r="B27" s="8" t="s">
        <v>36</v>
      </c>
      <c r="C27" s="9">
        <f t="shared" si="3"/>
        <v>-1.0487675622599505E-2</v>
      </c>
      <c r="D27" s="9">
        <f t="shared" si="4"/>
        <v>-7.1976740177206733E-3</v>
      </c>
      <c r="E27" s="9">
        <f t="shared" si="5"/>
        <v>-6.4561093162004667E-3</v>
      </c>
      <c r="F27" s="9">
        <f t="shared" si="6"/>
        <v>-1.0055625347658421E-2</v>
      </c>
      <c r="G27" s="9">
        <f t="shared" si="7"/>
        <v>-1.4133568296633914E-2</v>
      </c>
      <c r="H27" s="9">
        <f t="shared" si="8"/>
        <v>-1.7950362189763685E-2</v>
      </c>
      <c r="J27" s="8" t="s">
        <v>36</v>
      </c>
      <c r="K27" s="8">
        <f t="shared" ref="K27:K45" si="9">(J4-J3) * ((K4+K3))</f>
        <v>1.0270107720511559E-3</v>
      </c>
      <c r="L27" s="8">
        <f t="shared" ref="L27:L45" si="10">(J4-J3) * ((L4+L3))</f>
        <v>9.6507323600880006E-4</v>
      </c>
      <c r="M27" s="8">
        <f t="shared" ref="M27:M45" si="11">(J4-J3) * ((M4+M3))</f>
        <v>3.4387667030198618E-4</v>
      </c>
      <c r="N27" s="8">
        <f t="shared" ref="N27:N45" si="12">(J4-J3) * ((N4+N3))</f>
        <v>8.9751810948818407E-4</v>
      </c>
      <c r="O27" s="8">
        <f t="shared" ref="O27:O45" si="13">(J4-J3) * ((O4+O3))</f>
        <v>1.1647181573510785E-3</v>
      </c>
      <c r="P27" s="8">
        <f t="shared" ref="P27:P45" si="14">(J4-J3) * ((P4+P3))</f>
        <v>6.8382332151480693E-4</v>
      </c>
    </row>
    <row r="28" spans="1:16" x14ac:dyDescent="0.3">
      <c r="B28" s="8" t="s">
        <v>46</v>
      </c>
      <c r="C28" s="9">
        <f t="shared" si="3"/>
        <v>-5.9020536788802671E-3</v>
      </c>
      <c r="D28" s="9">
        <f t="shared" si="4"/>
        <v>3.1655117199321237E-3</v>
      </c>
      <c r="E28" s="9">
        <f t="shared" si="5"/>
        <v>-6.8456117505906813E-3</v>
      </c>
      <c r="F28" s="9">
        <f t="shared" si="6"/>
        <v>-2.5503909399433727E-3</v>
      </c>
      <c r="G28" s="9">
        <f t="shared" si="7"/>
        <v>1.6011280414014041E-2</v>
      </c>
      <c r="H28" s="9">
        <f t="shared" si="8"/>
        <v>1.0231563947274671E-2</v>
      </c>
      <c r="J28" s="8" t="s">
        <v>46</v>
      </c>
      <c r="K28" s="8">
        <f t="shared" si="9"/>
        <v>1.4142681675342558E-3</v>
      </c>
      <c r="L28" s="8">
        <f t="shared" si="10"/>
        <v>1.5776227633680776E-3</v>
      </c>
      <c r="M28" s="8">
        <f t="shared" si="11"/>
        <v>7.7294448607545161E-4</v>
      </c>
      <c r="N28" s="8">
        <f t="shared" si="12"/>
        <v>1.3513584459902874E-3</v>
      </c>
      <c r="O28" s="8">
        <f t="shared" si="13"/>
        <v>1.889986049054028E-3</v>
      </c>
      <c r="P28" s="8">
        <f t="shared" si="14"/>
        <v>1.22265764161026E-3</v>
      </c>
    </row>
    <row r="29" spans="1:16" x14ac:dyDescent="0.3">
      <c r="B29" s="8" t="s">
        <v>32</v>
      </c>
      <c r="C29" s="9">
        <f t="shared" si="3"/>
        <v>9.2412891013404774E-4</v>
      </c>
      <c r="D29" s="9">
        <f t="shared" si="4"/>
        <v>-1.3600024516282257E-2</v>
      </c>
      <c r="E29" s="9">
        <f t="shared" si="5"/>
        <v>-1.1313533353261618E-2</v>
      </c>
      <c r="F29" s="9">
        <f t="shared" si="6"/>
        <v>2.0762629766436051E-3</v>
      </c>
      <c r="G29" s="9">
        <f t="shared" si="7"/>
        <v>-7.5259869229144499E-3</v>
      </c>
      <c r="H29" s="9">
        <f t="shared" si="8"/>
        <v>7.1250445315286515E-5</v>
      </c>
      <c r="J29" s="8" t="s">
        <v>32</v>
      </c>
      <c r="K29" s="8">
        <f t="shared" si="9"/>
        <v>2.0770154689088694E-3</v>
      </c>
      <c r="L29" s="8">
        <f t="shared" si="10"/>
        <v>2.1424932292923604E-3</v>
      </c>
      <c r="M29" s="8">
        <f t="shared" si="11"/>
        <v>1.1633022897963993E-3</v>
      </c>
      <c r="N29" s="8">
        <f t="shared" si="12"/>
        <v>2.0973881086756791E-3</v>
      </c>
      <c r="O29" s="8">
        <f t="shared" si="13"/>
        <v>2.8247266240070492E-3</v>
      </c>
      <c r="P29" s="8">
        <f t="shared" si="14"/>
        <v>2.168727840263287E-3</v>
      </c>
    </row>
    <row r="30" spans="1:16" x14ac:dyDescent="0.3">
      <c r="B30" s="8" t="s">
        <v>41</v>
      </c>
      <c r="C30" s="9">
        <f t="shared" si="3"/>
        <v>2.3062457573195735E-4</v>
      </c>
      <c r="D30" s="9">
        <f t="shared" si="4"/>
        <v>-1.4293528850684347E-2</v>
      </c>
      <c r="E30" s="9">
        <f t="shared" si="5"/>
        <v>-1.5838455312184779E-2</v>
      </c>
      <c r="F30" s="9">
        <f t="shared" si="6"/>
        <v>9.2774954843467781E-3</v>
      </c>
      <c r="G30" s="9">
        <f t="shared" si="7"/>
        <v>-1.2036285150446312E-2</v>
      </c>
      <c r="H30" s="9">
        <f t="shared" si="8"/>
        <v>-1.0146063412896329E-2</v>
      </c>
      <c r="J30" s="8" t="s">
        <v>41</v>
      </c>
      <c r="K30" s="8">
        <f t="shared" si="9"/>
        <v>2.9358019308516202E-3</v>
      </c>
      <c r="L30" s="8">
        <f t="shared" si="10"/>
        <v>2.4322961158292191E-3</v>
      </c>
      <c r="M30" s="8">
        <f t="shared" si="11"/>
        <v>1.4319064589939129E-3</v>
      </c>
      <c r="N30" s="8">
        <f t="shared" si="12"/>
        <v>3.1575322345764665E-3</v>
      </c>
      <c r="O30" s="8">
        <f t="shared" si="13"/>
        <v>3.3033374397521287E-3</v>
      </c>
      <c r="P30" s="8">
        <f t="shared" si="14"/>
        <v>2.8099818481008365E-3</v>
      </c>
    </row>
    <row r="31" spans="1:16" x14ac:dyDescent="0.3">
      <c r="B31" s="8" t="s">
        <v>34</v>
      </c>
      <c r="C31" s="9">
        <f t="shared" si="3"/>
        <v>-7.1290147055956422E-3</v>
      </c>
      <c r="D31" s="9">
        <f t="shared" si="4"/>
        <v>-5.9253555818594844E-3</v>
      </c>
      <c r="E31" s="9">
        <f t="shared" si="5"/>
        <v>-2.8972997173186375E-3</v>
      </c>
      <c r="F31" s="9">
        <f t="shared" si="6"/>
        <v>4.261401633760209E-3</v>
      </c>
      <c r="G31" s="9">
        <f t="shared" si="7"/>
        <v>4.6631694119843962E-3</v>
      </c>
      <c r="H31" s="9">
        <f t="shared" si="8"/>
        <v>6.5170407315045704E-3</v>
      </c>
      <c r="J31" s="8" t="s">
        <v>34</v>
      </c>
      <c r="K31" s="8">
        <f t="shared" si="9"/>
        <v>4.0597629357074028E-3</v>
      </c>
      <c r="L31" s="8">
        <f t="shared" si="10"/>
        <v>3.2014433961179995E-3</v>
      </c>
      <c r="M31" s="8">
        <f t="shared" si="11"/>
        <v>2.1124892566977012E-3</v>
      </c>
      <c r="N31" s="8">
        <f t="shared" si="12"/>
        <v>4.7591047444046517E-3</v>
      </c>
      <c r="O31" s="8">
        <f t="shared" si="13"/>
        <v>4.4613837996792822E-3</v>
      </c>
      <c r="P31" s="8">
        <f t="shared" si="14"/>
        <v>3.9907939900814858E-3</v>
      </c>
    </row>
    <row r="32" spans="1:16" x14ac:dyDescent="0.3">
      <c r="B32" s="8" t="s">
        <v>40</v>
      </c>
      <c r="C32" s="9">
        <f t="shared" si="3"/>
        <v>3.0051417298970057E-2</v>
      </c>
      <c r="D32" s="9">
        <f t="shared" si="4"/>
        <v>1.5447019930971344E-2</v>
      </c>
      <c r="E32" s="9">
        <f t="shared" si="5"/>
        <v>1.229536994951046E-2</v>
      </c>
      <c r="F32" s="9">
        <f t="shared" si="6"/>
        <v>4.1284008025050146E-3</v>
      </c>
      <c r="G32" s="9">
        <f t="shared" si="7"/>
        <v>1.2163756366988746E-2</v>
      </c>
      <c r="H32" s="9">
        <f t="shared" si="8"/>
        <v>6.3840399002493761E-3</v>
      </c>
      <c r="J32" s="8" t="s">
        <v>40</v>
      </c>
      <c r="K32" s="8">
        <f t="shared" si="9"/>
        <v>5.5744434223609397E-3</v>
      </c>
      <c r="L32" s="8">
        <f t="shared" si="10"/>
        <v>4.4136203270625255E-3</v>
      </c>
      <c r="M32" s="8">
        <f t="shared" si="11"/>
        <v>3.3153569278773489E-3</v>
      </c>
      <c r="N32" s="8">
        <f t="shared" si="12"/>
        <v>5.9555622222638854E-3</v>
      </c>
      <c r="O32" s="8">
        <f t="shared" si="13"/>
        <v>5.8432435813410843E-3</v>
      </c>
      <c r="P32" s="8">
        <f t="shared" si="14"/>
        <v>5.2827115883759962E-3</v>
      </c>
    </row>
    <row r="33" spans="2:16" x14ac:dyDescent="0.3">
      <c r="B33" s="8" t="s">
        <v>45</v>
      </c>
      <c r="C33" s="9">
        <f t="shared" si="3"/>
        <v>-1.2341640568089372E-2</v>
      </c>
      <c r="D33" s="9">
        <f t="shared" si="4"/>
        <v>9.9661751918207545E-3</v>
      </c>
      <c r="E33" s="9">
        <f t="shared" si="5"/>
        <v>1.6022286920902448E-2</v>
      </c>
      <c r="F33" s="9">
        <f t="shared" si="6"/>
        <v>-9.1339945874661724E-3</v>
      </c>
      <c r="G33" s="9">
        <f t="shared" si="7"/>
        <v>-1.0841507644918964E-2</v>
      </c>
      <c r="H33" s="9">
        <f t="shared" si="8"/>
        <v>-3.2442702766892276E-3</v>
      </c>
      <c r="J33" s="8" t="s">
        <v>45</v>
      </c>
      <c r="K33" s="8">
        <f t="shared" si="9"/>
        <v>6.9870100867234922E-3</v>
      </c>
      <c r="L33" s="8">
        <f t="shared" si="10"/>
        <v>5.9924433667495379E-3</v>
      </c>
      <c r="M33" s="8">
        <f t="shared" si="11"/>
        <v>4.9537531831796182E-3</v>
      </c>
      <c r="N33" s="8">
        <f t="shared" si="12"/>
        <v>6.8635553972212337E-3</v>
      </c>
      <c r="O33" s="8">
        <f t="shared" si="13"/>
        <v>6.8917673101869126E-3</v>
      </c>
      <c r="P33" s="8">
        <f t="shared" si="14"/>
        <v>6.3691112355166524E-3</v>
      </c>
    </row>
    <row r="34" spans="2:16" x14ac:dyDescent="0.3">
      <c r="B34" s="8" t="s">
        <v>35</v>
      </c>
      <c r="C34" s="9">
        <f t="shared" si="3"/>
        <v>-1.3348646861878709E-2</v>
      </c>
      <c r="D34" s="9">
        <f t="shared" si="4"/>
        <v>1.4335512984052924E-2</v>
      </c>
      <c r="E34" s="9">
        <f t="shared" si="5"/>
        <v>-7.9732251200133244E-3</v>
      </c>
      <c r="F34" s="9">
        <f t="shared" si="6"/>
        <v>-2.0667316670729192E-2</v>
      </c>
      <c r="G34" s="9">
        <f t="shared" si="7"/>
        <v>-4.2149261524487593E-3</v>
      </c>
      <c r="H34" s="9">
        <f t="shared" si="8"/>
        <v>-4.2512765704785654E-3</v>
      </c>
      <c r="J34" s="8" t="s">
        <v>35</v>
      </c>
      <c r="K34" s="8">
        <f t="shared" si="9"/>
        <v>7.7662985393658727E-3</v>
      </c>
      <c r="L34" s="8">
        <f t="shared" si="10"/>
        <v>7.8915614190330635E-3</v>
      </c>
      <c r="M34" s="8">
        <f t="shared" si="11"/>
        <v>6.4272815498200315E-3</v>
      </c>
      <c r="N34" s="8">
        <f t="shared" si="12"/>
        <v>7.5414846342789646E-3</v>
      </c>
      <c r="O34" s="8">
        <f t="shared" si="13"/>
        <v>7.9145103435522453E-3</v>
      </c>
      <c r="P34" s="8">
        <f t="shared" si="14"/>
        <v>7.5444042953839901E-3</v>
      </c>
    </row>
    <row r="35" spans="2:16" x14ac:dyDescent="0.3">
      <c r="B35" s="8" t="s">
        <v>37</v>
      </c>
      <c r="C35" s="9">
        <f t="shared" si="3"/>
        <v>-7.4154698541492731E-3</v>
      </c>
      <c r="D35" s="9">
        <f t="shared" si="4"/>
        <v>-2.4828405177532358E-2</v>
      </c>
      <c r="E35" s="9">
        <f t="shared" si="5"/>
        <v>-2.0996987553011284E-2</v>
      </c>
      <c r="F35" s="9">
        <f t="shared" si="6"/>
        <v>-1.4302089388058674E-2</v>
      </c>
      <c r="G35" s="9">
        <f t="shared" si="7"/>
        <v>-1.3378023498143045E-2</v>
      </c>
      <c r="H35" s="9">
        <f t="shared" si="8"/>
        <v>3.7430233938962124E-3</v>
      </c>
      <c r="J35" s="8" t="s">
        <v>37</v>
      </c>
      <c r="K35" s="8">
        <f t="shared" si="9"/>
        <v>8.9555192804532113E-3</v>
      </c>
      <c r="L35" s="8">
        <f t="shared" si="10"/>
        <v>9.3440234539100241E-3</v>
      </c>
      <c r="M35" s="8">
        <f t="shared" si="11"/>
        <v>7.324855167317971E-3</v>
      </c>
      <c r="N35" s="8">
        <f t="shared" si="12"/>
        <v>8.3632522703266862E-3</v>
      </c>
      <c r="O35" s="8">
        <f t="shared" si="13"/>
        <v>9.1921958100024334E-3</v>
      </c>
      <c r="P35" s="8">
        <f t="shared" si="14"/>
        <v>9.2219790659405863E-3</v>
      </c>
    </row>
    <row r="36" spans="2:16" x14ac:dyDescent="0.3">
      <c r="B36" s="8" t="s">
        <v>47</v>
      </c>
      <c r="C36" s="9">
        <f t="shared" si="3"/>
        <v>-3.0530993057512577E-3</v>
      </c>
      <c r="D36" s="9">
        <f t="shared" si="4"/>
        <v>-3.9357826631577705E-3</v>
      </c>
      <c r="E36" s="9">
        <f t="shared" si="5"/>
        <v>-2.4526532601173573E-3</v>
      </c>
      <c r="F36" s="9">
        <f t="shared" si="6"/>
        <v>1.9295683098019364E-2</v>
      </c>
      <c r="G36" s="9">
        <f t="shared" si="7"/>
        <v>-2.1624365114114023E-2</v>
      </c>
      <c r="H36" s="9">
        <f t="shared" si="8"/>
        <v>3.1302695641847768E-3</v>
      </c>
      <c r="J36" s="8" t="s">
        <v>47</v>
      </c>
      <c r="K36" s="8">
        <f t="shared" si="9"/>
        <v>1.0189120895935943E-2</v>
      </c>
      <c r="L36" s="8">
        <f t="shared" si="10"/>
        <v>1.012175143298946E-2</v>
      </c>
      <c r="M36" s="8">
        <f t="shared" si="11"/>
        <v>8.1879592207221349E-3</v>
      </c>
      <c r="N36" s="8">
        <f t="shared" si="12"/>
        <v>9.9756123475771667E-3</v>
      </c>
      <c r="O36" s="8">
        <f t="shared" si="13"/>
        <v>9.8074696936321457E-3</v>
      </c>
      <c r="P36" s="8">
        <f t="shared" si="14"/>
        <v>1.0903353860247334E-2</v>
      </c>
    </row>
    <row r="37" spans="2:16" x14ac:dyDescent="0.3">
      <c r="B37" s="8" t="s">
        <v>50</v>
      </c>
      <c r="C37" s="9">
        <f t="shared" si="3"/>
        <v>-2.5269094499004788E-3</v>
      </c>
      <c r="D37" s="9">
        <f t="shared" si="4"/>
        <v>-7.9834974775043928E-3</v>
      </c>
      <c r="E37" s="9">
        <f t="shared" si="5"/>
        <v>-2.3370965034048702E-2</v>
      </c>
      <c r="F37" s="9">
        <f t="shared" si="6"/>
        <v>-1.3812586328664552E-2</v>
      </c>
      <c r="G37" s="9">
        <f t="shared" si="7"/>
        <v>-1.1964454548833294E-2</v>
      </c>
      <c r="H37" s="9">
        <f t="shared" si="8"/>
        <v>-2.5341408383802395E-2</v>
      </c>
      <c r="J37" s="8" t="s">
        <v>50</v>
      </c>
      <c r="K37" s="8">
        <f t="shared" si="9"/>
        <v>1.5871479793763646E-2</v>
      </c>
      <c r="L37" s="8">
        <f t="shared" si="10"/>
        <v>1.5558134872751563E-2</v>
      </c>
      <c r="M37" s="8">
        <f t="shared" si="11"/>
        <v>1.2423238564781265E-2</v>
      </c>
      <c r="N37" s="8">
        <f t="shared" si="12"/>
        <v>1.5964599778748624E-2</v>
      </c>
      <c r="O37" s="8">
        <f t="shared" si="13"/>
        <v>1.4371921885580492E-2</v>
      </c>
      <c r="P37" s="8">
        <f t="shared" si="14"/>
        <v>1.6270435023552236E-2</v>
      </c>
    </row>
    <row r="38" spans="2:16" x14ac:dyDescent="0.3">
      <c r="B38" s="8" t="s">
        <v>48</v>
      </c>
      <c r="C38" s="9">
        <f t="shared" si="3"/>
        <v>1.0517062000294161E-3</v>
      </c>
      <c r="D38" s="9">
        <f t="shared" si="4"/>
        <v>-9.3800062056839488E-3</v>
      </c>
      <c r="E38" s="9">
        <f t="shared" si="5"/>
        <v>-2.4767473762228258E-2</v>
      </c>
      <c r="F38" s="9">
        <f t="shared" si="6"/>
        <v>-2.0512003200020001E-3</v>
      </c>
      <c r="G38" s="9">
        <f t="shared" si="7"/>
        <v>1.7173387868025317E-2</v>
      </c>
      <c r="H38" s="9">
        <f t="shared" si="8"/>
        <v>-1.7214107588172427E-2</v>
      </c>
      <c r="J38" s="8" t="s">
        <v>48</v>
      </c>
      <c r="K38" s="8">
        <f t="shared" si="9"/>
        <v>1.9032896318786071E-2</v>
      </c>
      <c r="L38" s="8">
        <f t="shared" si="10"/>
        <v>1.8130863317895735E-2</v>
      </c>
      <c r="M38" s="8">
        <f t="shared" si="11"/>
        <v>1.3754448034265728E-2</v>
      </c>
      <c r="N38" s="8">
        <f t="shared" si="12"/>
        <v>1.8607991299945625E-2</v>
      </c>
      <c r="O38" s="8">
        <f t="shared" si="13"/>
        <v>1.7715652707562247E-2</v>
      </c>
      <c r="P38" s="8">
        <f t="shared" si="14"/>
        <v>1.7958188429153872E-2</v>
      </c>
    </row>
    <row r="39" spans="2:16" x14ac:dyDescent="0.3">
      <c r="B39" s="8" t="s">
        <v>38</v>
      </c>
      <c r="C39" s="9">
        <f t="shared" si="3"/>
        <v>-3.1545620667591853E-2</v>
      </c>
      <c r="D39" s="9">
        <f t="shared" si="4"/>
        <v>4.8048848692401128E-3</v>
      </c>
      <c r="E39" s="9">
        <f t="shared" si="5"/>
        <v>-2.5970050243848505E-2</v>
      </c>
      <c r="F39" s="9">
        <f t="shared" si="6"/>
        <v>-1.4748029675185466E-2</v>
      </c>
      <c r="G39" s="9">
        <f t="shared" si="7"/>
        <v>1.2110146299101392E-2</v>
      </c>
      <c r="H39" s="9">
        <f t="shared" si="8"/>
        <v>-2.0387127419546371E-2</v>
      </c>
      <c r="J39" s="8" t="s">
        <v>38</v>
      </c>
      <c r="K39" s="8">
        <f t="shared" si="9"/>
        <v>2.8376476482331239E-2</v>
      </c>
      <c r="L39" s="8">
        <f t="shared" si="10"/>
        <v>2.8427548639920922E-2</v>
      </c>
      <c r="M39" s="8">
        <f t="shared" si="11"/>
        <v>2.025871282385169E-2</v>
      </c>
      <c r="N39" s="8">
        <f t="shared" si="12"/>
        <v>2.8473265457909104E-2</v>
      </c>
      <c r="O39" s="8">
        <f t="shared" si="13"/>
        <v>2.9524625368603202E-2</v>
      </c>
      <c r="P39" s="8">
        <f t="shared" si="14"/>
        <v>2.6577501823672106E-2</v>
      </c>
    </row>
    <row r="40" spans="2:16" x14ac:dyDescent="0.3">
      <c r="B40" s="8" t="s">
        <v>51</v>
      </c>
      <c r="C40" s="9">
        <f t="shared" si="3"/>
        <v>-4.3059373598696923E-3</v>
      </c>
      <c r="D40" s="9">
        <f t="shared" si="4"/>
        <v>-4.3705712676833257E-2</v>
      </c>
      <c r="E40" s="9">
        <f t="shared" si="5"/>
        <v>8.3892076049613268E-3</v>
      </c>
      <c r="F40" s="9">
        <f t="shared" si="6"/>
        <v>-6.9767936049600285E-3</v>
      </c>
      <c r="G40" s="9">
        <f t="shared" si="7"/>
        <v>-1.4730911724686824E-2</v>
      </c>
      <c r="H40" s="9">
        <f t="shared" si="8"/>
        <v>-3.955824723904524E-2</v>
      </c>
      <c r="J40" s="8" t="s">
        <v>51</v>
      </c>
      <c r="K40" s="8">
        <f t="shared" si="9"/>
        <v>3.1500424489593351E-2</v>
      </c>
      <c r="L40" s="8">
        <f t="shared" si="10"/>
        <v>3.1401961047202775E-2</v>
      </c>
      <c r="M40" s="8">
        <f t="shared" si="11"/>
        <v>2.4258947595433962E-2</v>
      </c>
      <c r="N40" s="8">
        <f t="shared" si="12"/>
        <v>3.2290826817667609E-2</v>
      </c>
      <c r="O40" s="8">
        <f t="shared" si="13"/>
        <v>3.428250529619245E-2</v>
      </c>
      <c r="P40" s="8">
        <f t="shared" si="14"/>
        <v>2.8514337738420395E-2</v>
      </c>
    </row>
    <row r="41" spans="2:16" x14ac:dyDescent="0.3">
      <c r="B41" s="8" t="s">
        <v>39</v>
      </c>
      <c r="C41" s="9">
        <f t="shared" si="3"/>
        <v>-2.5830555097685781E-2</v>
      </c>
      <c r="D41" s="9">
        <f t="shared" si="4"/>
        <v>-3.1287143125289699E-2</v>
      </c>
      <c r="E41" s="9">
        <f t="shared" si="5"/>
        <v>-2.3686104934707568E-2</v>
      </c>
      <c r="F41" s="9">
        <f t="shared" si="6"/>
        <v>-2.9221495134344591E-2</v>
      </c>
      <c r="G41" s="9">
        <f t="shared" si="7"/>
        <v>3.3434189879717281E-2</v>
      </c>
      <c r="H41" s="9">
        <f t="shared" si="8"/>
        <v>1.8021612635078975E-2</v>
      </c>
      <c r="J41" s="8" t="s">
        <v>39</v>
      </c>
      <c r="K41" s="8">
        <f t="shared" si="9"/>
        <v>4.1817914347039312E-2</v>
      </c>
      <c r="L41" s="8">
        <f t="shared" si="10"/>
        <v>3.9091978195831475E-2</v>
      </c>
      <c r="M41" s="8">
        <f t="shared" si="11"/>
        <v>3.409898898075011E-2</v>
      </c>
      <c r="N41" s="8">
        <f t="shared" si="12"/>
        <v>4.2402040012750102E-2</v>
      </c>
      <c r="O41" s="8">
        <f t="shared" si="13"/>
        <v>4.795600964872445E-2</v>
      </c>
      <c r="P41" s="8">
        <f t="shared" si="14"/>
        <v>3.8779242370264831E-2</v>
      </c>
    </row>
    <row r="42" spans="2:16" x14ac:dyDescent="0.3">
      <c r="B42" s="8" t="s">
        <v>43</v>
      </c>
      <c r="C42" s="9">
        <f t="shared" si="3"/>
        <v>1.1022195754395031E-3</v>
      </c>
      <c r="D42" s="9">
        <f t="shared" si="4"/>
        <v>0.12459764567076931</v>
      </c>
      <c r="E42" s="9">
        <f t="shared" si="5"/>
        <v>9.7345142889901676E-2</v>
      </c>
      <c r="F42" s="9">
        <f t="shared" si="6"/>
        <v>1.8004550028437677E-2</v>
      </c>
      <c r="G42" s="9">
        <f t="shared" si="7"/>
        <v>5.0929419453909747E-2</v>
      </c>
      <c r="H42" s="9">
        <f t="shared" si="8"/>
        <v>6.0235126469540434E-2</v>
      </c>
      <c r="J42" s="8" t="s">
        <v>43</v>
      </c>
      <c r="K42" s="8">
        <f t="shared" si="9"/>
        <v>5.1871647580881967E-2</v>
      </c>
      <c r="L42" s="8">
        <f t="shared" si="10"/>
        <v>5.6396642801598153E-2</v>
      </c>
      <c r="M42" s="8">
        <f t="shared" si="11"/>
        <v>4.9690333553090452E-2</v>
      </c>
      <c r="N42" s="8">
        <f t="shared" si="12"/>
        <v>5.3369033556459736E-2</v>
      </c>
      <c r="O42" s="8">
        <f t="shared" si="13"/>
        <v>6.5515600312196609E-2</v>
      </c>
      <c r="P42" s="8">
        <f t="shared" si="14"/>
        <v>5.5097811027985603E-2</v>
      </c>
    </row>
    <row r="43" spans="2:16" x14ac:dyDescent="0.3">
      <c r="B43" s="8" t="s">
        <v>33</v>
      </c>
      <c r="C43" s="9">
        <f t="shared" si="3"/>
        <v>-2.214045554202624E-2</v>
      </c>
      <c r="D43" s="9">
        <f t="shared" si="4"/>
        <v>3.0258838311287839E-2</v>
      </c>
      <c r="E43" s="9">
        <f t="shared" si="5"/>
        <v>4.3050829412511413E-2</v>
      </c>
      <c r="F43" s="9">
        <f t="shared" si="6"/>
        <v>3.3371458571616067E-2</v>
      </c>
      <c r="G43" s="9">
        <f t="shared" si="7"/>
        <v>-7.0062031399146657E-3</v>
      </c>
      <c r="H43" s="9">
        <f t="shared" si="8"/>
        <v>4.2394014962593513E-2</v>
      </c>
      <c r="J43" s="8" t="s">
        <v>33</v>
      </c>
      <c r="K43" s="8">
        <f t="shared" si="9"/>
        <v>6.6884317280714353E-2</v>
      </c>
      <c r="L43" s="8">
        <f t="shared" si="10"/>
        <v>8.4646678235287362E-2</v>
      </c>
      <c r="M43" s="8">
        <f t="shared" si="11"/>
        <v>7.60234061807714E-2</v>
      </c>
      <c r="N43" s="8">
        <f t="shared" si="12"/>
        <v>7.3783586147413427E-2</v>
      </c>
      <c r="O43" s="8">
        <f t="shared" si="13"/>
        <v>8.6983468264997282E-2</v>
      </c>
      <c r="P43" s="8">
        <f t="shared" si="14"/>
        <v>7.9423210680781064E-2</v>
      </c>
    </row>
    <row r="44" spans="2:16" x14ac:dyDescent="0.3">
      <c r="B44" s="8" t="s">
        <v>42</v>
      </c>
      <c r="C44" s="9">
        <f t="shared" si="3"/>
        <v>-4.2748211206170783E-2</v>
      </c>
      <c r="D44" s="9">
        <f t="shared" si="4"/>
        <v>-4.250747938142356E-2</v>
      </c>
      <c r="E44" s="9">
        <f t="shared" si="5"/>
        <v>-4.3434435258323814E-2</v>
      </c>
      <c r="F44" s="9">
        <f t="shared" si="6"/>
        <v>-1.7663110394439963E-2</v>
      </c>
      <c r="G44" s="9">
        <f t="shared" si="7"/>
        <v>1.7371039866709084E-2</v>
      </c>
      <c r="H44" s="9">
        <f t="shared" si="8"/>
        <v>4.9504809405058789E-2</v>
      </c>
      <c r="J44" s="8" t="s">
        <v>42</v>
      </c>
      <c r="K44" s="8">
        <f t="shared" si="9"/>
        <v>0.11799198993749932</v>
      </c>
      <c r="L44" s="8">
        <f t="shared" si="10"/>
        <v>0.15167950579261016</v>
      </c>
      <c r="M44" s="8">
        <f t="shared" si="11"/>
        <v>0.13953097551687285</v>
      </c>
      <c r="N44" s="8">
        <f t="shared" si="12"/>
        <v>0.13783783648647807</v>
      </c>
      <c r="O44" s="8">
        <f t="shared" si="13"/>
        <v>0.15787474244233113</v>
      </c>
      <c r="P44" s="8">
        <f t="shared" si="14"/>
        <v>0.15521898202339957</v>
      </c>
    </row>
    <row r="45" spans="2:16" x14ac:dyDescent="0.3">
      <c r="B45" s="8" t="s">
        <v>31</v>
      </c>
      <c r="C45" s="9">
        <f t="shared" si="3"/>
        <v>0.15528247611249063</v>
      </c>
      <c r="D45" s="9">
        <f t="shared" si="4"/>
        <v>5.3065492949653792E-3</v>
      </c>
      <c r="E45" s="9">
        <f t="shared" si="5"/>
        <v>5.9811554856700644E-2</v>
      </c>
      <c r="F45" s="9">
        <f t="shared" si="6"/>
        <v>5.4457652860330386E-2</v>
      </c>
      <c r="G45" s="9">
        <f t="shared" si="7"/>
        <v>-5.2191603869279901E-2</v>
      </c>
      <c r="H45" s="9">
        <f t="shared" si="8"/>
        <v>-5.6444602778767367E-2</v>
      </c>
      <c r="J45" s="8" t="s">
        <v>31</v>
      </c>
      <c r="K45" s="8">
        <f t="shared" si="9"/>
        <v>0.44453992949396232</v>
      </c>
      <c r="L45" s="8">
        <f t="shared" si="10"/>
        <v>0.48728547295356078</v>
      </c>
      <c r="M45" s="8">
        <f t="shared" si="11"/>
        <v>0.47175067257963466</v>
      </c>
      <c r="N45" s="8">
        <f t="shared" si="12"/>
        <v>0.47327662047887797</v>
      </c>
      <c r="O45" s="8">
        <f t="shared" si="13"/>
        <v>0.50367336837839971</v>
      </c>
      <c r="P45" s="8">
        <f t="shared" si="14"/>
        <v>0.50488554124891849</v>
      </c>
    </row>
    <row r="46" spans="2:16" x14ac:dyDescent="0.3">
      <c r="J46" s="13" t="s">
        <v>73</v>
      </c>
      <c r="K46" s="12">
        <f>SUM(K25:K45)</f>
        <v>0.86955338495741219</v>
      </c>
      <c r="L46" s="12">
        <f t="shared" ref="L46:P46" si="15">SUM(L25:L45)</f>
        <v>0.96123582492820692</v>
      </c>
      <c r="M46" s="12">
        <f t="shared" si="15"/>
        <v>0.87796611372499245</v>
      </c>
      <c r="N46" s="12">
        <f t="shared" si="15"/>
        <v>0.92762184763654776</v>
      </c>
      <c r="O46" s="12">
        <f t="shared" si="15"/>
        <v>1.0121393172829469</v>
      </c>
      <c r="P46" s="12">
        <f t="shared" si="15"/>
        <v>0.97363204234312184</v>
      </c>
    </row>
    <row r="47" spans="2:16" x14ac:dyDescent="0.3">
      <c r="J47" s="14" t="s">
        <v>74</v>
      </c>
      <c r="K47" s="15">
        <f>1-K46</f>
        <v>0.13044661504258781</v>
      </c>
      <c r="L47" s="15">
        <f t="shared" ref="L47:P47" si="16">1-L46</f>
        <v>3.8764175071793083E-2</v>
      </c>
      <c r="M47" s="15">
        <f t="shared" si="16"/>
        <v>0.12203388627500755</v>
      </c>
      <c r="N47" s="15">
        <f t="shared" si="16"/>
        <v>7.2378152363452242E-2</v>
      </c>
      <c r="O47" s="15">
        <f t="shared" si="16"/>
        <v>-1.2139317282946926E-2</v>
      </c>
      <c r="P47" s="15">
        <f t="shared" si="16"/>
        <v>2.636795765687816E-2</v>
      </c>
    </row>
  </sheetData>
  <sortState xmlns:xlrd2="http://schemas.microsoft.com/office/spreadsheetml/2017/richdata2" ref="A2:P23">
    <sortCondition ref="B1:B23"/>
  </sortState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FDA39-C734-40D4-A7E1-74904445EB78}">
  <dimension ref="A1:P23"/>
  <sheetViews>
    <sheetView zoomScale="96" workbookViewId="0">
      <selection activeCell="A19" sqref="A19"/>
    </sheetView>
  </sheetViews>
  <sheetFormatPr defaultRowHeight="14.4" x14ac:dyDescent="0.3"/>
  <sheetData>
    <row r="1" spans="1:16" ht="28.2" customHeight="1" x14ac:dyDescent="0.3">
      <c r="A1" s="1" t="s">
        <v>23</v>
      </c>
      <c r="B1" s="2" t="s">
        <v>24</v>
      </c>
      <c r="C1" s="3" t="s">
        <v>25</v>
      </c>
      <c r="D1" s="3" t="s">
        <v>26</v>
      </c>
      <c r="E1" s="3" t="s">
        <v>27</v>
      </c>
      <c r="F1" s="2" t="s">
        <v>28</v>
      </c>
      <c r="G1" s="3" t="s">
        <v>29</v>
      </c>
      <c r="H1" s="3" t="s">
        <v>30</v>
      </c>
      <c r="I1" s="4" t="s">
        <v>24</v>
      </c>
      <c r="J1" s="5" t="s">
        <v>24</v>
      </c>
      <c r="K1" s="6" t="s">
        <v>25</v>
      </c>
      <c r="L1" s="6" t="s">
        <v>26</v>
      </c>
      <c r="M1" s="6" t="s">
        <v>27</v>
      </c>
      <c r="N1" s="7" t="s">
        <v>28</v>
      </c>
      <c r="O1" s="6" t="s">
        <v>29</v>
      </c>
      <c r="P1" s="6" t="s">
        <v>30</v>
      </c>
    </row>
    <row r="2" spans="1:16" x14ac:dyDescent="0.3">
      <c r="A2" s="9" t="s">
        <v>57</v>
      </c>
      <c r="B2" s="16">
        <v>2.1223049953036831E-2</v>
      </c>
      <c r="C2" s="16">
        <v>7.7319587628865982E-2</v>
      </c>
      <c r="D2" s="16">
        <v>3.7313432835820892E-2</v>
      </c>
      <c r="E2" s="16">
        <v>5.4263565891472867E-2</v>
      </c>
      <c r="F2" s="16">
        <v>4.3103448275862072E-2</v>
      </c>
      <c r="G2" s="16">
        <v>3.1055900621118012E-2</v>
      </c>
      <c r="H2" s="16">
        <v>9.45945945945946E-2</v>
      </c>
      <c r="I2" s="9">
        <v>2.1223049953036831E-2</v>
      </c>
      <c r="J2" s="17">
        <v>2.1223049953036831E-2</v>
      </c>
      <c r="K2" s="17">
        <v>7.7319587628865982E-2</v>
      </c>
      <c r="L2" s="17">
        <v>3.7313432835820892E-2</v>
      </c>
      <c r="M2" s="17">
        <v>5.4263565891472867E-2</v>
      </c>
      <c r="N2" s="17">
        <v>4.3103448275862072E-2</v>
      </c>
      <c r="O2" s="17">
        <v>3.1055900621118012E-2</v>
      </c>
      <c r="P2" s="17">
        <v>9.45945945945946E-2</v>
      </c>
    </row>
    <row r="3" spans="1:16" x14ac:dyDescent="0.3">
      <c r="A3" s="9" t="s">
        <v>54</v>
      </c>
      <c r="B3" s="16">
        <v>2.8400169210803679E-2</v>
      </c>
      <c r="C3" s="16">
        <v>1.5463917525773196E-2</v>
      </c>
      <c r="D3" s="16">
        <v>4.4776119402985072E-2</v>
      </c>
      <c r="E3" s="16">
        <v>0.15503875968992248</v>
      </c>
      <c r="F3" s="16">
        <v>9.4827586206896547E-2</v>
      </c>
      <c r="G3" s="16">
        <v>4.3478260869565216E-2</v>
      </c>
      <c r="H3" s="16">
        <v>5.4054054054054057E-2</v>
      </c>
      <c r="I3" s="9">
        <v>4.9623219163840507E-2</v>
      </c>
      <c r="J3" s="9">
        <f t="shared" ref="J3:P10" si="0">J2+B3</f>
        <v>4.9623219163840507E-2</v>
      </c>
      <c r="K3" s="9">
        <f t="shared" si="0"/>
        <v>9.2783505154639179E-2</v>
      </c>
      <c r="L3" s="9">
        <f t="shared" si="0"/>
        <v>8.2089552238805957E-2</v>
      </c>
      <c r="M3" s="9">
        <f t="shared" si="0"/>
        <v>0.20930232558139533</v>
      </c>
      <c r="N3" s="9">
        <f t="shared" si="0"/>
        <v>0.13793103448275862</v>
      </c>
      <c r="O3" s="9">
        <f t="shared" si="0"/>
        <v>7.4534161490683232E-2</v>
      </c>
      <c r="P3" s="9">
        <f t="shared" si="0"/>
        <v>0.14864864864864866</v>
      </c>
    </row>
    <row r="4" spans="1:16" x14ac:dyDescent="0.3">
      <c r="A4" s="9" t="s">
        <v>55</v>
      </c>
      <c r="B4" s="16">
        <v>3.2501380215241876E-2</v>
      </c>
      <c r="C4" s="16">
        <v>3.0927835051546393E-2</v>
      </c>
      <c r="D4" s="16">
        <v>6.7164179104477612E-2</v>
      </c>
      <c r="E4" s="16">
        <v>2.3255813953488372E-2</v>
      </c>
      <c r="F4" s="16">
        <v>3.017241379310345E-2</v>
      </c>
      <c r="G4" s="16">
        <v>7.4534161490683232E-2</v>
      </c>
      <c r="H4" s="16">
        <v>9.45945945945946E-2</v>
      </c>
      <c r="I4" s="9">
        <v>8.2124599379082383E-2</v>
      </c>
      <c r="J4" s="9">
        <f t="shared" si="0"/>
        <v>8.2124599379082383E-2</v>
      </c>
      <c r="K4" s="9">
        <f t="shared" si="0"/>
        <v>0.12371134020618557</v>
      </c>
      <c r="L4" s="9">
        <f t="shared" si="0"/>
        <v>0.14925373134328357</v>
      </c>
      <c r="M4" s="9">
        <f t="shared" si="0"/>
        <v>0.23255813953488369</v>
      </c>
      <c r="N4" s="9">
        <f t="shared" si="0"/>
        <v>0.16810344827586207</v>
      </c>
      <c r="O4" s="9">
        <f t="shared" si="0"/>
        <v>0.14906832298136646</v>
      </c>
      <c r="P4" s="9">
        <f t="shared" si="0"/>
        <v>0.24324324324324326</v>
      </c>
    </row>
    <row r="5" spans="1:16" x14ac:dyDescent="0.3">
      <c r="A5" s="9" t="s">
        <v>59</v>
      </c>
      <c r="B5" s="16">
        <v>4.9823977744477346E-2</v>
      </c>
      <c r="C5" s="16">
        <v>9.7938144329896906E-2</v>
      </c>
      <c r="D5" s="16">
        <v>0.11194029850746269</v>
      </c>
      <c r="E5" s="16">
        <v>7.7519379844961239E-2</v>
      </c>
      <c r="F5" s="16">
        <v>8.1896551724137928E-2</v>
      </c>
      <c r="G5" s="16">
        <v>0.11801242236024845</v>
      </c>
      <c r="H5" s="16">
        <v>6.7567567567567571E-2</v>
      </c>
      <c r="I5" s="9">
        <v>0.13194857712355973</v>
      </c>
      <c r="J5" s="9">
        <f t="shared" si="0"/>
        <v>0.13194857712355973</v>
      </c>
      <c r="K5" s="9">
        <f t="shared" si="0"/>
        <v>0.22164948453608246</v>
      </c>
      <c r="L5" s="9">
        <f t="shared" si="0"/>
        <v>0.26119402985074625</v>
      </c>
      <c r="M5" s="9">
        <f t="shared" si="0"/>
        <v>0.31007751937984496</v>
      </c>
      <c r="N5" s="9">
        <f t="shared" si="0"/>
        <v>0.25</v>
      </c>
      <c r="O5" s="9">
        <f t="shared" si="0"/>
        <v>0.26708074534161491</v>
      </c>
      <c r="P5" s="9">
        <f t="shared" si="0"/>
        <v>0.31081081081081086</v>
      </c>
    </row>
    <row r="6" spans="1:16" x14ac:dyDescent="0.3">
      <c r="A6" s="9" t="s">
        <v>53</v>
      </c>
      <c r="B6" s="16">
        <v>6.0707960794717179E-2</v>
      </c>
      <c r="C6" s="16">
        <v>5.6701030927835051E-2</v>
      </c>
      <c r="D6" s="16">
        <v>4.4776119402985072E-2</v>
      </c>
      <c r="E6" s="16">
        <v>8.5271317829457363E-2</v>
      </c>
      <c r="F6" s="16">
        <v>0.16810344827586207</v>
      </c>
      <c r="G6" s="16">
        <v>0.11801242236024845</v>
      </c>
      <c r="H6" s="16">
        <v>0.10810810810810811</v>
      </c>
      <c r="I6" s="9">
        <v>0.19265653791827692</v>
      </c>
      <c r="J6" s="9">
        <f t="shared" si="0"/>
        <v>0.19265653791827692</v>
      </c>
      <c r="K6" s="9">
        <f t="shared" si="0"/>
        <v>0.27835051546391754</v>
      </c>
      <c r="L6" s="9">
        <f t="shared" si="0"/>
        <v>0.30597014925373134</v>
      </c>
      <c r="M6" s="9">
        <f t="shared" si="0"/>
        <v>0.39534883720930231</v>
      </c>
      <c r="N6" s="9">
        <f t="shared" si="0"/>
        <v>0.4181034482758621</v>
      </c>
      <c r="O6" s="9">
        <f t="shared" si="0"/>
        <v>0.38509316770186336</v>
      </c>
      <c r="P6" s="9">
        <f t="shared" si="0"/>
        <v>0.41891891891891897</v>
      </c>
    </row>
    <row r="7" spans="1:16" x14ac:dyDescent="0.3">
      <c r="A7" s="9" t="s">
        <v>56</v>
      </c>
      <c r="B7" s="16">
        <v>6.8810003513275167E-2</v>
      </c>
      <c r="C7" s="16">
        <v>3.0927835051546393E-2</v>
      </c>
      <c r="D7" s="16">
        <v>5.2238805970149252E-2</v>
      </c>
      <c r="E7" s="16">
        <v>5.4263565891472867E-2</v>
      </c>
      <c r="F7" s="16">
        <v>9.0517241379310345E-2</v>
      </c>
      <c r="G7" s="16">
        <v>0.11180124223602485</v>
      </c>
      <c r="H7" s="16">
        <v>9.45945945945946E-2</v>
      </c>
      <c r="I7" s="9">
        <v>0.26146654143155207</v>
      </c>
      <c r="J7" s="9">
        <f t="shared" si="0"/>
        <v>0.26146654143155207</v>
      </c>
      <c r="K7" s="9">
        <f t="shared" si="0"/>
        <v>0.30927835051546393</v>
      </c>
      <c r="L7" s="9">
        <f t="shared" si="0"/>
        <v>0.35820895522388058</v>
      </c>
      <c r="M7" s="9">
        <f t="shared" si="0"/>
        <v>0.44961240310077516</v>
      </c>
      <c r="N7" s="9">
        <f t="shared" si="0"/>
        <v>0.50862068965517249</v>
      </c>
      <c r="O7" s="9">
        <f t="shared" si="0"/>
        <v>0.49689440993788819</v>
      </c>
      <c r="P7" s="9">
        <f t="shared" si="0"/>
        <v>0.5135135135135136</v>
      </c>
    </row>
    <row r="8" spans="1:16" x14ac:dyDescent="0.3">
      <c r="A8" s="9" t="s">
        <v>58</v>
      </c>
      <c r="B8" s="16">
        <v>8.1837801406744057E-2</v>
      </c>
      <c r="C8" s="16">
        <v>0.19072164948453607</v>
      </c>
      <c r="D8" s="16">
        <v>9.7014925373134331E-2</v>
      </c>
      <c r="E8" s="16">
        <v>0.13178294573643412</v>
      </c>
      <c r="F8" s="16">
        <v>6.4655172413793108E-2</v>
      </c>
      <c r="G8" s="16">
        <v>9.9378881987577633E-2</v>
      </c>
      <c r="H8" s="16">
        <v>0.14864864864864866</v>
      </c>
      <c r="I8" s="9">
        <v>0.34330434283829614</v>
      </c>
      <c r="J8" s="9">
        <f t="shared" si="0"/>
        <v>0.34330434283829614</v>
      </c>
      <c r="K8" s="9">
        <f t="shared" si="0"/>
        <v>0.5</v>
      </c>
      <c r="L8" s="9">
        <f t="shared" si="0"/>
        <v>0.45522388059701491</v>
      </c>
      <c r="M8" s="9">
        <f t="shared" si="0"/>
        <v>0.58139534883720922</v>
      </c>
      <c r="N8" s="9">
        <f t="shared" si="0"/>
        <v>0.57327586206896564</v>
      </c>
      <c r="O8" s="9">
        <f t="shared" si="0"/>
        <v>0.59627329192546585</v>
      </c>
      <c r="P8" s="9">
        <f t="shared" si="0"/>
        <v>0.66216216216216228</v>
      </c>
    </row>
    <row r="9" spans="1:16" x14ac:dyDescent="0.3">
      <c r="A9" s="9" t="s">
        <v>60</v>
      </c>
      <c r="B9" s="16">
        <v>8.374500792279399E-2</v>
      </c>
      <c r="C9" s="16">
        <v>0.10824742268041238</v>
      </c>
      <c r="D9" s="16">
        <v>0.17164179104477612</v>
      </c>
      <c r="E9" s="16">
        <v>6.2015503875968991E-2</v>
      </c>
      <c r="F9" s="16">
        <v>0.13793103448275862</v>
      </c>
      <c r="G9" s="16">
        <v>0.13043478260869565</v>
      </c>
      <c r="H9" s="16">
        <v>0.12162162162162163</v>
      </c>
      <c r="I9" s="9">
        <v>0.42704935076109013</v>
      </c>
      <c r="J9" s="9">
        <f t="shared" si="0"/>
        <v>0.42704935076109013</v>
      </c>
      <c r="K9" s="9">
        <f t="shared" si="0"/>
        <v>0.60824742268041243</v>
      </c>
      <c r="L9" s="9">
        <f t="shared" si="0"/>
        <v>0.62686567164179108</v>
      </c>
      <c r="M9" s="9">
        <f t="shared" si="0"/>
        <v>0.64341085271317822</v>
      </c>
      <c r="N9" s="9">
        <f t="shared" si="0"/>
        <v>0.7112068965517242</v>
      </c>
      <c r="O9" s="9">
        <f t="shared" si="0"/>
        <v>0.72670807453416153</v>
      </c>
      <c r="P9" s="9">
        <f t="shared" si="0"/>
        <v>0.78378378378378388</v>
      </c>
    </row>
    <row r="10" spans="1:16" x14ac:dyDescent="0.3">
      <c r="A10" s="9" t="s">
        <v>52</v>
      </c>
      <c r="B10" s="16">
        <v>0.57295064923890993</v>
      </c>
      <c r="C10" s="16">
        <v>0.39175257731958762</v>
      </c>
      <c r="D10" s="16">
        <v>0.37313432835820898</v>
      </c>
      <c r="E10" s="16">
        <v>0.35658914728682173</v>
      </c>
      <c r="F10" s="16">
        <v>0.28879310344827586</v>
      </c>
      <c r="G10" s="16">
        <v>0.27329192546583853</v>
      </c>
      <c r="H10" s="16">
        <v>0.21621621621621623</v>
      </c>
      <c r="I10" s="9">
        <v>1</v>
      </c>
      <c r="J10" s="9">
        <f t="shared" si="0"/>
        <v>1</v>
      </c>
      <c r="K10" s="9">
        <f t="shared" si="0"/>
        <v>1</v>
      </c>
      <c r="L10" s="9">
        <f t="shared" si="0"/>
        <v>1</v>
      </c>
      <c r="M10" s="9">
        <f t="shared" si="0"/>
        <v>1</v>
      </c>
      <c r="N10" s="9">
        <f t="shared" si="0"/>
        <v>1</v>
      </c>
      <c r="O10" s="9">
        <f t="shared" si="0"/>
        <v>1</v>
      </c>
      <c r="P10" s="9">
        <f t="shared" si="0"/>
        <v>1</v>
      </c>
    </row>
    <row r="12" spans="1:16" ht="28.8" x14ac:dyDescent="0.3">
      <c r="B12" s="1" t="s">
        <v>23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  <c r="H12" s="3" t="s">
        <v>66</v>
      </c>
      <c r="J12" s="8"/>
      <c r="K12" s="12" t="s">
        <v>67</v>
      </c>
      <c r="L12" s="12" t="s">
        <v>68</v>
      </c>
      <c r="M12" s="12" t="s">
        <v>69</v>
      </c>
      <c r="N12" s="12" t="s">
        <v>70</v>
      </c>
      <c r="O12" s="12" t="s">
        <v>71</v>
      </c>
      <c r="P12" s="12" t="s">
        <v>72</v>
      </c>
    </row>
    <row r="13" spans="1:16" x14ac:dyDescent="0.3">
      <c r="B13" s="9" t="s">
        <v>57</v>
      </c>
      <c r="C13" s="9">
        <f>C2-B2</f>
        <v>5.6096537675829151E-2</v>
      </c>
      <c r="D13" s="9">
        <f>D2-B2</f>
        <v>1.6090382882784061E-2</v>
      </c>
      <c r="E13" s="9">
        <f>E2-B2</f>
        <v>3.3040515938436037E-2</v>
      </c>
      <c r="F13" s="9">
        <f>F2-B2</f>
        <v>2.1880398322825241E-2</v>
      </c>
      <c r="G13" s="9">
        <f>G2-B2</f>
        <v>9.8328506680811813E-3</v>
      </c>
      <c r="H13" s="9">
        <f>H2-B2</f>
        <v>7.3371544641557762E-2</v>
      </c>
      <c r="J13" s="9" t="s">
        <v>57</v>
      </c>
      <c r="K13" s="8">
        <f>($J2-0) * ((K2+0))</f>
        <v>1.6409574705956312E-3</v>
      </c>
      <c r="L13" s="8">
        <f t="shared" ref="L13:P13" si="1">($J2-0) * ((L2+0))</f>
        <v>7.9190484899391148E-4</v>
      </c>
      <c r="M13" s="8">
        <f t="shared" si="1"/>
        <v>1.1516383695446342E-3</v>
      </c>
      <c r="N13" s="8">
        <f t="shared" si="1"/>
        <v>9.1478663590675998E-4</v>
      </c>
      <c r="O13" s="8">
        <f t="shared" si="1"/>
        <v>6.5910093021853515E-4</v>
      </c>
      <c r="P13" s="8">
        <f t="shared" si="1"/>
        <v>2.0075858063683489E-3</v>
      </c>
    </row>
    <row r="14" spans="1:16" x14ac:dyDescent="0.3">
      <c r="B14" s="9" t="s">
        <v>54</v>
      </c>
      <c r="C14" s="9">
        <f t="shared" ref="C14:C21" si="2">C3-B3</f>
        <v>-1.2936251685030483E-2</v>
      </c>
      <c r="D14" s="9">
        <f t="shared" ref="D14:D21" si="3">D3-B3</f>
        <v>1.6375950192181393E-2</v>
      </c>
      <c r="E14" s="9">
        <f t="shared" ref="E14:E21" si="4">E3-B3</f>
        <v>0.1266385904791188</v>
      </c>
      <c r="F14" s="9">
        <f t="shared" ref="F14:F21" si="5">F3-B3</f>
        <v>6.6427416996092864E-2</v>
      </c>
      <c r="G14" s="9">
        <f t="shared" ref="G14:G21" si="6">G3-B3</f>
        <v>1.5078091658761537E-2</v>
      </c>
      <c r="H14" s="9">
        <f t="shared" ref="H14:H21" si="7">H3-B3</f>
        <v>2.5653884843250378E-2</v>
      </c>
      <c r="J14" s="9" t="s">
        <v>54</v>
      </c>
      <c r="K14" s="8">
        <f>($J3-$J2) * ((K3+K2))</f>
        <v>4.8309566183325839E-3</v>
      </c>
      <c r="L14" s="8">
        <f t="shared" ref="L14:P14" si="8">($J3-$J2) * ((L3+L2))</f>
        <v>3.3910649803944684E-3</v>
      </c>
      <c r="M14" s="8">
        <f t="shared" si="8"/>
        <v>7.4853159160257745E-3</v>
      </c>
      <c r="N14" s="8">
        <f t="shared" si="8"/>
        <v>5.1414099433351483E-3</v>
      </c>
      <c r="O14" s="8">
        <f t="shared" si="8"/>
        <v>2.9987756309544254E-3</v>
      </c>
      <c r="P14" s="8">
        <f t="shared" si="8"/>
        <v>6.9081492674927863E-3</v>
      </c>
    </row>
    <row r="15" spans="1:16" x14ac:dyDescent="0.3">
      <c r="B15" s="9" t="s">
        <v>55</v>
      </c>
      <c r="C15" s="9">
        <f t="shared" si="2"/>
        <v>-1.5735451636954834E-3</v>
      </c>
      <c r="D15" s="9">
        <f t="shared" si="3"/>
        <v>3.4662798889235735E-2</v>
      </c>
      <c r="E15" s="9">
        <f t="shared" si="4"/>
        <v>-9.2455662617535045E-3</v>
      </c>
      <c r="F15" s="9">
        <f t="shared" si="5"/>
        <v>-2.3289664221384267E-3</v>
      </c>
      <c r="G15" s="9">
        <f t="shared" si="6"/>
        <v>4.2032781275441355E-2</v>
      </c>
      <c r="H15" s="9">
        <f t="shared" si="7"/>
        <v>6.2093214379352724E-2</v>
      </c>
      <c r="J15" s="9" t="s">
        <v>55</v>
      </c>
      <c r="K15" s="8">
        <f t="shared" ref="K15:P21" si="9">($J4-$J3) * ((K4+K3))</f>
        <v>7.0363812837121592E-3</v>
      </c>
      <c r="L15" s="8">
        <f t="shared" si="9"/>
        <v>7.5189760199440153E-3</v>
      </c>
      <c r="M15" s="8">
        <f t="shared" si="9"/>
        <v>1.4361074978827805E-2</v>
      </c>
      <c r="N15" s="8">
        <f t="shared" si="9"/>
        <v>9.9465430831128139E-3</v>
      </c>
      <c r="O15" s="8">
        <f t="shared" si="9"/>
        <v>7.2673893648988047E-3</v>
      </c>
      <c r="P15" s="8">
        <f t="shared" si="9"/>
        <v>1.2737027381648842E-2</v>
      </c>
    </row>
    <row r="16" spans="1:16" x14ac:dyDescent="0.3">
      <c r="B16" s="9" t="s">
        <v>59</v>
      </c>
      <c r="C16" s="9">
        <f t="shared" si="2"/>
        <v>4.811416658541956E-2</v>
      </c>
      <c r="D16" s="9">
        <f t="shared" si="3"/>
        <v>6.2116320762985344E-2</v>
      </c>
      <c r="E16" s="9">
        <f t="shared" si="4"/>
        <v>2.7695402100483893E-2</v>
      </c>
      <c r="F16" s="9">
        <f t="shared" si="5"/>
        <v>3.2072573979660582E-2</v>
      </c>
      <c r="G16" s="9">
        <f t="shared" si="6"/>
        <v>6.8188444615771102E-2</v>
      </c>
      <c r="H16" s="9">
        <f t="shared" si="7"/>
        <v>1.7743589823090225E-2</v>
      </c>
      <c r="J16" s="9" t="s">
        <v>59</v>
      </c>
      <c r="K16" s="8">
        <f t="shared" si="9"/>
        <v>1.7207250045773104E-2</v>
      </c>
      <c r="L16" s="8">
        <f t="shared" si="9"/>
        <v>2.0450140119001894E-2</v>
      </c>
      <c r="M16" s="8">
        <f t="shared" si="9"/>
        <v>2.703626699312724E-2</v>
      </c>
      <c r="N16" s="8">
        <f t="shared" si="9"/>
        <v>2.0831576901785789E-2</v>
      </c>
      <c r="O16" s="8">
        <f t="shared" si="9"/>
        <v>2.0734201918509207E-2</v>
      </c>
      <c r="P16" s="8">
        <f t="shared" si="9"/>
        <v>2.7605176858426644E-2</v>
      </c>
    </row>
    <row r="17" spans="2:16" x14ac:dyDescent="0.3">
      <c r="B17" s="9" t="s">
        <v>53</v>
      </c>
      <c r="C17" s="9">
        <f t="shared" si="2"/>
        <v>-4.0069298668821279E-3</v>
      </c>
      <c r="D17" s="9">
        <f t="shared" si="3"/>
        <v>-1.5931841391732107E-2</v>
      </c>
      <c r="E17" s="9">
        <f t="shared" si="4"/>
        <v>2.4563357034740184E-2</v>
      </c>
      <c r="F17" s="9">
        <f t="shared" si="5"/>
        <v>0.10739548748114489</v>
      </c>
      <c r="G17" s="9">
        <f t="shared" si="6"/>
        <v>5.7304461565531269E-2</v>
      </c>
      <c r="H17" s="9">
        <f t="shared" si="7"/>
        <v>4.7400147313390935E-2</v>
      </c>
      <c r="J17" s="9" t="s">
        <v>53</v>
      </c>
      <c r="K17" s="8">
        <f t="shared" si="9"/>
        <v>3.0353980397358593E-2</v>
      </c>
      <c r="L17" s="8">
        <f t="shared" si="9"/>
        <v>3.4431380749242582E-2</v>
      </c>
      <c r="M17" s="8">
        <f t="shared" si="9"/>
        <v>4.2824995599374131E-2</v>
      </c>
      <c r="N17" s="8">
        <f t="shared" si="9"/>
        <v>4.0559197944746397E-2</v>
      </c>
      <c r="O17" s="8">
        <f t="shared" si="9"/>
        <v>3.9592148344380775E-2</v>
      </c>
      <c r="P17" s="8">
        <f t="shared" si="9"/>
        <v>4.4300403823172005E-2</v>
      </c>
    </row>
    <row r="18" spans="2:16" x14ac:dyDescent="0.3">
      <c r="B18" s="9" t="s">
        <v>56</v>
      </c>
      <c r="C18" s="9">
        <f t="shared" si="2"/>
        <v>-3.7882168461728774E-2</v>
      </c>
      <c r="D18" s="9">
        <f t="shared" si="3"/>
        <v>-1.6571197543125915E-2</v>
      </c>
      <c r="E18" s="9">
        <f t="shared" si="4"/>
        <v>-1.4546437621802299E-2</v>
      </c>
      <c r="F18" s="9">
        <f t="shared" si="5"/>
        <v>2.1707237866035178E-2</v>
      </c>
      <c r="G18" s="9">
        <f t="shared" si="6"/>
        <v>4.2991238722749681E-2</v>
      </c>
      <c r="H18" s="9">
        <f t="shared" si="7"/>
        <v>2.5784591081319433E-2</v>
      </c>
      <c r="J18" s="9" t="s">
        <v>56</v>
      </c>
      <c r="K18" s="8">
        <f t="shared" si="9"/>
        <v>4.0434744332543134E-2</v>
      </c>
      <c r="L18" s="8">
        <f t="shared" si="9"/>
        <v>4.5702166512548423E-2</v>
      </c>
      <c r="M18" s="8">
        <f t="shared" si="9"/>
        <v>5.8141785914317762E-2</v>
      </c>
      <c r="N18" s="8">
        <f t="shared" si="9"/>
        <v>6.3767891186871373E-2</v>
      </c>
      <c r="O18" s="8">
        <f t="shared" si="9"/>
        <v>6.0689568316056347E-2</v>
      </c>
      <c r="P18" s="8">
        <f t="shared" si="9"/>
        <v>6.4160678951567379E-2</v>
      </c>
    </row>
    <row r="19" spans="2:16" x14ac:dyDescent="0.3">
      <c r="B19" s="9" t="s">
        <v>58</v>
      </c>
      <c r="C19" s="9">
        <f t="shared" si="2"/>
        <v>0.10888384807779201</v>
      </c>
      <c r="D19" s="9">
        <f t="shared" si="3"/>
        <v>1.5177123966390274E-2</v>
      </c>
      <c r="E19" s="9">
        <f t="shared" si="4"/>
        <v>4.9945144329690064E-2</v>
      </c>
      <c r="F19" s="9">
        <f t="shared" si="5"/>
        <v>-1.7182628992950949E-2</v>
      </c>
      <c r="G19" s="9">
        <f t="shared" si="6"/>
        <v>1.7541080580833576E-2</v>
      </c>
      <c r="H19" s="9">
        <f t="shared" si="7"/>
        <v>6.68108472419046E-2</v>
      </c>
      <c r="J19" s="9" t="s">
        <v>58</v>
      </c>
      <c r="K19" s="8">
        <f t="shared" si="9"/>
        <v>6.6229560932261955E-2</v>
      </c>
      <c r="L19" s="8">
        <f t="shared" si="9"/>
        <v>6.6569554875635109E-2</v>
      </c>
      <c r="M19" s="8">
        <f t="shared" si="9"/>
        <v>8.4375407651914411E-2</v>
      </c>
      <c r="N19" s="8">
        <f t="shared" si="9"/>
        <v>8.8540035142641235E-2</v>
      </c>
      <c r="O19" s="8">
        <f t="shared" si="9"/>
        <v>8.9462441289359984E-2</v>
      </c>
      <c r="P19" s="8">
        <f t="shared" si="9"/>
        <v>9.6214712464685617E-2</v>
      </c>
    </row>
    <row r="20" spans="2:16" x14ac:dyDescent="0.3">
      <c r="B20" s="9" t="s">
        <v>60</v>
      </c>
      <c r="C20" s="9">
        <f t="shared" si="2"/>
        <v>2.4502414757618385E-2</v>
      </c>
      <c r="D20" s="9">
        <f t="shared" si="3"/>
        <v>8.7896783121982125E-2</v>
      </c>
      <c r="E20" s="9">
        <f t="shared" si="4"/>
        <v>-2.1729504046824999E-2</v>
      </c>
      <c r="F20" s="9">
        <f t="shared" si="5"/>
        <v>5.4186026559964628E-2</v>
      </c>
      <c r="G20" s="9">
        <f t="shared" si="6"/>
        <v>4.6689774685901658E-2</v>
      </c>
      <c r="H20" s="9">
        <f t="shared" si="7"/>
        <v>3.7876613698827638E-2</v>
      </c>
      <c r="J20" s="9" t="s">
        <v>60</v>
      </c>
      <c r="K20" s="8">
        <f t="shared" si="9"/>
        <v>9.2810189192787163E-2</v>
      </c>
      <c r="L20" s="8">
        <f t="shared" si="9"/>
        <v>9.0619598125411413E-2</v>
      </c>
      <c r="M20" s="8">
        <f t="shared" si="9"/>
        <v>0.10257140505272441</v>
      </c>
      <c r="N20" s="8">
        <f t="shared" si="9"/>
        <v>0.10756901879738195</v>
      </c>
      <c r="O20" s="8">
        <f t="shared" si="9"/>
        <v>0.11079308501587032</v>
      </c>
      <c r="P20" s="8">
        <f t="shared" si="9"/>
        <v>0.1210907546991751</v>
      </c>
    </row>
    <row r="21" spans="2:16" x14ac:dyDescent="0.3">
      <c r="B21" s="9" t="s">
        <v>52</v>
      </c>
      <c r="C21" s="9">
        <f t="shared" si="2"/>
        <v>-0.1811980719193223</v>
      </c>
      <c r="D21" s="9">
        <f t="shared" si="3"/>
        <v>-0.19981632088070095</v>
      </c>
      <c r="E21" s="9">
        <f t="shared" si="4"/>
        <v>-0.2163615019520882</v>
      </c>
      <c r="F21" s="9">
        <f t="shared" si="5"/>
        <v>-0.28415754579063407</v>
      </c>
      <c r="G21" s="9">
        <f t="shared" si="6"/>
        <v>-0.2996587237730714</v>
      </c>
      <c r="H21" s="9">
        <f t="shared" si="7"/>
        <v>-0.3567344330226937</v>
      </c>
      <c r="J21" s="9" t="s">
        <v>52</v>
      </c>
      <c r="K21" s="8">
        <f t="shared" si="9"/>
        <v>0.92144640496154573</v>
      </c>
      <c r="L21" s="8">
        <f t="shared" si="9"/>
        <v>0.93211374279165926</v>
      </c>
      <c r="M21" s="8">
        <f t="shared" si="9"/>
        <v>0.9415933150282858</v>
      </c>
      <c r="N21" s="8">
        <f t="shared" si="9"/>
        <v>0.98043710236141035</v>
      </c>
      <c r="O21" s="8">
        <f t="shared" si="9"/>
        <v>0.98931851235041568</v>
      </c>
      <c r="P21" s="8">
        <f t="shared" si="9"/>
        <v>1.0220200770207581</v>
      </c>
    </row>
    <row r="22" spans="2:16" x14ac:dyDescent="0.3">
      <c r="J22" s="13" t="s">
        <v>73</v>
      </c>
      <c r="K22" s="12">
        <f>SUM(K13:K21)</f>
        <v>1.18199042523491</v>
      </c>
      <c r="L22" s="12">
        <f t="shared" ref="L22:P22" si="10">SUM(L13:L21)</f>
        <v>1.201588529022831</v>
      </c>
      <c r="M22" s="12">
        <f t="shared" si="10"/>
        <v>1.279541205504142</v>
      </c>
      <c r="N22" s="12">
        <f t="shared" si="10"/>
        <v>1.3177075619971919</v>
      </c>
      <c r="O22" s="12">
        <f t="shared" si="10"/>
        <v>1.3215152231606639</v>
      </c>
      <c r="P22" s="12">
        <f t="shared" si="10"/>
        <v>1.3970445662732949</v>
      </c>
    </row>
    <row r="23" spans="2:16" x14ac:dyDescent="0.3">
      <c r="J23" s="14" t="s">
        <v>74</v>
      </c>
      <c r="K23" s="15">
        <f>1-K22</f>
        <v>-0.18199042523491005</v>
      </c>
      <c r="L23" s="15">
        <f t="shared" ref="L23:P23" si="11">1-L22</f>
        <v>-0.20158852902283098</v>
      </c>
      <c r="M23" s="15">
        <f t="shared" si="11"/>
        <v>-0.27954120550414197</v>
      </c>
      <c r="N23" s="15">
        <f t="shared" si="11"/>
        <v>-0.31770756199719186</v>
      </c>
      <c r="O23" s="15">
        <f t="shared" si="11"/>
        <v>-0.32151522316066394</v>
      </c>
      <c r="P23" s="15">
        <f t="shared" si="11"/>
        <v>-0.39704456627329487</v>
      </c>
    </row>
  </sheetData>
  <sortState xmlns:xlrd2="http://schemas.microsoft.com/office/spreadsheetml/2017/richdata2" ref="A2:P11">
    <sortCondition ref="B1:B11"/>
  </sortState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MANHUAÇU</vt:lpstr>
      <vt:lpstr>PONTE NOVA</vt:lpstr>
      <vt:lpstr>VIÇOSA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Marina Belotti</dc:creator>
  <cp:lastModifiedBy>Marina Belotti</cp:lastModifiedBy>
  <dcterms:created xsi:type="dcterms:W3CDTF">2025-04-20T18:51:44Z</dcterms:created>
  <dcterms:modified xsi:type="dcterms:W3CDTF">2025-11-26T01:16:01Z</dcterms:modified>
</cp:coreProperties>
</file>