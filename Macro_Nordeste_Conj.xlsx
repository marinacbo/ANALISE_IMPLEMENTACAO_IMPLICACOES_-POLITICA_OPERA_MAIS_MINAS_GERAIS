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59" documentId="8_{24C7D658-DEE0-4346-88F6-0AA011628B27}" xr6:coauthVersionLast="47" xr6:coauthVersionMax="47" xr10:uidLastSave="{C700BA40-8916-4580-B9D4-CF788BDFAC57}"/>
  <bookViews>
    <workbookView xWindow="-108" yWindow="-108" windowWidth="23256" windowHeight="12456" firstSheet="4" activeTab="7" xr2:uid="{4007B732-8C8D-4379-9A07-2A39595D579A}"/>
  </bookViews>
  <sheets>
    <sheet name="ÁGUAS FORMOSAS" sheetId="1" r:id="rId1"/>
    <sheet name="ALMENARA-JACINTO" sheetId="2" r:id="rId2"/>
    <sheet name="ITAMBACURI" sheetId="3" r:id="rId3"/>
    <sheet name="ITAOBIM" sheetId="4" r:id="rId4"/>
    <sheet name="NANUQUE" sheetId="5" r:id="rId5"/>
    <sheet name="PADRE PARAÍSO" sheetId="6" r:id="rId6"/>
    <sheet name="PEDRA AZUL" sheetId="7" r:id="rId7"/>
    <sheet name="TEÓFILO OTONI - MALACACHET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8" l="1"/>
  <c r="O17" i="8"/>
  <c r="K17" i="8"/>
  <c r="P16" i="8"/>
  <c r="O16" i="8"/>
  <c r="N16" i="8"/>
  <c r="M16" i="8"/>
  <c r="L16" i="8"/>
  <c r="K16" i="8"/>
  <c r="P9" i="7"/>
  <c r="O9" i="7"/>
  <c r="N9" i="7"/>
  <c r="M9" i="7"/>
  <c r="L9" i="7"/>
  <c r="K9" i="7"/>
  <c r="P8" i="6"/>
  <c r="O8" i="6"/>
  <c r="N8" i="6"/>
  <c r="M8" i="6"/>
  <c r="L8" i="6"/>
  <c r="K8" i="6"/>
  <c r="P8" i="5"/>
  <c r="O8" i="5"/>
  <c r="N8" i="5"/>
  <c r="M8" i="5"/>
  <c r="L8" i="5"/>
  <c r="K8" i="5"/>
  <c r="P10" i="4"/>
  <c r="O10" i="4"/>
  <c r="N10" i="4"/>
  <c r="M10" i="4"/>
  <c r="L10" i="4"/>
  <c r="K10" i="4"/>
  <c r="P10" i="3"/>
  <c r="O10" i="3"/>
  <c r="N10" i="3"/>
  <c r="M10" i="3"/>
  <c r="L10" i="3"/>
  <c r="K10" i="3"/>
  <c r="D26" i="2"/>
  <c r="E26" i="2"/>
  <c r="F26" i="2"/>
  <c r="G26" i="2"/>
  <c r="H26" i="2"/>
  <c r="D27" i="2"/>
  <c r="E27" i="2"/>
  <c r="F27" i="2"/>
  <c r="G27" i="2"/>
  <c r="H27" i="2"/>
  <c r="D28" i="2"/>
  <c r="E28" i="2"/>
  <c r="F28" i="2"/>
  <c r="G28" i="2"/>
  <c r="H28" i="2"/>
  <c r="D29" i="2"/>
  <c r="E29" i="2"/>
  <c r="F29" i="2"/>
  <c r="G29" i="2"/>
  <c r="H29" i="2"/>
  <c r="D30" i="2"/>
  <c r="E30" i="2"/>
  <c r="F30" i="2"/>
  <c r="G30" i="2"/>
  <c r="H30" i="2"/>
  <c r="D31" i="2"/>
  <c r="E31" i="2"/>
  <c r="F31" i="2"/>
  <c r="G31" i="2"/>
  <c r="H31" i="2"/>
  <c r="C26" i="2"/>
  <c r="C27" i="2"/>
  <c r="C28" i="2"/>
  <c r="C29" i="2"/>
  <c r="C30" i="2"/>
  <c r="C31" i="2"/>
  <c r="P18" i="2"/>
  <c r="O18" i="2"/>
  <c r="N18" i="2"/>
  <c r="M18" i="2"/>
  <c r="L18" i="2"/>
  <c r="K18" i="2"/>
  <c r="P12" i="1"/>
  <c r="O12" i="1"/>
  <c r="N12" i="1"/>
  <c r="M12" i="1"/>
  <c r="K12" i="1"/>
  <c r="L12" i="1"/>
  <c r="H26" i="8"/>
  <c r="G26" i="8"/>
  <c r="F26" i="8"/>
  <c r="E26" i="8"/>
  <c r="D26" i="8"/>
  <c r="C26" i="8"/>
  <c r="H25" i="8"/>
  <c r="G25" i="8"/>
  <c r="F25" i="8"/>
  <c r="E25" i="8"/>
  <c r="D25" i="8"/>
  <c r="C25" i="8"/>
  <c r="H24" i="8"/>
  <c r="G24" i="8"/>
  <c r="F24" i="8"/>
  <c r="E24" i="8"/>
  <c r="D24" i="8"/>
  <c r="C24" i="8"/>
  <c r="H23" i="8"/>
  <c r="G23" i="8"/>
  <c r="F23" i="8"/>
  <c r="E23" i="8"/>
  <c r="D23" i="8"/>
  <c r="C23" i="8"/>
  <c r="H22" i="8"/>
  <c r="G22" i="8"/>
  <c r="F22" i="8"/>
  <c r="E22" i="8"/>
  <c r="D22" i="8"/>
  <c r="C22" i="8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K3" i="8"/>
  <c r="K4" i="8" s="1"/>
  <c r="K5" i="8" s="1"/>
  <c r="K6" i="8" s="1"/>
  <c r="K7" i="8" s="1"/>
  <c r="K8" i="8" s="1"/>
  <c r="K9" i="8" s="1"/>
  <c r="K10" i="8" s="1"/>
  <c r="K11" i="8" s="1"/>
  <c r="K12" i="8" s="1"/>
  <c r="P3" i="8"/>
  <c r="P4" i="8" s="1"/>
  <c r="P5" i="8" s="1"/>
  <c r="P6" i="8" s="1"/>
  <c r="P7" i="8" s="1"/>
  <c r="P8" i="8" s="1"/>
  <c r="P9" i="8" s="1"/>
  <c r="P10" i="8" s="1"/>
  <c r="P11" i="8" s="1"/>
  <c r="P12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N3" i="8"/>
  <c r="N4" i="8" s="1"/>
  <c r="N5" i="8" s="1"/>
  <c r="N6" i="8" s="1"/>
  <c r="N7" i="8" s="1"/>
  <c r="N8" i="8" s="1"/>
  <c r="N9" i="8" s="1"/>
  <c r="N10" i="8" s="1"/>
  <c r="N11" i="8" s="1"/>
  <c r="N12" i="8" s="1"/>
  <c r="M3" i="8"/>
  <c r="M4" i="8" s="1"/>
  <c r="M5" i="8" s="1"/>
  <c r="M6" i="8" s="1"/>
  <c r="M7" i="8" s="1"/>
  <c r="M8" i="8" s="1"/>
  <c r="M9" i="8" s="1"/>
  <c r="M10" i="8" s="1"/>
  <c r="M11" i="8" s="1"/>
  <c r="M12" i="8" s="1"/>
  <c r="L3" i="8"/>
  <c r="L4" i="8" s="1"/>
  <c r="L5" i="8" s="1"/>
  <c r="L6" i="8" s="1"/>
  <c r="L7" i="8" s="1"/>
  <c r="L8" i="8" s="1"/>
  <c r="L9" i="8" s="1"/>
  <c r="L10" i="8" s="1"/>
  <c r="L11" i="8" s="1"/>
  <c r="L12" i="8" s="1"/>
  <c r="J3" i="8"/>
  <c r="J4" i="8" s="1"/>
  <c r="J5" i="8" s="1"/>
  <c r="J6" i="8" s="1"/>
  <c r="J7" i="8" s="1"/>
  <c r="J8" i="8" s="1"/>
  <c r="J9" i="8" s="1"/>
  <c r="J10" i="8" s="1"/>
  <c r="J11" i="8" s="1"/>
  <c r="J12" i="8" s="1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P3" i="7"/>
  <c r="P4" i="7" s="1"/>
  <c r="P5" i="7" s="1"/>
  <c r="P6" i="7" s="1"/>
  <c r="O3" i="7"/>
  <c r="O4" i="7" s="1"/>
  <c r="O5" i="7" s="1"/>
  <c r="O6" i="7" s="1"/>
  <c r="N3" i="7"/>
  <c r="N4" i="7" s="1"/>
  <c r="N5" i="7" s="1"/>
  <c r="N6" i="7" s="1"/>
  <c r="M3" i="7"/>
  <c r="M4" i="7" s="1"/>
  <c r="M5" i="7" s="1"/>
  <c r="M6" i="7" s="1"/>
  <c r="L3" i="7"/>
  <c r="L4" i="7" s="1"/>
  <c r="L5" i="7" s="1"/>
  <c r="L6" i="7" s="1"/>
  <c r="K3" i="7"/>
  <c r="K4" i="7" s="1"/>
  <c r="K5" i="7" s="1"/>
  <c r="K6" i="7" s="1"/>
  <c r="J3" i="7"/>
  <c r="J4" i="7" s="1"/>
  <c r="J5" i="7" s="1"/>
  <c r="J6" i="7" s="1"/>
  <c r="O13" i="7" s="1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P3" i="6"/>
  <c r="P4" i="6" s="1"/>
  <c r="P5" i="6" s="1"/>
  <c r="O3" i="6"/>
  <c r="O4" i="6" s="1"/>
  <c r="O5" i="6" s="1"/>
  <c r="N3" i="6"/>
  <c r="N4" i="6" s="1"/>
  <c r="N5" i="6" s="1"/>
  <c r="M3" i="6"/>
  <c r="M4" i="6" s="1"/>
  <c r="M5" i="6" s="1"/>
  <c r="L3" i="6"/>
  <c r="L4" i="6" s="1"/>
  <c r="L5" i="6" s="1"/>
  <c r="K3" i="6"/>
  <c r="K4" i="6" s="1"/>
  <c r="K5" i="6" s="1"/>
  <c r="J3" i="6"/>
  <c r="J4" i="6" s="1"/>
  <c r="J5" i="6" s="1"/>
  <c r="O11" i="6" s="1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P3" i="5"/>
  <c r="P4" i="5" s="1"/>
  <c r="O3" i="5"/>
  <c r="O4" i="5" s="1"/>
  <c r="N3" i="5"/>
  <c r="N4" i="5" s="1"/>
  <c r="M3" i="5"/>
  <c r="M4" i="5" s="1"/>
  <c r="L3" i="5"/>
  <c r="L4" i="5" s="1"/>
  <c r="K3" i="5"/>
  <c r="K4" i="5" s="1"/>
  <c r="J3" i="5"/>
  <c r="J4" i="5" s="1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P3" i="4"/>
  <c r="P4" i="4" s="1"/>
  <c r="P5" i="4" s="1"/>
  <c r="P6" i="4" s="1"/>
  <c r="P7" i="4" s="1"/>
  <c r="P15" i="4" s="1"/>
  <c r="O3" i="4"/>
  <c r="O4" i="4" s="1"/>
  <c r="O5" i="4" s="1"/>
  <c r="O6" i="4" s="1"/>
  <c r="O7" i="4" s="1"/>
  <c r="N3" i="4"/>
  <c r="N4" i="4" s="1"/>
  <c r="N5" i="4" s="1"/>
  <c r="N6" i="4" s="1"/>
  <c r="N7" i="4" s="1"/>
  <c r="M3" i="4"/>
  <c r="M4" i="4" s="1"/>
  <c r="M5" i="4" s="1"/>
  <c r="M6" i="4" s="1"/>
  <c r="M7" i="4" s="1"/>
  <c r="L3" i="4"/>
  <c r="L4" i="4" s="1"/>
  <c r="L5" i="4" s="1"/>
  <c r="L6" i="4" s="1"/>
  <c r="L7" i="4" s="1"/>
  <c r="K3" i="4"/>
  <c r="K4" i="4" s="1"/>
  <c r="K5" i="4" s="1"/>
  <c r="K6" i="4" s="1"/>
  <c r="K7" i="4" s="1"/>
  <c r="J3" i="4"/>
  <c r="J4" i="4" s="1"/>
  <c r="J5" i="4" s="1"/>
  <c r="J6" i="4" s="1"/>
  <c r="J7" i="4" s="1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P3" i="3"/>
  <c r="P4" i="3" s="1"/>
  <c r="P5" i="3" s="1"/>
  <c r="P6" i="3" s="1"/>
  <c r="P7" i="3" s="1"/>
  <c r="O3" i="3"/>
  <c r="O4" i="3" s="1"/>
  <c r="O5" i="3" s="1"/>
  <c r="O6" i="3" s="1"/>
  <c r="O7" i="3" s="1"/>
  <c r="N3" i="3"/>
  <c r="N4" i="3" s="1"/>
  <c r="N5" i="3" s="1"/>
  <c r="N6" i="3" s="1"/>
  <c r="N7" i="3" s="1"/>
  <c r="M3" i="3"/>
  <c r="M4" i="3" s="1"/>
  <c r="M5" i="3" s="1"/>
  <c r="M6" i="3" s="1"/>
  <c r="M7" i="3" s="1"/>
  <c r="L3" i="3"/>
  <c r="L4" i="3" s="1"/>
  <c r="L5" i="3" s="1"/>
  <c r="L6" i="3" s="1"/>
  <c r="L7" i="3" s="1"/>
  <c r="K3" i="3"/>
  <c r="K4" i="3" s="1"/>
  <c r="K5" i="3" s="1"/>
  <c r="K6" i="3" s="1"/>
  <c r="K7" i="3" s="1"/>
  <c r="J3" i="3"/>
  <c r="J4" i="3" s="1"/>
  <c r="J5" i="3" s="1"/>
  <c r="J6" i="3" s="1"/>
  <c r="J7" i="3" s="1"/>
  <c r="P15" i="3" s="1"/>
  <c r="H19" i="2"/>
  <c r="H20" i="2"/>
  <c r="H21" i="2"/>
  <c r="H22" i="2"/>
  <c r="H23" i="2"/>
  <c r="H24" i="2"/>
  <c r="H25" i="2"/>
  <c r="H18" i="2"/>
  <c r="G19" i="2"/>
  <c r="G20" i="2"/>
  <c r="G21" i="2"/>
  <c r="G22" i="2"/>
  <c r="G23" i="2"/>
  <c r="G24" i="2"/>
  <c r="G25" i="2"/>
  <c r="G18" i="2"/>
  <c r="F19" i="2"/>
  <c r="F20" i="2"/>
  <c r="F21" i="2"/>
  <c r="F22" i="2"/>
  <c r="F23" i="2"/>
  <c r="F24" i="2"/>
  <c r="F25" i="2"/>
  <c r="F18" i="2"/>
  <c r="E19" i="2"/>
  <c r="E20" i="2"/>
  <c r="E21" i="2"/>
  <c r="E22" i="2"/>
  <c r="E23" i="2"/>
  <c r="E24" i="2"/>
  <c r="E25" i="2"/>
  <c r="E18" i="2"/>
  <c r="D19" i="2"/>
  <c r="D20" i="2"/>
  <c r="D21" i="2"/>
  <c r="D22" i="2"/>
  <c r="D23" i="2"/>
  <c r="D24" i="2"/>
  <c r="D25" i="2"/>
  <c r="D18" i="2"/>
  <c r="C19" i="2"/>
  <c r="C20" i="2"/>
  <c r="C21" i="2"/>
  <c r="C22" i="2"/>
  <c r="C23" i="2"/>
  <c r="C24" i="2"/>
  <c r="C25" i="2"/>
  <c r="C18" i="2"/>
  <c r="N13" i="2"/>
  <c r="N14" i="2" s="1"/>
  <c r="N15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P3" i="1"/>
  <c r="P4" i="1" s="1"/>
  <c r="P5" i="1" s="1"/>
  <c r="P6" i="1" s="1"/>
  <c r="P7" i="1" s="1"/>
  <c r="P8" i="1" s="1"/>
  <c r="P9" i="1" s="1"/>
  <c r="O3" i="1"/>
  <c r="O4" i="1" s="1"/>
  <c r="O5" i="1" s="1"/>
  <c r="O6" i="1" s="1"/>
  <c r="O7" i="1" s="1"/>
  <c r="O8" i="1" s="1"/>
  <c r="O9" i="1" s="1"/>
  <c r="N3" i="1"/>
  <c r="N4" i="1" s="1"/>
  <c r="N5" i="1" s="1"/>
  <c r="N6" i="1" s="1"/>
  <c r="N7" i="1" s="1"/>
  <c r="N8" i="1" s="1"/>
  <c r="N9" i="1" s="1"/>
  <c r="M3" i="1"/>
  <c r="M4" i="1" s="1"/>
  <c r="M5" i="1" s="1"/>
  <c r="M6" i="1" s="1"/>
  <c r="M7" i="1" s="1"/>
  <c r="M8" i="1" s="1"/>
  <c r="M9" i="1" s="1"/>
  <c r="L3" i="1"/>
  <c r="L4" i="1" s="1"/>
  <c r="L5" i="1" s="1"/>
  <c r="L6" i="1" s="1"/>
  <c r="L7" i="1" s="1"/>
  <c r="L8" i="1" s="1"/>
  <c r="L9" i="1" s="1"/>
  <c r="K3" i="1"/>
  <c r="K4" i="1" s="1"/>
  <c r="K5" i="1" s="1"/>
  <c r="K6" i="1" s="1"/>
  <c r="K7" i="1" s="1"/>
  <c r="K8" i="1" s="1"/>
  <c r="K9" i="1" s="1"/>
  <c r="J3" i="1"/>
  <c r="J4" i="1" s="1"/>
  <c r="J5" i="1" s="1"/>
  <c r="J6" i="1" s="1"/>
  <c r="J7" i="1" s="1"/>
  <c r="J8" i="1" s="1"/>
  <c r="J9" i="1" s="1"/>
  <c r="M19" i="1" s="1"/>
  <c r="P22" i="8" l="1"/>
  <c r="P17" i="8"/>
  <c r="K26" i="8"/>
  <c r="P26" i="8"/>
  <c r="L26" i="8"/>
  <c r="P25" i="8"/>
  <c r="N20" i="8"/>
  <c r="M26" i="8"/>
  <c r="O25" i="8"/>
  <c r="K20" i="8"/>
  <c r="P21" i="8"/>
  <c r="O21" i="8"/>
  <c r="N26" i="8"/>
  <c r="N24" i="8"/>
  <c r="K19" i="8"/>
  <c r="O26" i="8"/>
  <c r="K24" i="8"/>
  <c r="P18" i="8"/>
  <c r="L23" i="8"/>
  <c r="L19" i="8"/>
  <c r="M24" i="8"/>
  <c r="M20" i="8"/>
  <c r="N25" i="8"/>
  <c r="L24" i="8"/>
  <c r="N21" i="8"/>
  <c r="L20" i="8"/>
  <c r="M25" i="8"/>
  <c r="O22" i="8"/>
  <c r="M21" i="8"/>
  <c r="O18" i="8"/>
  <c r="L25" i="8"/>
  <c r="P23" i="8"/>
  <c r="N22" i="8"/>
  <c r="L21" i="8"/>
  <c r="P19" i="8"/>
  <c r="N18" i="8"/>
  <c r="L17" i="8"/>
  <c r="K25" i="8"/>
  <c r="O23" i="8"/>
  <c r="M22" i="8"/>
  <c r="K21" i="8"/>
  <c r="O19" i="8"/>
  <c r="M18" i="8"/>
  <c r="M17" i="8"/>
  <c r="P24" i="8"/>
  <c r="N23" i="8"/>
  <c r="L22" i="8"/>
  <c r="P20" i="8"/>
  <c r="N19" i="8"/>
  <c r="L18" i="8"/>
  <c r="N17" i="8"/>
  <c r="O24" i="8"/>
  <c r="M23" i="8"/>
  <c r="K22" i="8"/>
  <c r="O20" i="8"/>
  <c r="M19" i="8"/>
  <c r="K18" i="8"/>
  <c r="K10" i="7"/>
  <c r="M10" i="7"/>
  <c r="O12" i="7"/>
  <c r="K13" i="7"/>
  <c r="L13" i="7"/>
  <c r="P13" i="7"/>
  <c r="L11" i="7"/>
  <c r="O11" i="7"/>
  <c r="K11" i="6"/>
  <c r="P10" i="5"/>
  <c r="O9" i="5"/>
  <c r="K10" i="5"/>
  <c r="O15" i="4"/>
  <c r="K13" i="4"/>
  <c r="N11" i="4"/>
  <c r="N16" i="4" s="1"/>
  <c r="N17" i="4" s="1"/>
  <c r="N15" i="4"/>
  <c r="L13" i="4"/>
  <c r="L14" i="4"/>
  <c r="P12" i="4"/>
  <c r="M14" i="4"/>
  <c r="N14" i="4"/>
  <c r="O14" i="3"/>
  <c r="K15" i="3"/>
  <c r="K11" i="3"/>
  <c r="P14" i="3"/>
  <c r="K12" i="3"/>
  <c r="L12" i="3"/>
  <c r="M12" i="3"/>
  <c r="M13" i="3"/>
  <c r="K29" i="2"/>
  <c r="L16" i="1"/>
  <c r="P14" i="1"/>
  <c r="O13" i="1"/>
  <c r="P18" i="1"/>
  <c r="N17" i="1"/>
  <c r="M11" i="7"/>
  <c r="L10" i="7"/>
  <c r="N11" i="7"/>
  <c r="P12" i="7"/>
  <c r="N10" i="7"/>
  <c r="N14" i="7" s="1"/>
  <c r="N15" i="7" s="1"/>
  <c r="P11" i="7"/>
  <c r="O10" i="7"/>
  <c r="K12" i="7"/>
  <c r="M13" i="7"/>
  <c r="P10" i="7"/>
  <c r="L12" i="7"/>
  <c r="N13" i="7"/>
  <c r="K11" i="7"/>
  <c r="M12" i="7"/>
  <c r="N12" i="7"/>
  <c r="O9" i="6"/>
  <c r="L9" i="6"/>
  <c r="P11" i="6"/>
  <c r="M9" i="6"/>
  <c r="O10" i="6"/>
  <c r="N10" i="6"/>
  <c r="N9" i="6"/>
  <c r="P10" i="6"/>
  <c r="P9" i="6"/>
  <c r="L11" i="6"/>
  <c r="K10" i="6"/>
  <c r="M11" i="6"/>
  <c r="L10" i="6"/>
  <c r="N11" i="6"/>
  <c r="K9" i="6"/>
  <c r="M10" i="6"/>
  <c r="P9" i="5"/>
  <c r="P11" i="5"/>
  <c r="P12" i="5" s="1"/>
  <c r="L10" i="5"/>
  <c r="K9" i="5"/>
  <c r="K11" i="5" s="1"/>
  <c r="K12" i="5" s="1"/>
  <c r="M10" i="5"/>
  <c r="L9" i="5"/>
  <c r="L11" i="5" s="1"/>
  <c r="L12" i="5" s="1"/>
  <c r="N10" i="5"/>
  <c r="M9" i="5"/>
  <c r="O10" i="5"/>
  <c r="O11" i="5" s="1"/>
  <c r="O12" i="5" s="1"/>
  <c r="N9" i="5"/>
  <c r="P11" i="4"/>
  <c r="K12" i="4"/>
  <c r="M13" i="4"/>
  <c r="O14" i="4"/>
  <c r="L12" i="4"/>
  <c r="N13" i="4"/>
  <c r="P14" i="4"/>
  <c r="O11" i="4"/>
  <c r="K11" i="4"/>
  <c r="O13" i="4"/>
  <c r="L11" i="4"/>
  <c r="N12" i="4"/>
  <c r="P13" i="4"/>
  <c r="L15" i="4"/>
  <c r="M12" i="4"/>
  <c r="K15" i="4"/>
  <c r="M11" i="4"/>
  <c r="O12" i="4"/>
  <c r="K14" i="4"/>
  <c r="M15" i="4"/>
  <c r="L11" i="3"/>
  <c r="N12" i="3"/>
  <c r="P13" i="3"/>
  <c r="L15" i="3"/>
  <c r="N13" i="3"/>
  <c r="M11" i="3"/>
  <c r="O12" i="3"/>
  <c r="K14" i="3"/>
  <c r="M15" i="3"/>
  <c r="N11" i="3"/>
  <c r="P12" i="3"/>
  <c r="L14" i="3"/>
  <c r="N15" i="3"/>
  <c r="O13" i="3"/>
  <c r="O11" i="3"/>
  <c r="K13" i="3"/>
  <c r="K16" i="3" s="1"/>
  <c r="K17" i="3" s="1"/>
  <c r="M14" i="3"/>
  <c r="O15" i="3"/>
  <c r="P11" i="3"/>
  <c r="P16" i="3" s="1"/>
  <c r="P17" i="3" s="1"/>
  <c r="L13" i="3"/>
  <c r="L16" i="3" s="1"/>
  <c r="L17" i="3" s="1"/>
  <c r="N14" i="3"/>
  <c r="M13" i="1"/>
  <c r="L19" i="1"/>
  <c r="P17" i="1"/>
  <c r="N16" i="1"/>
  <c r="L15" i="1"/>
  <c r="N13" i="1"/>
  <c r="K19" i="1"/>
  <c r="O17" i="1"/>
  <c r="M16" i="1"/>
  <c r="K15" i="1"/>
  <c r="P19" i="1"/>
  <c r="N18" i="1"/>
  <c r="L17" i="1"/>
  <c r="P15" i="1"/>
  <c r="N14" i="1"/>
  <c r="P13" i="1"/>
  <c r="M17" i="1"/>
  <c r="O14" i="1"/>
  <c r="O19" i="1"/>
  <c r="M18" i="1"/>
  <c r="K17" i="1"/>
  <c r="O15" i="1"/>
  <c r="M14" i="1"/>
  <c r="K13" i="1"/>
  <c r="N19" i="1"/>
  <c r="L18" i="1"/>
  <c r="P16" i="1"/>
  <c r="N15" i="1"/>
  <c r="L14" i="1"/>
  <c r="O18" i="1"/>
  <c r="K16" i="1"/>
  <c r="L13" i="1"/>
  <c r="K18" i="1"/>
  <c r="O16" i="1"/>
  <c r="M15" i="1"/>
  <c r="K14" i="1"/>
  <c r="J14" i="2"/>
  <c r="P28" i="2"/>
  <c r="N27" i="2"/>
  <c r="L26" i="2"/>
  <c r="P24" i="2"/>
  <c r="N23" i="2"/>
  <c r="L22" i="2"/>
  <c r="P20" i="2"/>
  <c r="L19" i="2"/>
  <c r="O28" i="2"/>
  <c r="M27" i="2"/>
  <c r="K26" i="2"/>
  <c r="O24" i="2"/>
  <c r="M23" i="2"/>
  <c r="K22" i="2"/>
  <c r="O20" i="2"/>
  <c r="L27" i="2"/>
  <c r="P21" i="2"/>
  <c r="O19" i="2"/>
  <c r="N29" i="2"/>
  <c r="L28" i="2"/>
  <c r="P26" i="2"/>
  <c r="N25" i="2"/>
  <c r="L24" i="2"/>
  <c r="P22" i="2"/>
  <c r="N21" i="2"/>
  <c r="L20" i="2"/>
  <c r="O29" i="2"/>
  <c r="P19" i="2"/>
  <c r="M29" i="2"/>
  <c r="K28" i="2"/>
  <c r="O26" i="2"/>
  <c r="M25" i="2"/>
  <c r="K24" i="2"/>
  <c r="O22" i="2"/>
  <c r="M21" i="2"/>
  <c r="K20" i="2"/>
  <c r="M19" i="2"/>
  <c r="P29" i="2"/>
  <c r="N24" i="2"/>
  <c r="N19" i="2"/>
  <c r="M28" i="2"/>
  <c r="O25" i="2"/>
  <c r="K23" i="2"/>
  <c r="O21" i="2"/>
  <c r="M20" i="2"/>
  <c r="K19" i="2"/>
  <c r="L29" i="2"/>
  <c r="P27" i="2"/>
  <c r="N26" i="2"/>
  <c r="L25" i="2"/>
  <c r="P23" i="2"/>
  <c r="N22" i="2"/>
  <c r="L21" i="2"/>
  <c r="N28" i="2"/>
  <c r="P25" i="2"/>
  <c r="L23" i="2"/>
  <c r="N20" i="2"/>
  <c r="K27" i="2"/>
  <c r="M24" i="2"/>
  <c r="O27" i="2"/>
  <c r="M26" i="2"/>
  <c r="K25" i="2"/>
  <c r="O23" i="2"/>
  <c r="M22" i="2"/>
  <c r="K21" i="2"/>
  <c r="L14" i="7" l="1"/>
  <c r="L15" i="7" s="1"/>
  <c r="M14" i="7"/>
  <c r="M15" i="7" s="1"/>
  <c r="P14" i="7"/>
  <c r="P15" i="7" s="1"/>
  <c r="O14" i="7"/>
  <c r="O15" i="7" s="1"/>
  <c r="K14" i="7"/>
  <c r="K15" i="7" s="1"/>
  <c r="O12" i="6"/>
  <c r="O13" i="6" s="1"/>
  <c r="M12" i="6"/>
  <c r="M13" i="6" s="1"/>
  <c r="P12" i="6"/>
  <c r="P13" i="6" s="1"/>
  <c r="K12" i="6"/>
  <c r="K13" i="6" s="1"/>
  <c r="M11" i="5"/>
  <c r="M12" i="5" s="1"/>
  <c r="O16" i="4"/>
  <c r="O17" i="4" s="1"/>
  <c r="M16" i="3"/>
  <c r="M17" i="3" s="1"/>
  <c r="L20" i="1"/>
  <c r="K20" i="1"/>
  <c r="K21" i="1" s="1"/>
  <c r="P20" i="1"/>
  <c r="P21" i="1" s="1"/>
  <c r="O20" i="1"/>
  <c r="O21" i="1" s="1"/>
  <c r="N20" i="1"/>
  <c r="N21" i="1" s="1"/>
  <c r="M20" i="1"/>
  <c r="M21" i="1" s="1"/>
  <c r="K27" i="8"/>
  <c r="K28" i="8" s="1"/>
  <c r="M27" i="8"/>
  <c r="M28" i="8" s="1"/>
  <c r="O27" i="8"/>
  <c r="O28" i="8" s="1"/>
  <c r="N27" i="8"/>
  <c r="N28" i="8" s="1"/>
  <c r="L27" i="8"/>
  <c r="L28" i="8" s="1"/>
  <c r="P27" i="8"/>
  <c r="P28" i="8" s="1"/>
  <c r="N12" i="6"/>
  <c r="N13" i="6" s="1"/>
  <c r="L12" i="6"/>
  <c r="L13" i="6" s="1"/>
  <c r="N11" i="5"/>
  <c r="N12" i="5" s="1"/>
  <c r="L16" i="4"/>
  <c r="L17" i="4" s="1"/>
  <c r="M16" i="4"/>
  <c r="M17" i="4" s="1"/>
  <c r="K16" i="4"/>
  <c r="K17" i="4" s="1"/>
  <c r="P16" i="4"/>
  <c r="P17" i="4" s="1"/>
  <c r="O16" i="3"/>
  <c r="O17" i="3" s="1"/>
  <c r="N16" i="3"/>
  <c r="N17" i="3" s="1"/>
  <c r="L21" i="1"/>
  <c r="M30" i="2"/>
  <c r="J15" i="2"/>
  <c r="N30" i="2"/>
  <c r="O30" i="2"/>
  <c r="P30" i="2"/>
  <c r="K30" i="2"/>
  <c r="L30" i="2"/>
  <c r="O31" i="2" l="1"/>
  <c r="O32" i="2" s="1"/>
  <c r="O33" i="2" s="1"/>
  <c r="K31" i="2"/>
  <c r="K32" i="2" s="1"/>
  <c r="K33" i="2" s="1"/>
  <c r="L31" i="2"/>
  <c r="L32" i="2" s="1"/>
  <c r="L33" i="2" s="1"/>
  <c r="P31" i="2"/>
  <c r="P32" i="2" s="1"/>
  <c r="P33" i="2" s="1"/>
  <c r="M31" i="2"/>
  <c r="M32" i="2" s="1"/>
  <c r="M33" i="2" s="1"/>
  <c r="N31" i="2"/>
  <c r="N32" i="2" s="1"/>
  <c r="N33" i="2" s="1"/>
</calcChain>
</file>

<file path=xl/sharedStrings.xml><?xml version="1.0" encoding="utf-8"?>
<sst xmlns="http://schemas.openxmlformats.org/spreadsheetml/2006/main" count="421" uniqueCount="79">
  <si>
    <t>ÁGUAS FORMOSAS</t>
  </si>
  <si>
    <t>BERTÓPOLIS</t>
  </si>
  <si>
    <t>CRISÓLITA</t>
  </si>
  <si>
    <t>FRONTEIRA DOS VALES</t>
  </si>
  <si>
    <t>MACHACALIS</t>
  </si>
  <si>
    <t>PAVÃO</t>
  </si>
  <si>
    <t>SANTA HELENA DE MINAS</t>
  </si>
  <si>
    <t>UMBURATIBA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</si>
  <si>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</si>
  <si>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</si>
  <si>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</si>
  <si>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</si>
  <si>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</si>
  <si>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</si>
  <si>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</si>
  <si>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</si>
  <si>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ALMENARA</t>
  </si>
  <si>
    <t>BANDEIRA</t>
  </si>
  <si>
    <t>FELISBURGO</t>
  </si>
  <si>
    <t>JACINTO</t>
  </si>
  <si>
    <t>JEQUITINHONHA</t>
  </si>
  <si>
    <t>JOAÍMA</t>
  </si>
  <si>
    <t>JORDÂNIA</t>
  </si>
  <si>
    <t>MATA VERDE</t>
  </si>
  <si>
    <t>PALMÓPOLIS</t>
  </si>
  <si>
    <t>RIO DO PRADO</t>
  </si>
  <si>
    <t>RUBIM</t>
  </si>
  <si>
    <t>SALTO DA DIVISA</t>
  </si>
  <si>
    <t>SANTA MARIA DO SALTO</t>
  </si>
  <si>
    <t>SANTO ANTÔNIO DO JACINTO</t>
  </si>
  <si>
    <t>ITAMBACURI</t>
  </si>
  <si>
    <t>CAMPANÁRIO</t>
  </si>
  <si>
    <t>FREI GASPAR</t>
  </si>
  <si>
    <t>NOVA MÓDICA</t>
  </si>
  <si>
    <t>PESCADOR</t>
  </si>
  <si>
    <t>SÃO JOSÉ DO DIVINO</t>
  </si>
  <si>
    <t>ITAOBIM</t>
  </si>
  <si>
    <t>COMERCINHO</t>
  </si>
  <si>
    <t>ITINGA</t>
  </si>
  <si>
    <t>MEDINA</t>
  </si>
  <si>
    <t>MONTE FORMOSO</t>
  </si>
  <si>
    <t>PONTO DOS VOLANTES</t>
  </si>
  <si>
    <t>NANUQUE</t>
  </si>
  <si>
    <t>CARLOS CHAGAS</t>
  </si>
  <si>
    <t>SERRA DOS AIMORÉS</t>
  </si>
  <si>
    <t>PADRE PARAÍSO</t>
  </si>
  <si>
    <t>CARAÍ</t>
  </si>
  <si>
    <t>CATUJI</t>
  </si>
  <si>
    <t>ITAIPÉ</t>
  </si>
  <si>
    <t>PEDRA AZUL</t>
  </si>
  <si>
    <t>ÁGUAS VERMELHAS</t>
  </si>
  <si>
    <t>CACHOEIRA DE PAJEÚ</t>
  </si>
  <si>
    <t>DIVISA ALEGRE</t>
  </si>
  <si>
    <t>DIVISÓPOLIS</t>
  </si>
  <si>
    <t>ANGELÂNDIA</t>
  </si>
  <si>
    <t>ATALÉIA</t>
  </si>
  <si>
    <t>FRANCISCÓPOLIS</t>
  </si>
  <si>
    <t>LADAINHA</t>
  </si>
  <si>
    <t>MALACACHETA</t>
  </si>
  <si>
    <t>NOVO CRUZEIRO</t>
  </si>
  <si>
    <t>NOVO ORIENTE DE MINAS</t>
  </si>
  <si>
    <t>OURO VERDE DE MINAS</t>
  </si>
  <si>
    <t>POTÉ</t>
  </si>
  <si>
    <t>SETUBINHA</t>
  </si>
  <si>
    <t>TEÓFILO OTONI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</si>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</sst>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0" fontId="0" fillId="8" borderId="1" xfId="0" applyFill="1" applyBorder="1"/>
    <xf numFmtId="0" fontId="2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2" fillId="7" borderId="1" xfId="0" applyFont="1" applyFill="1" applyBorder="1" applyAlignment="1">
      <alignment horizontal="left" indent="2"/>
    </xf>
    <xf numFmtId="2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'ÁGUAS FORMOSAS'!$J$1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FORMOSAS'!$J$2:$J$9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80-4DD3-B211-74B3FCD0BA20}"/>
            </c:ext>
          </c:extLst>
        </c:ser>
        <c:ser>
          <c:idx val="1"/>
          <c:order val="1"/>
          <c:tx>
            <c:strRef>
              <c:f>'ÁGUAS FORMOSAS'!$K$1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FORMOSAS'!$K$2:$K$9</c:f>
              <c:numCache>
                <c:formatCode>0.00</c:formatCode>
                <c:ptCount val="8"/>
                <c:pt idx="0">
                  <c:v>6.9767441860465115E-2</c:v>
                </c:pt>
                <c:pt idx="1">
                  <c:v>0.11627906976744186</c:v>
                </c:pt>
                <c:pt idx="2">
                  <c:v>0.13953488372093023</c:v>
                </c:pt>
                <c:pt idx="3">
                  <c:v>0.23255813953488372</c:v>
                </c:pt>
                <c:pt idx="4">
                  <c:v>0.30232558139534882</c:v>
                </c:pt>
                <c:pt idx="5">
                  <c:v>0.37209302325581395</c:v>
                </c:pt>
                <c:pt idx="6">
                  <c:v>0.65116279069767447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80-4DD3-B211-74B3FCD0BA20}"/>
            </c:ext>
          </c:extLst>
        </c:ser>
        <c:ser>
          <c:idx val="2"/>
          <c:order val="2"/>
          <c:tx>
            <c:strRef>
              <c:f>'ÁGUAS FORMOSAS'!$L$1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FORMOSAS'!$L$2:$L$9</c:f>
              <c:numCache>
                <c:formatCode>0.00</c:formatCode>
                <c:ptCount val="8"/>
                <c:pt idx="0">
                  <c:v>0.125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0.75</c:v>
                </c:pt>
                <c:pt idx="5">
                  <c:v>0.875</c:v>
                </c:pt>
                <c:pt idx="6">
                  <c:v>0.875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80-4DD3-B211-74B3FCD0BA20}"/>
            </c:ext>
          </c:extLst>
        </c:ser>
        <c:ser>
          <c:idx val="3"/>
          <c:order val="3"/>
          <c:tx>
            <c:strRef>
              <c:f>'ÁGUAS FORMOSAS'!$M$1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FORMOSAS'!$M$2:$M$9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0.58333333333333326</c:v>
                </c:pt>
                <c:pt idx="5">
                  <c:v>0.66666666666666663</c:v>
                </c:pt>
                <c:pt idx="6">
                  <c:v>0.83333333333333326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80-4DD3-B211-74B3FCD0B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1216"/>
        <c:axId val="154330336"/>
      </c:scatterChart>
      <c:valAx>
        <c:axId val="1543212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0336"/>
        <c:crosses val="autoZero"/>
        <c:crossBetween val="midCat"/>
      </c:valAx>
      <c:valAx>
        <c:axId val="1543303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21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'ÁGUAS FORMOSAS'!$J$1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FORMOSAS'!$J$2:$J$9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77-4E7C-8907-C177737ACC13}"/>
            </c:ext>
          </c:extLst>
        </c:ser>
        <c:ser>
          <c:idx val="1"/>
          <c:order val="1"/>
          <c:tx>
            <c:strRef>
              <c:f>'ÁGUAS FORMOSAS'!$N$1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FORMOSAS'!$N$2:$N$9</c:f>
              <c:numCache>
                <c:formatCode>0.00</c:formatCode>
                <c:ptCount val="8"/>
                <c:pt idx="0">
                  <c:v>0.14285714285714285</c:v>
                </c:pt>
                <c:pt idx="1">
                  <c:v>0.24489795918367346</c:v>
                </c:pt>
                <c:pt idx="2">
                  <c:v>0.32653061224489793</c:v>
                </c:pt>
                <c:pt idx="3">
                  <c:v>0.38775510204081631</c:v>
                </c:pt>
                <c:pt idx="4">
                  <c:v>0.44897959183673469</c:v>
                </c:pt>
                <c:pt idx="5">
                  <c:v>0.5714285714285714</c:v>
                </c:pt>
                <c:pt idx="6">
                  <c:v>0.63265306122448972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77-4E7C-8907-C177737ACC13}"/>
            </c:ext>
          </c:extLst>
        </c:ser>
        <c:ser>
          <c:idx val="2"/>
          <c:order val="2"/>
          <c:tx>
            <c:strRef>
              <c:f>'ÁGUAS FORMOSAS'!$O$1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FORMOSAS'!$O$2:$O$9</c:f>
              <c:numCache>
                <c:formatCode>0.00</c:formatCode>
                <c:ptCount val="8"/>
                <c:pt idx="0">
                  <c:v>0.11940298507462686</c:v>
                </c:pt>
                <c:pt idx="1">
                  <c:v>0.14925373134328357</c:v>
                </c:pt>
                <c:pt idx="2">
                  <c:v>0.17910447761194029</c:v>
                </c:pt>
                <c:pt idx="3">
                  <c:v>0.23880597014925373</c:v>
                </c:pt>
                <c:pt idx="4">
                  <c:v>0.34328358208955223</c:v>
                </c:pt>
                <c:pt idx="5">
                  <c:v>0.40298507462686567</c:v>
                </c:pt>
                <c:pt idx="6">
                  <c:v>0.53731343283582089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77-4E7C-8907-C177737ACC13}"/>
            </c:ext>
          </c:extLst>
        </c:ser>
        <c:ser>
          <c:idx val="3"/>
          <c:order val="3"/>
          <c:tx>
            <c:strRef>
              <c:f>'ÁGUAS FORMOSAS'!$P$1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'ÁGUAS FORMOSAS'!$I$2:$I$9</c:f>
              <c:numCache>
                <c:formatCode>0.00</c:formatCode>
                <c:ptCount val="8"/>
                <c:pt idx="0">
                  <c:v>4.3220622698359558E-2</c:v>
                </c:pt>
                <c:pt idx="1">
                  <c:v>0.11925008369601606</c:v>
                </c:pt>
                <c:pt idx="2">
                  <c:v>0.19640107130900569</c:v>
                </c:pt>
                <c:pt idx="3">
                  <c:v>0.30363240709742217</c:v>
                </c:pt>
                <c:pt idx="4">
                  <c:v>0.41769333779712087</c:v>
                </c:pt>
                <c:pt idx="5">
                  <c:v>0.53674255105456981</c:v>
                </c:pt>
                <c:pt idx="6">
                  <c:v>0.67718446601941751</c:v>
                </c:pt>
                <c:pt idx="7">
                  <c:v>1</c:v>
                </c:pt>
              </c:numCache>
            </c:numRef>
          </c:xVal>
          <c:yVal>
            <c:numRef>
              <c:f>'ÁGUAS FORMOSAS'!$P$2:$P$9</c:f>
              <c:numCache>
                <c:formatCode>0.00</c:formatCode>
                <c:ptCount val="8"/>
                <c:pt idx="0">
                  <c:v>9.5238095238095233E-2</c:v>
                </c:pt>
                <c:pt idx="1">
                  <c:v>0.14285714285714285</c:v>
                </c:pt>
                <c:pt idx="2">
                  <c:v>0.19047619047619047</c:v>
                </c:pt>
                <c:pt idx="3">
                  <c:v>0.23809523809523808</c:v>
                </c:pt>
                <c:pt idx="4">
                  <c:v>0.23809523809523808</c:v>
                </c:pt>
                <c:pt idx="5">
                  <c:v>0.26190476190476186</c:v>
                </c:pt>
                <c:pt idx="6">
                  <c:v>0.30952380952380948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77-4E7C-8907-C177737A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52912"/>
        <c:axId val="525146192"/>
      </c:scatterChart>
      <c:valAx>
        <c:axId val="5251529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6192"/>
        <c:crosses val="autoZero"/>
        <c:crossBetween val="midCat"/>
      </c:valAx>
      <c:valAx>
        <c:axId val="525146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'ALMENARA-JACINTO'!$J$1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'ALMENARA-JACINTO'!$J$2:$J$15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CA-43C4-A87D-B8691A90713B}"/>
            </c:ext>
          </c:extLst>
        </c:ser>
        <c:ser>
          <c:idx val="1"/>
          <c:order val="1"/>
          <c:tx>
            <c:strRef>
              <c:f>'ALMENARA-JACINTO'!$K$1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'ALMENARA-JACINTO'!$K$2:$K$15</c:f>
              <c:numCache>
                <c:formatCode>0.00</c:formatCode>
                <c:ptCount val="14"/>
                <c:pt idx="0">
                  <c:v>4.807692307692308E-2</c:v>
                </c:pt>
                <c:pt idx="1">
                  <c:v>8.6538461538461536E-2</c:v>
                </c:pt>
                <c:pt idx="2">
                  <c:v>0.11538461538461539</c:v>
                </c:pt>
                <c:pt idx="3">
                  <c:v>0.16346153846153846</c:v>
                </c:pt>
                <c:pt idx="4">
                  <c:v>0.21153846153846154</c:v>
                </c:pt>
                <c:pt idx="5">
                  <c:v>0.25</c:v>
                </c:pt>
                <c:pt idx="6">
                  <c:v>0.27884615384615385</c:v>
                </c:pt>
                <c:pt idx="7">
                  <c:v>0.29807692307692307</c:v>
                </c:pt>
                <c:pt idx="8">
                  <c:v>0.34615384615384615</c:v>
                </c:pt>
                <c:pt idx="9">
                  <c:v>0.38461538461538458</c:v>
                </c:pt>
                <c:pt idx="10">
                  <c:v>0.46153846153846151</c:v>
                </c:pt>
                <c:pt idx="11">
                  <c:v>0.52884615384615385</c:v>
                </c:pt>
                <c:pt idx="12">
                  <c:v>0.65384615384615385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CA-43C4-A87D-B8691A90713B}"/>
            </c:ext>
          </c:extLst>
        </c:ser>
        <c:ser>
          <c:idx val="2"/>
          <c:order val="2"/>
          <c:tx>
            <c:strRef>
              <c:f>'ALMENARA-JACINTO'!$L$1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'ALMENARA-JACINTO'!$L$2:$L$15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5.7142857142857141E-2</c:v>
                </c:pt>
                <c:pt idx="4">
                  <c:v>7.1428571428571425E-2</c:v>
                </c:pt>
                <c:pt idx="5">
                  <c:v>9.9999999999999992E-2</c:v>
                </c:pt>
                <c:pt idx="6">
                  <c:v>0.12857142857142856</c:v>
                </c:pt>
                <c:pt idx="7">
                  <c:v>0.18571428571428569</c:v>
                </c:pt>
                <c:pt idx="8">
                  <c:v>0.21428571428571427</c:v>
                </c:pt>
                <c:pt idx="9">
                  <c:v>0.2857142857142857</c:v>
                </c:pt>
                <c:pt idx="10">
                  <c:v>0.38571428571428568</c:v>
                </c:pt>
                <c:pt idx="11">
                  <c:v>0.45714285714285707</c:v>
                </c:pt>
                <c:pt idx="12">
                  <c:v>0.55714285714285705</c:v>
                </c:pt>
                <c:pt idx="1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CA-43C4-A87D-B8691A90713B}"/>
            </c:ext>
          </c:extLst>
        </c:ser>
        <c:ser>
          <c:idx val="3"/>
          <c:order val="3"/>
          <c:tx>
            <c:strRef>
              <c:f>'ALMENARA-JACINTO'!$M$1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'ALMENARA-JACINTO'!$M$2:$M$15</c:f>
              <c:numCache>
                <c:formatCode>0.00</c:formatCode>
                <c:ptCount val="14"/>
                <c:pt idx="0">
                  <c:v>0.109375</c:v>
                </c:pt>
                <c:pt idx="1">
                  <c:v>0.125</c:v>
                </c:pt>
                <c:pt idx="2">
                  <c:v>0.140625</c:v>
                </c:pt>
                <c:pt idx="3">
                  <c:v>0.140625</c:v>
                </c:pt>
                <c:pt idx="4">
                  <c:v>0.203125</c:v>
                </c:pt>
                <c:pt idx="5">
                  <c:v>0.265625</c:v>
                </c:pt>
                <c:pt idx="6">
                  <c:v>0.34375</c:v>
                </c:pt>
                <c:pt idx="7">
                  <c:v>0.375</c:v>
                </c:pt>
                <c:pt idx="8">
                  <c:v>0.40625</c:v>
                </c:pt>
                <c:pt idx="9">
                  <c:v>0.453125</c:v>
                </c:pt>
                <c:pt idx="10">
                  <c:v>0.53125</c:v>
                </c:pt>
                <c:pt idx="11">
                  <c:v>0.703125</c:v>
                </c:pt>
                <c:pt idx="12">
                  <c:v>0.84375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CA-43C4-A87D-B8691A90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7632"/>
        <c:axId val="424086112"/>
      </c:scatterChart>
      <c:valAx>
        <c:axId val="4240976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86112"/>
        <c:crosses val="autoZero"/>
        <c:crossBetween val="midCat"/>
      </c:valAx>
      <c:valAx>
        <c:axId val="4240861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'ALMENARA-JACINTO'!$J$1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'ALMENARA-JACINTO'!$J$2:$J$15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55-4F8C-86A7-B5972EDA59B6}"/>
            </c:ext>
          </c:extLst>
        </c:ser>
        <c:ser>
          <c:idx val="1"/>
          <c:order val="1"/>
          <c:tx>
            <c:strRef>
              <c:f>'ALMENARA-JACINTO'!$N$1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'ALMENARA-JACINTO'!$N$2:$N$15</c:f>
              <c:numCache>
                <c:formatCode>0.00</c:formatCode>
                <c:ptCount val="14"/>
                <c:pt idx="0">
                  <c:v>6.2068965517241378E-2</c:v>
                </c:pt>
                <c:pt idx="1">
                  <c:v>8.2758620689655171E-2</c:v>
                </c:pt>
                <c:pt idx="2">
                  <c:v>0.1103448275862069</c:v>
                </c:pt>
                <c:pt idx="3">
                  <c:v>0.12413793103448276</c:v>
                </c:pt>
                <c:pt idx="4">
                  <c:v>0.14482758620689656</c:v>
                </c:pt>
                <c:pt idx="5">
                  <c:v>0.17931034482758623</c:v>
                </c:pt>
                <c:pt idx="6">
                  <c:v>0.22758620689655173</c:v>
                </c:pt>
                <c:pt idx="7">
                  <c:v>0.25517241379310346</c:v>
                </c:pt>
                <c:pt idx="8">
                  <c:v>0.28275862068965518</c:v>
                </c:pt>
                <c:pt idx="9">
                  <c:v>0.42758620689655175</c:v>
                </c:pt>
                <c:pt idx="10">
                  <c:v>0.51034482758620692</c:v>
                </c:pt>
                <c:pt idx="11">
                  <c:v>0.53793103448275859</c:v>
                </c:pt>
                <c:pt idx="12">
                  <c:v>0.60689655172413792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55-4F8C-86A7-B5972EDA59B6}"/>
            </c:ext>
          </c:extLst>
        </c:ser>
        <c:ser>
          <c:idx val="2"/>
          <c:order val="2"/>
          <c:tx>
            <c:strRef>
              <c:f>'ALMENARA-JACINTO'!$O$1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'ALMENARA-JACINTO'!$O$2:$O$15</c:f>
              <c:numCache>
                <c:formatCode>0.00</c:formatCode>
                <c:ptCount val="14"/>
                <c:pt idx="0">
                  <c:v>6.7164179104477612E-2</c:v>
                </c:pt>
                <c:pt idx="1">
                  <c:v>8.2089552238805971E-2</c:v>
                </c:pt>
                <c:pt idx="2">
                  <c:v>9.7014925373134331E-2</c:v>
                </c:pt>
                <c:pt idx="3">
                  <c:v>0.11194029850746269</c:v>
                </c:pt>
                <c:pt idx="4">
                  <c:v>0.12686567164179105</c:v>
                </c:pt>
                <c:pt idx="5">
                  <c:v>0.1492537313432836</c:v>
                </c:pt>
                <c:pt idx="6">
                  <c:v>0.21641791044776121</c:v>
                </c:pt>
                <c:pt idx="7">
                  <c:v>0.26865671641791045</c:v>
                </c:pt>
                <c:pt idx="8">
                  <c:v>0.28358208955223879</c:v>
                </c:pt>
                <c:pt idx="9">
                  <c:v>0.32835820895522388</c:v>
                </c:pt>
                <c:pt idx="10">
                  <c:v>0.39552238805970152</c:v>
                </c:pt>
                <c:pt idx="11">
                  <c:v>0.44776119402985076</c:v>
                </c:pt>
                <c:pt idx="12">
                  <c:v>0.55970149253731349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55-4F8C-86A7-B5972EDA59B6}"/>
            </c:ext>
          </c:extLst>
        </c:ser>
        <c:ser>
          <c:idx val="3"/>
          <c:order val="3"/>
          <c:tx>
            <c:strRef>
              <c:f>'ALMENARA-JACINTO'!$P$1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'ALMENARA-JACINTO'!$I$2:$I$15</c:f>
              <c:numCache>
                <c:formatCode>0.00</c:formatCode>
                <c:ptCount val="14"/>
                <c:pt idx="0">
                  <c:v>2.7553239744588794E-2</c:v>
                </c:pt>
                <c:pt idx="1">
                  <c:v>5.7310506053803834E-2</c:v>
                </c:pt>
                <c:pt idx="2">
                  <c:v>8.7527186871212734E-2</c:v>
                </c:pt>
                <c:pt idx="3">
                  <c:v>0.11778457530327173</c:v>
                </c:pt>
                <c:pt idx="4">
                  <c:v>0.15857360518266089</c:v>
                </c:pt>
                <c:pt idx="5">
                  <c:v>0.2024680445224997</c:v>
                </c:pt>
                <c:pt idx="6">
                  <c:v>0.25306179415903884</c:v>
                </c:pt>
                <c:pt idx="7">
                  <c:v>0.31277986485071935</c:v>
                </c:pt>
                <c:pt idx="8">
                  <c:v>0.37600460577582895</c:v>
                </c:pt>
                <c:pt idx="9">
                  <c:v>0.44328847741890459</c:v>
                </c:pt>
                <c:pt idx="10">
                  <c:v>0.51493387920306122</c:v>
                </c:pt>
                <c:pt idx="11">
                  <c:v>0.60493259982088654</c:v>
                </c:pt>
                <c:pt idx="12">
                  <c:v>0.75354447016131854</c:v>
                </c:pt>
                <c:pt idx="13">
                  <c:v>1</c:v>
                </c:pt>
              </c:numCache>
            </c:numRef>
          </c:xVal>
          <c:yVal>
            <c:numRef>
              <c:f>'ALMENARA-JACINTO'!$P$2:$P$15</c:f>
              <c:numCache>
                <c:formatCode>0.00</c:formatCode>
                <c:ptCount val="14"/>
                <c:pt idx="0">
                  <c:v>5.7142857142857141E-2</c:v>
                </c:pt>
                <c:pt idx="1">
                  <c:v>6.6666666666666666E-2</c:v>
                </c:pt>
                <c:pt idx="2">
                  <c:v>0.12380952380952381</c:v>
                </c:pt>
                <c:pt idx="3">
                  <c:v>0.15238095238095239</c:v>
                </c:pt>
                <c:pt idx="4">
                  <c:v>0.15238095238095239</c:v>
                </c:pt>
                <c:pt idx="5">
                  <c:v>0.19047619047619049</c:v>
                </c:pt>
                <c:pt idx="6">
                  <c:v>0.26666666666666672</c:v>
                </c:pt>
                <c:pt idx="7">
                  <c:v>0.27619047619047626</c:v>
                </c:pt>
                <c:pt idx="8">
                  <c:v>0.2952380952380953</c:v>
                </c:pt>
                <c:pt idx="9">
                  <c:v>0.35238095238095246</c:v>
                </c:pt>
                <c:pt idx="10">
                  <c:v>0.38095238095238104</c:v>
                </c:pt>
                <c:pt idx="11">
                  <c:v>0.48571428571428582</c:v>
                </c:pt>
                <c:pt idx="12">
                  <c:v>0.56190476190476202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55-4F8C-86A7-B5972EDA5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99744"/>
        <c:axId val="158200224"/>
      </c:scatterChart>
      <c:valAx>
        <c:axId val="15819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200224"/>
        <c:crosses val="autoZero"/>
        <c:crossBetween val="midCat"/>
      </c:valAx>
      <c:valAx>
        <c:axId val="158200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9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ITAMBACURI!$J$1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ITAMBACURI!$J$2:$J$7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B6-459C-9380-6B2E3B6E24F3}"/>
            </c:ext>
          </c:extLst>
        </c:ser>
        <c:ser>
          <c:idx val="1"/>
          <c:order val="1"/>
          <c:tx>
            <c:strRef>
              <c:f>ITAMBACURI!$K$1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ITAMBACURI!$K$2:$K$7</c:f>
              <c:numCache>
                <c:formatCode>0.00</c:formatCode>
                <c:ptCount val="6"/>
                <c:pt idx="0">
                  <c:v>0.1891891891891892</c:v>
                </c:pt>
                <c:pt idx="1">
                  <c:v>0.21621621621621623</c:v>
                </c:pt>
                <c:pt idx="2">
                  <c:v>0.35135135135135137</c:v>
                </c:pt>
                <c:pt idx="3">
                  <c:v>0.40540540540540543</c:v>
                </c:pt>
                <c:pt idx="4">
                  <c:v>0.54054054054054057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B6-459C-9380-6B2E3B6E24F3}"/>
            </c:ext>
          </c:extLst>
        </c:ser>
        <c:ser>
          <c:idx val="2"/>
          <c:order val="2"/>
          <c:tx>
            <c:strRef>
              <c:f>ITAMBACURI!$L$1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ITAMBACURI!$L$2:$L$7</c:f>
              <c:numCache>
                <c:formatCode>0.00</c:formatCode>
                <c:ptCount val="6"/>
                <c:pt idx="0">
                  <c:v>0.15384615384615385</c:v>
                </c:pt>
                <c:pt idx="1">
                  <c:v>0.30769230769230771</c:v>
                </c:pt>
                <c:pt idx="2">
                  <c:v>0.38461538461538464</c:v>
                </c:pt>
                <c:pt idx="3">
                  <c:v>0.38461538461538464</c:v>
                </c:pt>
                <c:pt idx="4">
                  <c:v>0.61538461538461542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B6-459C-9380-6B2E3B6E24F3}"/>
            </c:ext>
          </c:extLst>
        </c:ser>
        <c:ser>
          <c:idx val="3"/>
          <c:order val="3"/>
          <c:tx>
            <c:strRef>
              <c:f>ITAMBACURI!$M$1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ITAMBACURI!$M$2:$M$7</c:f>
              <c:numCache>
                <c:formatCode>0.00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0.27777777777777779</c:v>
                </c:pt>
                <c:pt idx="3">
                  <c:v>0.3888888888888889</c:v>
                </c:pt>
                <c:pt idx="4">
                  <c:v>0.3888888888888889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B6-459C-9380-6B2E3B6E2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45232"/>
        <c:axId val="525163472"/>
      </c:scatterChart>
      <c:valAx>
        <c:axId val="525145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63472"/>
        <c:crosses val="autoZero"/>
        <c:crossBetween val="midCat"/>
      </c:valAx>
      <c:valAx>
        <c:axId val="525163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4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ITAMBACURI!$J$1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ITAMBACURI!$J$2:$J$7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31-40B2-8DF8-D8F95057F601}"/>
            </c:ext>
          </c:extLst>
        </c:ser>
        <c:ser>
          <c:idx val="1"/>
          <c:order val="1"/>
          <c:tx>
            <c:strRef>
              <c:f>ITAMBACURI!$N$1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ITAMBACURI!$N$2:$N$7</c:f>
              <c:numCache>
                <c:formatCode>0.00</c:formatCode>
                <c:ptCount val="6"/>
                <c:pt idx="0">
                  <c:v>8.3333333333333329E-2</c:v>
                </c:pt>
                <c:pt idx="1">
                  <c:v>0.2142857142857143</c:v>
                </c:pt>
                <c:pt idx="2">
                  <c:v>0.26190476190476192</c:v>
                </c:pt>
                <c:pt idx="3">
                  <c:v>0.26190476190476192</c:v>
                </c:pt>
                <c:pt idx="4">
                  <c:v>0.53571428571428581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31-40B2-8DF8-D8F95057F601}"/>
            </c:ext>
          </c:extLst>
        </c:ser>
        <c:ser>
          <c:idx val="2"/>
          <c:order val="2"/>
          <c:tx>
            <c:strRef>
              <c:f>ITAMBACURI!$O$1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ITAMBACURI!$O$2:$O$7</c:f>
              <c:numCache>
                <c:formatCode>0.00</c:formatCode>
                <c:ptCount val="6"/>
                <c:pt idx="0">
                  <c:v>6.1728395061728392E-2</c:v>
                </c:pt>
                <c:pt idx="1">
                  <c:v>0.12345679012345678</c:v>
                </c:pt>
                <c:pt idx="2">
                  <c:v>0.19753086419753085</c:v>
                </c:pt>
                <c:pt idx="3">
                  <c:v>0.23456790123456789</c:v>
                </c:pt>
                <c:pt idx="4">
                  <c:v>0.33333333333333331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31-40B2-8DF8-D8F95057F601}"/>
            </c:ext>
          </c:extLst>
        </c:ser>
        <c:ser>
          <c:idx val="3"/>
          <c:order val="3"/>
          <c:tx>
            <c:strRef>
              <c:f>ITAMBACURI!$P$1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ITAMBACURI!$I$2:$I$7</c:f>
              <c:numCache>
                <c:formatCode>0.00</c:formatCode>
                <c:ptCount val="6"/>
                <c:pt idx="0">
                  <c:v>7.9794890248290756E-2</c:v>
                </c:pt>
                <c:pt idx="1">
                  <c:v>0.1638853904282116</c:v>
                </c:pt>
                <c:pt idx="2">
                  <c:v>0.25049478229578986</c:v>
                </c:pt>
                <c:pt idx="3">
                  <c:v>0.34632511694854262</c:v>
                </c:pt>
                <c:pt idx="4">
                  <c:v>0.47807214825476785</c:v>
                </c:pt>
                <c:pt idx="5">
                  <c:v>1</c:v>
                </c:pt>
              </c:numCache>
            </c:numRef>
          </c:xVal>
          <c:yVal>
            <c:numRef>
              <c:f>ITAMBACURI!$P$2:$P$7</c:f>
              <c:numCache>
                <c:formatCode>0.00</c:formatCode>
                <c:ptCount val="6"/>
                <c:pt idx="0">
                  <c:v>0.10526315789473684</c:v>
                </c:pt>
                <c:pt idx="1">
                  <c:v>0.13157894736842105</c:v>
                </c:pt>
                <c:pt idx="2">
                  <c:v>0.18421052631578946</c:v>
                </c:pt>
                <c:pt idx="3">
                  <c:v>0.21052631578947367</c:v>
                </c:pt>
                <c:pt idx="4">
                  <c:v>0.23684210526315788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31-40B2-8DF8-D8F95057F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299264"/>
        <c:axId val="297282944"/>
      </c:scatterChart>
      <c:valAx>
        <c:axId val="297299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82944"/>
        <c:crosses val="autoZero"/>
        <c:crossBetween val="midCat"/>
      </c:valAx>
      <c:valAx>
        <c:axId val="297282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ITAOBIM!$J$1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ITAOBIM!$J$2:$J$7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B-4503-99D4-9F6039EDB185}"/>
            </c:ext>
          </c:extLst>
        </c:ser>
        <c:ser>
          <c:idx val="1"/>
          <c:order val="1"/>
          <c:tx>
            <c:strRef>
              <c:f>ITAOBIM!$K$1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ITAOBIM!$K$2:$K$7</c:f>
              <c:numCache>
                <c:formatCode>0.00</c:formatCode>
                <c:ptCount val="6"/>
                <c:pt idx="0">
                  <c:v>1.5873015873015872E-2</c:v>
                </c:pt>
                <c:pt idx="1">
                  <c:v>0.1111111111111111</c:v>
                </c:pt>
                <c:pt idx="2">
                  <c:v>0.26984126984126983</c:v>
                </c:pt>
                <c:pt idx="3">
                  <c:v>0.50793650793650791</c:v>
                </c:pt>
                <c:pt idx="4">
                  <c:v>0.5714285714285714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B-4503-99D4-9F6039EDB185}"/>
            </c:ext>
          </c:extLst>
        </c:ser>
        <c:ser>
          <c:idx val="2"/>
          <c:order val="2"/>
          <c:tx>
            <c:strRef>
              <c:f>ITAOBIM!$L$1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ITAOBIM!$L$2:$L$7</c:f>
              <c:numCache>
                <c:formatCode>0.00</c:formatCode>
                <c:ptCount val="6"/>
                <c:pt idx="0">
                  <c:v>4.7619047619047616E-2</c:v>
                </c:pt>
                <c:pt idx="1">
                  <c:v>0.14285714285714285</c:v>
                </c:pt>
                <c:pt idx="2">
                  <c:v>0.42857142857142855</c:v>
                </c:pt>
                <c:pt idx="3">
                  <c:v>0.61904761904761907</c:v>
                </c:pt>
                <c:pt idx="4">
                  <c:v>0.85714285714285721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0B-4503-99D4-9F6039EDB185}"/>
            </c:ext>
          </c:extLst>
        </c:ser>
        <c:ser>
          <c:idx val="3"/>
          <c:order val="3"/>
          <c:tx>
            <c:strRef>
              <c:f>ITAOBIM!$M$1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ITAOBIM!$M$2:$M$7</c:f>
              <c:numCache>
                <c:formatCode>0.00</c:formatCode>
                <c:ptCount val="6"/>
                <c:pt idx="0">
                  <c:v>0.1111111111111111</c:v>
                </c:pt>
                <c:pt idx="1">
                  <c:v>0.25925925925925924</c:v>
                </c:pt>
                <c:pt idx="2">
                  <c:v>0.33333333333333331</c:v>
                </c:pt>
                <c:pt idx="3">
                  <c:v>0.48148148148148145</c:v>
                </c:pt>
                <c:pt idx="4">
                  <c:v>0.7407407407407407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0B-4503-99D4-9F6039EDB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70304"/>
        <c:axId val="85570784"/>
      </c:scatterChart>
      <c:valAx>
        <c:axId val="855703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0784"/>
        <c:crosses val="autoZero"/>
        <c:crossBetween val="midCat"/>
      </c:valAx>
      <c:valAx>
        <c:axId val="85570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ITAOBIM!$J$1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ITAOBIM!$J$2:$J$7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67-4A35-BABA-784A4E53EA0F}"/>
            </c:ext>
          </c:extLst>
        </c:ser>
        <c:ser>
          <c:idx val="1"/>
          <c:order val="1"/>
          <c:tx>
            <c:strRef>
              <c:f>ITAOBIM!$N$1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ITAOBIM!$N$2:$N$7</c:f>
              <c:numCache>
                <c:formatCode>0.00</c:formatCode>
                <c:ptCount val="6"/>
                <c:pt idx="0">
                  <c:v>4.7619047619047616E-2</c:v>
                </c:pt>
                <c:pt idx="1">
                  <c:v>8.3333333333333329E-2</c:v>
                </c:pt>
                <c:pt idx="2">
                  <c:v>0.14285714285714285</c:v>
                </c:pt>
                <c:pt idx="3">
                  <c:v>0.34523809523809523</c:v>
                </c:pt>
                <c:pt idx="4">
                  <c:v>0.60714285714285721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67-4A35-BABA-784A4E53EA0F}"/>
            </c:ext>
          </c:extLst>
        </c:ser>
        <c:ser>
          <c:idx val="2"/>
          <c:order val="2"/>
          <c:tx>
            <c:strRef>
              <c:f>ITAOBIM!$O$1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ITAOBIM!$O$2:$O$7</c:f>
              <c:numCache>
                <c:formatCode>0.00</c:formatCode>
                <c:ptCount val="6"/>
                <c:pt idx="0">
                  <c:v>2.2222222222222223E-2</c:v>
                </c:pt>
                <c:pt idx="1">
                  <c:v>4.4444444444444446E-2</c:v>
                </c:pt>
                <c:pt idx="2">
                  <c:v>0.1111111111111111</c:v>
                </c:pt>
                <c:pt idx="3">
                  <c:v>0.31111111111111112</c:v>
                </c:pt>
                <c:pt idx="4">
                  <c:v>0.55555555555555558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67-4A35-BABA-784A4E53EA0F}"/>
            </c:ext>
          </c:extLst>
        </c:ser>
        <c:ser>
          <c:idx val="3"/>
          <c:order val="3"/>
          <c:tx>
            <c:strRef>
              <c:f>ITAOBIM!$P$1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ITAOBIM!$I$2:$I$7</c:f>
              <c:numCache>
                <c:formatCode>0.00</c:formatCode>
                <c:ptCount val="6"/>
                <c:pt idx="0">
                  <c:v>6.1316714049833021E-2</c:v>
                </c:pt>
                <c:pt idx="1">
                  <c:v>0.14355237184819178</c:v>
                </c:pt>
                <c:pt idx="2">
                  <c:v>0.29544749158897066</c:v>
                </c:pt>
                <c:pt idx="3">
                  <c:v>0.48232752734360451</c:v>
                </c:pt>
                <c:pt idx="4">
                  <c:v>0.73932637276688729</c:v>
                </c:pt>
                <c:pt idx="5">
                  <c:v>1</c:v>
                </c:pt>
              </c:numCache>
            </c:numRef>
          </c:xVal>
          <c:yVal>
            <c:numRef>
              <c:f>ITAOBIM!$P$2:$P$7</c:f>
              <c:numCache>
                <c:formatCode>0.00</c:formatCode>
                <c:ptCount val="6"/>
                <c:pt idx="0">
                  <c:v>3.3333333333333333E-2</c:v>
                </c:pt>
                <c:pt idx="1">
                  <c:v>0.19999999999999998</c:v>
                </c:pt>
                <c:pt idx="2">
                  <c:v>0.26666666666666666</c:v>
                </c:pt>
                <c:pt idx="3">
                  <c:v>0.43333333333333335</c:v>
                </c:pt>
                <c:pt idx="4">
                  <c:v>0.76666666666666661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67-4A35-BABA-784A4E53E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83264"/>
        <c:axId val="85573184"/>
      </c:scatterChart>
      <c:valAx>
        <c:axId val="85583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73184"/>
        <c:crosses val="autoZero"/>
        <c:crossBetween val="midCat"/>
      </c:valAx>
      <c:valAx>
        <c:axId val="85573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8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NANUQUE!$J$1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NANUQUE!$J$2:$J$4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A6-40A6-B058-E9D69770C914}"/>
            </c:ext>
          </c:extLst>
        </c:ser>
        <c:ser>
          <c:idx val="1"/>
          <c:order val="1"/>
          <c:tx>
            <c:strRef>
              <c:f>NANUQUE!$K$1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NANUQUE!$K$2:$K$4</c:f>
              <c:numCache>
                <c:formatCode>0.00</c:formatCode>
                <c:ptCount val="3"/>
                <c:pt idx="0">
                  <c:v>0.1111111111111111</c:v>
                </c:pt>
                <c:pt idx="1">
                  <c:v>0.37777777777777777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A6-40A6-B058-E9D69770C914}"/>
            </c:ext>
          </c:extLst>
        </c:ser>
        <c:ser>
          <c:idx val="2"/>
          <c:order val="2"/>
          <c:tx>
            <c:strRef>
              <c:f>NANUQUE!$L$1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NANUQUE!$L$2:$L$4</c:f>
              <c:numCache>
                <c:formatCode>0.00</c:formatCode>
                <c:ptCount val="3"/>
                <c:pt idx="0">
                  <c:v>0.15</c:v>
                </c:pt>
                <c:pt idx="1">
                  <c:v>0.44999999999999996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A6-40A6-B058-E9D69770C914}"/>
            </c:ext>
          </c:extLst>
        </c:ser>
        <c:ser>
          <c:idx val="3"/>
          <c:order val="3"/>
          <c:tx>
            <c:strRef>
              <c:f>NANUQUE!$M$1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NANUQUE!$M$2:$M$4</c:f>
              <c:numCache>
                <c:formatCode>0.00</c:formatCode>
                <c:ptCount val="3"/>
                <c:pt idx="0">
                  <c:v>7.6923076923076927E-2</c:v>
                </c:pt>
                <c:pt idx="1">
                  <c:v>0.30769230769230771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A6-40A6-B058-E9D69770C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247392"/>
        <c:axId val="217248832"/>
      </c:scatterChart>
      <c:valAx>
        <c:axId val="2172473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8832"/>
        <c:crosses val="autoZero"/>
        <c:crossBetween val="midCat"/>
      </c:valAx>
      <c:valAx>
        <c:axId val="2172488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24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NANUQUE!$J$1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NANUQUE!$J$2:$J$4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37-44AE-9721-EFE883C4CBE9}"/>
            </c:ext>
          </c:extLst>
        </c:ser>
        <c:ser>
          <c:idx val="1"/>
          <c:order val="1"/>
          <c:tx>
            <c:strRef>
              <c:f>NANUQUE!$N$1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NANUQUE!$N$2:$N$4</c:f>
              <c:numCache>
                <c:formatCode>0.00</c:formatCode>
                <c:ptCount val="3"/>
                <c:pt idx="0">
                  <c:v>1.8867924528301886E-2</c:v>
                </c:pt>
                <c:pt idx="1">
                  <c:v>0.16981132075471697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37-44AE-9721-EFE883C4CBE9}"/>
            </c:ext>
          </c:extLst>
        </c:ser>
        <c:ser>
          <c:idx val="2"/>
          <c:order val="2"/>
          <c:tx>
            <c:strRef>
              <c:f>NANUQUE!$O$1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NANUQUE!$O$2:$O$4</c:f>
              <c:numCache>
                <c:formatCode>0.00</c:formatCode>
                <c:ptCount val="3"/>
                <c:pt idx="0">
                  <c:v>7.1428571428571425E-2</c:v>
                </c:pt>
                <c:pt idx="1">
                  <c:v>0.3571428571428571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37-44AE-9721-EFE883C4CBE9}"/>
            </c:ext>
          </c:extLst>
        </c:ser>
        <c:ser>
          <c:idx val="3"/>
          <c:order val="3"/>
          <c:tx>
            <c:strRef>
              <c:f>NANUQUE!$P$1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NANUQUE!$I$2:$I$4</c:f>
              <c:numCache>
                <c:formatCode>0.00</c:formatCode>
                <c:ptCount val="3"/>
                <c:pt idx="0">
                  <c:v>0.12864177872139657</c:v>
                </c:pt>
                <c:pt idx="1">
                  <c:v>0.40164248643548006</c:v>
                </c:pt>
                <c:pt idx="2">
                  <c:v>1</c:v>
                </c:pt>
              </c:numCache>
            </c:numRef>
          </c:xVal>
          <c:yVal>
            <c:numRef>
              <c:f>NANUQUE!$P$2:$P$4</c:f>
              <c:numCache>
                <c:formatCode>0.00</c:formatCode>
                <c:ptCount val="3"/>
                <c:pt idx="0">
                  <c:v>0.14285714285714285</c:v>
                </c:pt>
                <c:pt idx="1">
                  <c:v>0.6785714285714286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37-44AE-9721-EFE883C4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87840"/>
        <c:axId val="342945520"/>
      </c:scatterChart>
      <c:valAx>
        <c:axId val="20881878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2945520"/>
        <c:crosses val="autoZero"/>
        <c:crossBetween val="midCat"/>
      </c:valAx>
      <c:valAx>
        <c:axId val="342945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'PADRE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PARAÍSO'!$J$2:$J$5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0-4A07-9A8C-06EB14B8B206}"/>
            </c:ext>
          </c:extLst>
        </c:ser>
        <c:ser>
          <c:idx val="1"/>
          <c:order val="1"/>
          <c:tx>
            <c:strRef>
              <c:f>'PADRE PARAÍSO'!$K$1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PARAÍSO'!$K$2:$K$5</c:f>
              <c:numCache>
                <c:formatCode>0.00</c:formatCode>
                <c:ptCount val="4"/>
                <c:pt idx="0">
                  <c:v>0.20689655172413793</c:v>
                </c:pt>
                <c:pt idx="1">
                  <c:v>0.31034482758620691</c:v>
                </c:pt>
                <c:pt idx="2">
                  <c:v>0.55172413793103448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0-4A07-9A8C-06EB14B8B206}"/>
            </c:ext>
          </c:extLst>
        </c:ser>
        <c:ser>
          <c:idx val="2"/>
          <c:order val="2"/>
          <c:tx>
            <c:strRef>
              <c:f>'PADRE PARAÍSO'!$L$1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PARAÍSO'!$L$2:$L$5</c:f>
              <c:numCache>
                <c:formatCode>0.00</c:formatCode>
                <c:ptCount val="4"/>
                <c:pt idx="0">
                  <c:v>0.16666666666666666</c:v>
                </c:pt>
                <c:pt idx="1">
                  <c:v>0.25</c:v>
                </c:pt>
                <c:pt idx="2">
                  <c:v>0.58333333333333326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F0-4A07-9A8C-06EB14B8B206}"/>
            </c:ext>
          </c:extLst>
        </c:ser>
        <c:ser>
          <c:idx val="3"/>
          <c:order val="3"/>
          <c:tx>
            <c:strRef>
              <c:f>'PADRE PARAÍSO'!$M$1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PARAÍSO'!$M$2:$M$5</c:f>
              <c:numCache>
                <c:formatCode>0.00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0.44999999999999996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F0-4A07-9A8C-06EB14B8B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95712"/>
        <c:axId val="424094272"/>
      </c:scatterChart>
      <c:valAx>
        <c:axId val="4240957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4272"/>
        <c:crosses val="autoZero"/>
        <c:crossBetween val="midCat"/>
      </c:valAx>
      <c:valAx>
        <c:axId val="424094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095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'PADRE PARAÍSO'!$J$1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PARAÍSO'!$J$2:$J$5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B7-4E8F-A133-E0B5D79F6A4B}"/>
            </c:ext>
          </c:extLst>
        </c:ser>
        <c:ser>
          <c:idx val="1"/>
          <c:order val="1"/>
          <c:tx>
            <c:strRef>
              <c:f>'PADRE PARAÍSO'!$N$1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PARAÍSO'!$N$2:$N$5</c:f>
              <c:numCache>
                <c:formatCode>0.00</c:formatCode>
                <c:ptCount val="4"/>
                <c:pt idx="0">
                  <c:v>0.16129032258064516</c:v>
                </c:pt>
                <c:pt idx="1">
                  <c:v>0.30645161290322581</c:v>
                </c:pt>
                <c:pt idx="2">
                  <c:v>0.80645161290322576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B7-4E8F-A133-E0B5D79F6A4B}"/>
            </c:ext>
          </c:extLst>
        </c:ser>
        <c:ser>
          <c:idx val="2"/>
          <c:order val="2"/>
          <c:tx>
            <c:strRef>
              <c:f>'PADRE PARAÍSO'!$O$1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PARAÍSO'!$O$2:$O$5</c:f>
              <c:numCache>
                <c:formatCode>0.00</c:formatCode>
                <c:ptCount val="4"/>
                <c:pt idx="0">
                  <c:v>3.4482758620689655E-2</c:v>
                </c:pt>
                <c:pt idx="1">
                  <c:v>0.31034482758620691</c:v>
                </c:pt>
                <c:pt idx="2">
                  <c:v>0.68965517241379315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B7-4E8F-A133-E0B5D79F6A4B}"/>
            </c:ext>
          </c:extLst>
        </c:ser>
        <c:ser>
          <c:idx val="3"/>
          <c:order val="3"/>
          <c:tx>
            <c:strRef>
              <c:f>'PADRE PARAÍSO'!$P$1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'PADRE PARAÍSO'!$I$2:$I$5</c:f>
              <c:numCache>
                <c:formatCode>0.00</c:formatCode>
                <c:ptCount val="4"/>
                <c:pt idx="0">
                  <c:v>9.7988442226923933E-2</c:v>
                </c:pt>
                <c:pt idx="1">
                  <c:v>0.30182840180629678</c:v>
                </c:pt>
                <c:pt idx="2">
                  <c:v>0.62307765181419139</c:v>
                </c:pt>
                <c:pt idx="3">
                  <c:v>1</c:v>
                </c:pt>
              </c:numCache>
            </c:numRef>
          </c:xVal>
          <c:yVal>
            <c:numRef>
              <c:f>'PADRE PARAÍSO'!$P$2:$P$5</c:f>
              <c:numCache>
                <c:formatCode>0.00</c:formatCode>
                <c:ptCount val="4"/>
                <c:pt idx="0">
                  <c:v>1.3698630136986301E-2</c:v>
                </c:pt>
                <c:pt idx="1">
                  <c:v>0.35616438356164382</c:v>
                </c:pt>
                <c:pt idx="2">
                  <c:v>0.76712328767123283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B7-4E8F-A133-E0B5D79F6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29152"/>
        <c:axId val="49539232"/>
      </c:scatterChart>
      <c:valAx>
        <c:axId val="495291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39232"/>
        <c:crosses val="autoZero"/>
        <c:crossBetween val="midCat"/>
      </c:valAx>
      <c:valAx>
        <c:axId val="49539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52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'PEDRA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AZUL'!$J$2:$J$6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0-493A-81F2-C984E317D705}"/>
            </c:ext>
          </c:extLst>
        </c:ser>
        <c:ser>
          <c:idx val="1"/>
          <c:order val="1"/>
          <c:tx>
            <c:strRef>
              <c:f>'PEDRA AZUL'!$K$1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AZUL'!$K$2:$K$6</c:f>
              <c:numCache>
                <c:formatCode>0.00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E0-493A-81F2-C984E317D705}"/>
            </c:ext>
          </c:extLst>
        </c:ser>
        <c:ser>
          <c:idx val="2"/>
          <c:order val="2"/>
          <c:tx>
            <c:strRef>
              <c:f>'PEDRA AZUL'!$L$1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AZUL'!$L$2:$L$6</c:f>
              <c:numCache>
                <c:formatCode>0.00</c:formatCode>
                <c:ptCount val="5"/>
                <c:pt idx="0">
                  <c:v>0.1111111111111111</c:v>
                </c:pt>
                <c:pt idx="1">
                  <c:v>0.22222222222222221</c:v>
                </c:pt>
                <c:pt idx="2">
                  <c:v>0.55555555555555558</c:v>
                </c:pt>
                <c:pt idx="3">
                  <c:v>0.55555555555555558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E0-493A-81F2-C984E317D705}"/>
            </c:ext>
          </c:extLst>
        </c:ser>
        <c:ser>
          <c:idx val="3"/>
          <c:order val="3"/>
          <c:tx>
            <c:strRef>
              <c:f>'PEDRA AZUL'!$M$1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AZUL'!$M$2:$M$6</c:f>
              <c:numCache>
                <c:formatCode>0.00</c:formatCode>
                <c:ptCount val="5"/>
                <c:pt idx="0">
                  <c:v>8.3333333333333329E-2</c:v>
                </c:pt>
                <c:pt idx="1">
                  <c:v>0.375</c:v>
                </c:pt>
                <c:pt idx="2">
                  <c:v>0.5</c:v>
                </c:pt>
                <c:pt idx="3">
                  <c:v>0.54166666666666663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E0-493A-81F2-C984E317D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307904"/>
        <c:axId val="297298784"/>
      </c:scatterChart>
      <c:valAx>
        <c:axId val="297307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298784"/>
        <c:crosses val="autoZero"/>
        <c:crossBetween val="midCat"/>
      </c:valAx>
      <c:valAx>
        <c:axId val="2972987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730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'PEDRA AZUL'!$J$1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AZUL'!$J$2:$J$6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D2-4CCF-AB63-FD1BE27241EF}"/>
            </c:ext>
          </c:extLst>
        </c:ser>
        <c:ser>
          <c:idx val="1"/>
          <c:order val="1"/>
          <c:tx>
            <c:strRef>
              <c:f>'PEDRA AZUL'!$N$1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AZUL'!$N$2:$N$6</c:f>
              <c:numCache>
                <c:formatCode>0.00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0.35</c:v>
                </c:pt>
                <c:pt idx="3">
                  <c:v>0.375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D2-4CCF-AB63-FD1BE27241EF}"/>
            </c:ext>
          </c:extLst>
        </c:ser>
        <c:ser>
          <c:idx val="2"/>
          <c:order val="2"/>
          <c:tx>
            <c:strRef>
              <c:f>'PEDRA AZUL'!$O$1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AZUL'!$O$2:$O$6</c:f>
              <c:numCache>
                <c:formatCode>0.00</c:formatCode>
                <c:ptCount val="5"/>
                <c:pt idx="0">
                  <c:v>7.6923076923076927E-2</c:v>
                </c:pt>
                <c:pt idx="1">
                  <c:v>0.32307692307692309</c:v>
                </c:pt>
                <c:pt idx="2">
                  <c:v>0.43076923076923079</c:v>
                </c:pt>
                <c:pt idx="3">
                  <c:v>0.52307692307692311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D2-4CCF-AB63-FD1BE27241EF}"/>
            </c:ext>
          </c:extLst>
        </c:ser>
        <c:ser>
          <c:idx val="3"/>
          <c:order val="3"/>
          <c:tx>
            <c:strRef>
              <c:f>'PEDRA AZUL'!$P$1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'PEDRA AZUL'!$I$2:$I$6</c:f>
              <c:numCache>
                <c:formatCode>0.00</c:formatCode>
                <c:ptCount val="5"/>
                <c:pt idx="0">
                  <c:v>0.10556070576435009</c:v>
                </c:pt>
                <c:pt idx="1">
                  <c:v>0.24947949119314297</c:v>
                </c:pt>
                <c:pt idx="2">
                  <c:v>0.42266834850534185</c:v>
                </c:pt>
                <c:pt idx="3">
                  <c:v>0.63020318840139211</c:v>
                </c:pt>
                <c:pt idx="4">
                  <c:v>1</c:v>
                </c:pt>
              </c:numCache>
            </c:numRef>
          </c:xVal>
          <c:yVal>
            <c:numRef>
              <c:f>'PEDRA AZUL'!$P$2:$P$6</c:f>
              <c:numCache>
                <c:formatCode>0.00</c:formatCode>
                <c:ptCount val="5"/>
                <c:pt idx="0">
                  <c:v>5.4054054054054057E-2</c:v>
                </c:pt>
                <c:pt idx="1">
                  <c:v>0.35135135135135137</c:v>
                </c:pt>
                <c:pt idx="2">
                  <c:v>0.43243243243243246</c:v>
                </c:pt>
                <c:pt idx="3">
                  <c:v>0.5135135135135136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D2-4CCF-AB63-FD1BE2724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24224"/>
        <c:axId val="1914724704"/>
      </c:scatterChart>
      <c:valAx>
        <c:axId val="19147242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4704"/>
        <c:crosses val="autoZero"/>
        <c:crossBetween val="midCat"/>
      </c:valAx>
      <c:valAx>
        <c:axId val="1914724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472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'TEÓFILO OTONI - MALACACHETA'!$J$1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MALACACHETA'!$J$2:$J$12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C-4225-8F3F-7EDD6A5B6F4F}"/>
            </c:ext>
          </c:extLst>
        </c:ser>
        <c:ser>
          <c:idx val="1"/>
          <c:order val="1"/>
          <c:tx>
            <c:strRef>
              <c:f>'TEÓFILO OTONI - MALACACHETA'!$K$1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MALACACHETA'!$K$2:$K$12</c:f>
              <c:numCache>
                <c:formatCode>0.00</c:formatCode>
                <c:ptCount val="11"/>
                <c:pt idx="0">
                  <c:v>1.020408163265306E-2</c:v>
                </c:pt>
                <c:pt idx="1">
                  <c:v>4.0816326530612242E-2</c:v>
                </c:pt>
                <c:pt idx="2">
                  <c:v>4.5918367346938771E-2</c:v>
                </c:pt>
                <c:pt idx="3">
                  <c:v>6.6326530612244888E-2</c:v>
                </c:pt>
                <c:pt idx="4">
                  <c:v>8.1632653061224483E-2</c:v>
                </c:pt>
                <c:pt idx="5">
                  <c:v>0.11224489795918366</c:v>
                </c:pt>
                <c:pt idx="6">
                  <c:v>0.15306122448979589</c:v>
                </c:pt>
                <c:pt idx="7">
                  <c:v>0.19897959183673466</c:v>
                </c:pt>
                <c:pt idx="8">
                  <c:v>0.31632653061224486</c:v>
                </c:pt>
                <c:pt idx="9">
                  <c:v>0.3724489795918367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BC-4225-8F3F-7EDD6A5B6F4F}"/>
            </c:ext>
          </c:extLst>
        </c:ser>
        <c:ser>
          <c:idx val="2"/>
          <c:order val="2"/>
          <c:tx>
            <c:strRef>
              <c:f>'TEÓFILO OTONI - MALACACHETA'!$L$1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MALACACHETA'!$L$2:$L$12</c:f>
              <c:numCache>
                <c:formatCode>0.00</c:formatCode>
                <c:ptCount val="11"/>
                <c:pt idx="0">
                  <c:v>5.8139534883720929E-2</c:v>
                </c:pt>
                <c:pt idx="1">
                  <c:v>8.1395348837209308E-2</c:v>
                </c:pt>
                <c:pt idx="2">
                  <c:v>9.3023255813953487E-2</c:v>
                </c:pt>
                <c:pt idx="3">
                  <c:v>0.11627906976744186</c:v>
                </c:pt>
                <c:pt idx="4">
                  <c:v>0.12790697674418605</c:v>
                </c:pt>
                <c:pt idx="5">
                  <c:v>0.16279069767441862</c:v>
                </c:pt>
                <c:pt idx="6">
                  <c:v>0.22093023255813954</c:v>
                </c:pt>
                <c:pt idx="7">
                  <c:v>0.30232558139534882</c:v>
                </c:pt>
                <c:pt idx="8">
                  <c:v>0.36046511627906974</c:v>
                </c:pt>
                <c:pt idx="9">
                  <c:v>0.41860465116279066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BC-4225-8F3F-7EDD6A5B6F4F}"/>
            </c:ext>
          </c:extLst>
        </c:ser>
        <c:ser>
          <c:idx val="3"/>
          <c:order val="3"/>
          <c:tx>
            <c:strRef>
              <c:f>'TEÓFILO OTONI - MALACACHETA'!$M$1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MALACACHETA'!$M$2:$M$12</c:f>
              <c:numCache>
                <c:formatCode>0.00</c:formatCode>
                <c:ptCount val="11"/>
                <c:pt idx="0">
                  <c:v>2.0134228187919462E-2</c:v>
                </c:pt>
                <c:pt idx="1">
                  <c:v>4.6979865771812082E-2</c:v>
                </c:pt>
                <c:pt idx="2">
                  <c:v>5.3691275167785234E-2</c:v>
                </c:pt>
                <c:pt idx="3">
                  <c:v>6.0402684563758385E-2</c:v>
                </c:pt>
                <c:pt idx="4">
                  <c:v>0.10738255033557047</c:v>
                </c:pt>
                <c:pt idx="5">
                  <c:v>0.14093959731543623</c:v>
                </c:pt>
                <c:pt idx="6">
                  <c:v>0.17449664429530201</c:v>
                </c:pt>
                <c:pt idx="7">
                  <c:v>0.2348993288590604</c:v>
                </c:pt>
                <c:pt idx="8">
                  <c:v>0.40268456375838924</c:v>
                </c:pt>
                <c:pt idx="9">
                  <c:v>0.43624161073825501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BC-4225-8F3F-7EDD6A5B6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458640"/>
        <c:axId val="1420464400"/>
      </c:scatterChart>
      <c:valAx>
        <c:axId val="1420458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64400"/>
        <c:crosses val="autoZero"/>
        <c:crossBetween val="midCat"/>
      </c:valAx>
      <c:valAx>
        <c:axId val="14204644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45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'TEÓFILO OTONI - MALACACHETA'!$J$1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MALACACHETA'!$J$2:$J$12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4-4669-8DD9-3E9B9214CDA7}"/>
            </c:ext>
          </c:extLst>
        </c:ser>
        <c:ser>
          <c:idx val="1"/>
          <c:order val="1"/>
          <c:tx>
            <c:strRef>
              <c:f>'TEÓFILO OTONI - MALACACHETA'!$N$1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MALACACHETA'!$N$2:$N$12</c:f>
              <c:numCache>
                <c:formatCode>0.00</c:formatCode>
                <c:ptCount val="11"/>
                <c:pt idx="0">
                  <c:v>1.7857142857142856E-2</c:v>
                </c:pt>
                <c:pt idx="1">
                  <c:v>2.6785714285714284E-2</c:v>
                </c:pt>
                <c:pt idx="2">
                  <c:v>4.6875E-2</c:v>
                </c:pt>
                <c:pt idx="3">
                  <c:v>6.6964285714285712E-2</c:v>
                </c:pt>
                <c:pt idx="4">
                  <c:v>9.1517857142857137E-2</c:v>
                </c:pt>
                <c:pt idx="5">
                  <c:v>0.10267857142857142</c:v>
                </c:pt>
                <c:pt idx="6">
                  <c:v>0.14285714285714285</c:v>
                </c:pt>
                <c:pt idx="7">
                  <c:v>0.1607142857142857</c:v>
                </c:pt>
                <c:pt idx="8">
                  <c:v>0.2388392857142857</c:v>
                </c:pt>
                <c:pt idx="9">
                  <c:v>0.25223214285714285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4-4669-8DD9-3E9B9214CDA7}"/>
            </c:ext>
          </c:extLst>
        </c:ser>
        <c:ser>
          <c:idx val="2"/>
          <c:order val="2"/>
          <c:tx>
            <c:strRef>
              <c:f>'TEÓFILO OTONI - MALACACHETA'!$O$1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MALACACHETA'!$O$2:$O$12</c:f>
              <c:numCache>
                <c:formatCode>0.00</c:formatCode>
                <c:ptCount val="11"/>
                <c:pt idx="0">
                  <c:v>1.9108280254777069E-2</c:v>
                </c:pt>
                <c:pt idx="1">
                  <c:v>4.7770700636942678E-2</c:v>
                </c:pt>
                <c:pt idx="2">
                  <c:v>9.5541401273885357E-2</c:v>
                </c:pt>
                <c:pt idx="3">
                  <c:v>0.10191082802547771</c:v>
                </c:pt>
                <c:pt idx="4">
                  <c:v>0.13375796178343949</c:v>
                </c:pt>
                <c:pt idx="5">
                  <c:v>0.1464968152866242</c:v>
                </c:pt>
                <c:pt idx="6">
                  <c:v>0.21337579617834396</c:v>
                </c:pt>
                <c:pt idx="7">
                  <c:v>0.22929936305732485</c:v>
                </c:pt>
                <c:pt idx="8">
                  <c:v>0.30573248407643311</c:v>
                </c:pt>
                <c:pt idx="9">
                  <c:v>0.31847133757961782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4-4669-8DD9-3E9B9214CDA7}"/>
            </c:ext>
          </c:extLst>
        </c:ser>
        <c:ser>
          <c:idx val="3"/>
          <c:order val="3"/>
          <c:tx>
            <c:strRef>
              <c:f>'TEÓFILO OTONI - MALACACHETA'!$P$1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'TEÓFILO OTONI - MALACACHETA'!$I$2:$I$12</c:f>
              <c:numCache>
                <c:formatCode>0.00</c:formatCode>
                <c:ptCount val="11"/>
                <c:pt idx="0">
                  <c:v>1.8769792243570626E-2</c:v>
                </c:pt>
                <c:pt idx="1">
                  <c:v>3.9698092844260777E-2</c:v>
                </c:pt>
                <c:pt idx="2">
                  <c:v>7.0208324457887786E-2</c:v>
                </c:pt>
                <c:pt idx="3">
                  <c:v>0.10855024922251097</c:v>
                </c:pt>
                <c:pt idx="4">
                  <c:v>0.15290262571181074</c:v>
                </c:pt>
                <c:pt idx="5">
                  <c:v>0.19726565273576735</c:v>
                </c:pt>
                <c:pt idx="6">
                  <c:v>0.25646487453670175</c:v>
                </c:pt>
                <c:pt idx="7">
                  <c:v>0.32133373095329387</c:v>
                </c:pt>
                <c:pt idx="8">
                  <c:v>0.3872108379840668</c:v>
                </c:pt>
                <c:pt idx="9">
                  <c:v>0.49846987318763403</c:v>
                </c:pt>
                <c:pt idx="10">
                  <c:v>1</c:v>
                </c:pt>
              </c:numCache>
            </c:numRef>
          </c:xVal>
          <c:yVal>
            <c:numRef>
              <c:f>'TEÓFILO OTONI - MALACACHETA'!$P$2:$P$12</c:f>
              <c:numCache>
                <c:formatCode>0.00</c:formatCode>
                <c:ptCount val="11"/>
                <c:pt idx="0">
                  <c:v>2.6737967914438502E-2</c:v>
                </c:pt>
                <c:pt idx="1">
                  <c:v>3.7433155080213901E-2</c:v>
                </c:pt>
                <c:pt idx="2">
                  <c:v>8.5561497326203204E-2</c:v>
                </c:pt>
                <c:pt idx="3">
                  <c:v>9.6256684491978606E-2</c:v>
                </c:pt>
                <c:pt idx="4">
                  <c:v>0.13903743315508021</c:v>
                </c:pt>
                <c:pt idx="5">
                  <c:v>0.14438502673796791</c:v>
                </c:pt>
                <c:pt idx="6">
                  <c:v>0.20855614973262032</c:v>
                </c:pt>
                <c:pt idx="7">
                  <c:v>0.22994652406417113</c:v>
                </c:pt>
                <c:pt idx="8">
                  <c:v>0.33689839572192515</c:v>
                </c:pt>
                <c:pt idx="9">
                  <c:v>0.35828877005347592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4-4669-8DD9-3E9B9214C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184000"/>
        <c:axId val="2088186400"/>
      </c:scatterChart>
      <c:valAx>
        <c:axId val="2088184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6400"/>
        <c:crosses val="autoZero"/>
        <c:crossBetween val="midCat"/>
      </c:valAx>
      <c:valAx>
        <c:axId val="20881864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818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0</xdr:row>
      <xdr:rowOff>41910</xdr:rowOff>
    </xdr:from>
    <xdr:to>
      <xdr:col>23</xdr:col>
      <xdr:colOff>457200</xdr:colOff>
      <xdr:row>13</xdr:row>
      <xdr:rowOff>49530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E3EBEC-62F1-96AF-8677-FD696ABAF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137160</xdr:colOff>
      <xdr:row>13</xdr:row>
      <xdr:rowOff>110490</xdr:rowOff>
    </xdr:from>
    <xdr:to>
      <xdr:col>23</xdr:col>
      <xdr:colOff>441960</xdr:colOff>
      <xdr:row>28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3CEBBE4-BF71-017F-66AE-4AB004794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166456</xdr:colOff>
      <xdr:row>0</xdr:row>
      <xdr:rowOff>34031</xdr:rowOff>
    </xdr:from>
    <xdr:to>
      <xdr:col>23</xdr:col>
      <xdr:colOff>491970</xdr:colOff>
      <xdr:row>14</xdr:row>
      <xdr:rowOff>17755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E3C5BDF-C198-C329-78E1-E02326B08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166456</xdr:colOff>
      <xdr:row>14</xdr:row>
      <xdr:rowOff>93214</xdr:rowOff>
    </xdr:from>
    <xdr:to>
      <xdr:col>23</xdr:col>
      <xdr:colOff>491970</xdr:colOff>
      <xdr:row>28</xdr:row>
      <xdr:rowOff>69540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E79139C-5413-EE56-B8E3-4F30772D2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0</xdr:row>
      <xdr:rowOff>80010</xdr:rowOff>
    </xdr:from>
    <xdr:to>
      <xdr:col>23</xdr:col>
      <xdr:colOff>495300</xdr:colOff>
      <xdr:row>13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2752C7-C8B3-6D75-DBB1-11E4D7009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213360</xdr:colOff>
      <xdr:row>13</xdr:row>
      <xdr:rowOff>140970</xdr:rowOff>
    </xdr:from>
    <xdr:to>
      <xdr:col>23</xdr:col>
      <xdr:colOff>518160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4180789-C842-FEFE-9208-0013A71BF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160020</xdr:colOff>
      <xdr:row>0</xdr:row>
      <xdr:rowOff>26670</xdr:rowOff>
    </xdr:from>
    <xdr:to>
      <xdr:col>23</xdr:col>
      <xdr:colOff>464820</xdr:colOff>
      <xdr:row>13</xdr:row>
      <xdr:rowOff>34290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E2CC87-AABC-3D0F-E557-79D067105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151006</xdr:colOff>
      <xdr:row>13</xdr:row>
      <xdr:rowOff>111964</xdr:rowOff>
    </xdr:from>
    <xdr:to>
      <xdr:col>23</xdr:col>
      <xdr:colOff>468648</xdr:colOff>
      <xdr:row>28</xdr:row>
      <xdr:rowOff>141375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473E366-584C-EF09-B69B-14A999D5C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129988</xdr:colOff>
      <xdr:row>0</xdr:row>
      <xdr:rowOff>44824</xdr:rowOff>
    </xdr:from>
    <xdr:to>
      <xdr:col>23</xdr:col>
      <xdr:colOff>434788</xdr:colOff>
      <xdr:row>13</xdr:row>
      <xdr:rowOff>89648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4BF188-DEA0-7D87-C08B-48230AE43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119062</xdr:colOff>
      <xdr:row>14</xdr:row>
      <xdr:rowOff>5555</xdr:rowOff>
    </xdr:from>
    <xdr:to>
      <xdr:col>23</xdr:col>
      <xdr:colOff>412750</xdr:colOff>
      <xdr:row>29</xdr:row>
      <xdr:rowOff>10318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3D43A8D-C616-BB9A-ADC8-9D41C3BFB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34290</xdr:rowOff>
    </xdr:from>
    <xdr:to>
      <xdr:col>23</xdr:col>
      <xdr:colOff>426720</xdr:colOff>
      <xdr:row>13</xdr:row>
      <xdr:rowOff>41910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B52E80-AED5-8BB4-5F17-0700F5488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121920</xdr:colOff>
      <xdr:row>13</xdr:row>
      <xdr:rowOff>118110</xdr:rowOff>
    </xdr:from>
    <xdr:to>
      <xdr:col>23</xdr:col>
      <xdr:colOff>426720</xdr:colOff>
      <xdr:row>28</xdr:row>
      <xdr:rowOff>118110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AC5E101-E3E7-7159-4239-A30B0EFB3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0</xdr:row>
      <xdr:rowOff>41910</xdr:rowOff>
    </xdr:from>
    <xdr:to>
      <xdr:col>23</xdr:col>
      <xdr:colOff>571500</xdr:colOff>
      <xdr:row>13</xdr:row>
      <xdr:rowOff>49530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768847-5F72-2F6B-5661-2823FAA3F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281940</xdr:colOff>
      <xdr:row>13</xdr:row>
      <xdr:rowOff>102870</xdr:rowOff>
    </xdr:from>
    <xdr:to>
      <xdr:col>23</xdr:col>
      <xdr:colOff>586740</xdr:colOff>
      <xdr:row>28</xdr:row>
      <xdr:rowOff>102870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C89230-19BB-9F96-5906-A3914CF94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102870</xdr:rowOff>
    </xdr:from>
    <xdr:to>
      <xdr:col>23</xdr:col>
      <xdr:colOff>411480</xdr:colOff>
      <xdr:row>14</xdr:row>
      <xdr:rowOff>110490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1C649CC-9AB9-D47D-EFEC-4A3B856FB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163830</xdr:rowOff>
    </xdr:from>
    <xdr:to>
      <xdr:col>23</xdr:col>
      <xdr:colOff>403860</xdr:colOff>
      <xdr:row>28</xdr:row>
      <xdr:rowOff>163830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5CF338E-D90F-EB07-2F42-C32583C47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1AC9-AF57-4F72-ADE6-84E3B9A17E36}">
  <dimension ref="A1:P21"/>
  <sheetViews>
    <sheetView workbookViewId="0">
      <selection activeCell="J2" sqref="J2:P2"/>
    </sheetView>
  </sheetViews>
  <sheetFormatPr defaultRowHeight="14.4" x14ac:dyDescent="0.3"/>
  <cols>
    <col min="1" max="1" width="21.21875" customWidth="1"/>
  </cols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8" t="s">
        <v>7</v>
      </c>
      <c r="B2" s="9">
        <v>4.3220622698359558E-2</v>
      </c>
      <c r="C2" s="9">
        <v>6.9767441860465115E-2</v>
      </c>
      <c r="D2" s="9">
        <v>0.125</v>
      </c>
      <c r="E2" s="9">
        <v>0</v>
      </c>
      <c r="F2" s="9">
        <v>0.14285714285714285</v>
      </c>
      <c r="G2" s="9">
        <v>0.11940298507462686</v>
      </c>
      <c r="H2" s="9">
        <v>9.5238095238095233E-2</v>
      </c>
      <c r="I2" s="9">
        <v>4.3220622698359558E-2</v>
      </c>
      <c r="J2" s="9">
        <v>4.3220622698359558E-2</v>
      </c>
      <c r="K2" s="9">
        <v>6.9767441860465115E-2</v>
      </c>
      <c r="L2" s="9">
        <v>0.125</v>
      </c>
      <c r="M2" s="9">
        <v>0</v>
      </c>
      <c r="N2" s="9">
        <v>0.14285714285714285</v>
      </c>
      <c r="O2" s="9">
        <v>0.11940298507462686</v>
      </c>
      <c r="P2" s="9">
        <v>9.5238095238095233E-2</v>
      </c>
    </row>
    <row r="3" spans="1:16" x14ac:dyDescent="0.3">
      <c r="A3" s="8" t="s">
        <v>3</v>
      </c>
      <c r="B3" s="9">
        <v>7.6029460997656506E-2</v>
      </c>
      <c r="C3" s="9">
        <v>4.6511627906976744E-2</v>
      </c>
      <c r="D3" s="9">
        <v>0.125</v>
      </c>
      <c r="E3" s="9">
        <v>0</v>
      </c>
      <c r="F3" s="9">
        <v>0.10204081632653061</v>
      </c>
      <c r="G3" s="9">
        <v>2.9850746268656716E-2</v>
      </c>
      <c r="H3" s="9">
        <v>4.7619047619047616E-2</v>
      </c>
      <c r="I3" s="9">
        <v>0.11925008369601606</v>
      </c>
      <c r="J3" s="9">
        <f t="shared" ref="J3:P9" si="0">J2+B3</f>
        <v>0.11925008369601606</v>
      </c>
      <c r="K3" s="9">
        <f t="shared" si="0"/>
        <v>0.11627906976744186</v>
      </c>
      <c r="L3" s="10">
        <f t="shared" si="0"/>
        <v>0.25</v>
      </c>
      <c r="M3" s="9">
        <f t="shared" si="0"/>
        <v>0</v>
      </c>
      <c r="N3" s="9">
        <f t="shared" si="0"/>
        <v>0.24489795918367346</v>
      </c>
      <c r="O3" s="9">
        <f t="shared" si="0"/>
        <v>0.14925373134328357</v>
      </c>
      <c r="P3" s="9">
        <f t="shared" si="0"/>
        <v>0.14285714285714285</v>
      </c>
    </row>
    <row r="4" spans="1:16" x14ac:dyDescent="0.3">
      <c r="A4" s="8" t="s">
        <v>1</v>
      </c>
      <c r="B4" s="9">
        <v>7.7150987612989622E-2</v>
      </c>
      <c r="C4" s="9">
        <v>2.3255813953488372E-2</v>
      </c>
      <c r="D4" s="9">
        <v>0.25</v>
      </c>
      <c r="E4" s="9">
        <v>0.33333333333333331</v>
      </c>
      <c r="F4" s="9">
        <v>8.1632653061224483E-2</v>
      </c>
      <c r="G4" s="9">
        <v>2.9850746268656716E-2</v>
      </c>
      <c r="H4" s="9">
        <v>4.7619047619047616E-2</v>
      </c>
      <c r="I4" s="9">
        <v>0.19640107130900569</v>
      </c>
      <c r="J4" s="9">
        <f t="shared" si="0"/>
        <v>0.19640107130900569</v>
      </c>
      <c r="K4" s="9">
        <f t="shared" si="0"/>
        <v>0.13953488372093023</v>
      </c>
      <c r="L4" s="10">
        <f t="shared" si="0"/>
        <v>0.5</v>
      </c>
      <c r="M4" s="9">
        <f t="shared" si="0"/>
        <v>0.33333333333333331</v>
      </c>
      <c r="N4" s="9">
        <f t="shared" si="0"/>
        <v>0.32653061224489793</v>
      </c>
      <c r="O4" s="9">
        <f t="shared" si="0"/>
        <v>0.17910447761194029</v>
      </c>
      <c r="P4" s="9">
        <f t="shared" si="0"/>
        <v>0.19047619047619047</v>
      </c>
    </row>
    <row r="5" spans="1:16" x14ac:dyDescent="0.3">
      <c r="A5" s="8" t="s">
        <v>6</v>
      </c>
      <c r="B5" s="9">
        <v>0.10723133578841647</v>
      </c>
      <c r="C5" s="9">
        <v>9.3023255813953487E-2</v>
      </c>
      <c r="D5" s="9">
        <v>0.25</v>
      </c>
      <c r="E5" s="9">
        <v>0</v>
      </c>
      <c r="F5" s="9">
        <v>6.1224489795918366E-2</v>
      </c>
      <c r="G5" s="9">
        <v>5.9701492537313432E-2</v>
      </c>
      <c r="H5" s="9">
        <v>4.7619047619047616E-2</v>
      </c>
      <c r="I5" s="9">
        <v>0.30363240709742217</v>
      </c>
      <c r="J5" s="9">
        <f t="shared" si="0"/>
        <v>0.30363240709742217</v>
      </c>
      <c r="K5" s="9">
        <f t="shared" si="0"/>
        <v>0.23255813953488372</v>
      </c>
      <c r="L5" s="10">
        <f t="shared" si="0"/>
        <v>0.75</v>
      </c>
      <c r="M5" s="9">
        <f t="shared" si="0"/>
        <v>0.33333333333333331</v>
      </c>
      <c r="N5" s="9">
        <f t="shared" si="0"/>
        <v>0.38775510204081631</v>
      </c>
      <c r="O5" s="9">
        <f t="shared" si="0"/>
        <v>0.23880597014925373</v>
      </c>
      <c r="P5" s="9">
        <f t="shared" si="0"/>
        <v>0.23809523809523808</v>
      </c>
    </row>
    <row r="6" spans="1:16" x14ac:dyDescent="0.3">
      <c r="A6" s="8" t="s">
        <v>2</v>
      </c>
      <c r="B6" s="9">
        <v>0.11406093069969869</v>
      </c>
      <c r="C6" s="9">
        <v>6.9767441860465115E-2</v>
      </c>
      <c r="D6" s="9">
        <v>0</v>
      </c>
      <c r="E6" s="9">
        <v>0.25</v>
      </c>
      <c r="F6" s="9">
        <v>6.1224489795918366E-2</v>
      </c>
      <c r="G6" s="9">
        <v>0.1044776119402985</v>
      </c>
      <c r="H6" s="9">
        <v>0</v>
      </c>
      <c r="I6" s="9">
        <v>0.41769333779712087</v>
      </c>
      <c r="J6" s="9">
        <f t="shared" si="0"/>
        <v>0.41769333779712087</v>
      </c>
      <c r="K6" s="9">
        <f t="shared" si="0"/>
        <v>0.30232558139534882</v>
      </c>
      <c r="L6" s="10">
        <f t="shared" si="0"/>
        <v>0.75</v>
      </c>
      <c r="M6" s="9">
        <f t="shared" si="0"/>
        <v>0.58333333333333326</v>
      </c>
      <c r="N6" s="9">
        <f t="shared" si="0"/>
        <v>0.44897959183673469</v>
      </c>
      <c r="O6" s="9">
        <f t="shared" si="0"/>
        <v>0.34328358208955223</v>
      </c>
      <c r="P6" s="9">
        <f t="shared" si="0"/>
        <v>0.23809523809523808</v>
      </c>
    </row>
    <row r="7" spans="1:16" x14ac:dyDescent="0.3">
      <c r="A7" s="8" t="s">
        <v>4</v>
      </c>
      <c r="B7" s="9">
        <v>0.11904921325744895</v>
      </c>
      <c r="C7" s="9">
        <v>6.9767441860465115E-2</v>
      </c>
      <c r="D7" s="9">
        <v>0.125</v>
      </c>
      <c r="E7" s="9">
        <v>8.3333333333333329E-2</v>
      </c>
      <c r="F7" s="9">
        <v>0.12244897959183673</v>
      </c>
      <c r="G7" s="9">
        <v>5.9701492537313432E-2</v>
      </c>
      <c r="H7" s="9">
        <v>2.3809523809523808E-2</v>
      </c>
      <c r="I7" s="9">
        <v>0.53674255105456981</v>
      </c>
      <c r="J7" s="9">
        <f t="shared" si="0"/>
        <v>0.53674255105456981</v>
      </c>
      <c r="K7" s="9">
        <f t="shared" si="0"/>
        <v>0.37209302325581395</v>
      </c>
      <c r="L7" s="10">
        <f t="shared" si="0"/>
        <v>0.875</v>
      </c>
      <c r="M7" s="9">
        <f t="shared" si="0"/>
        <v>0.66666666666666663</v>
      </c>
      <c r="N7" s="9">
        <f t="shared" si="0"/>
        <v>0.5714285714285714</v>
      </c>
      <c r="O7" s="9">
        <f t="shared" si="0"/>
        <v>0.40298507462686567</v>
      </c>
      <c r="P7" s="9">
        <f t="shared" si="0"/>
        <v>0.26190476190476186</v>
      </c>
    </row>
    <row r="8" spans="1:16" x14ac:dyDescent="0.3">
      <c r="A8" s="8" t="s">
        <v>5</v>
      </c>
      <c r="B8" s="9">
        <v>0.14044191496484768</v>
      </c>
      <c r="C8" s="9">
        <v>0.27906976744186046</v>
      </c>
      <c r="D8" s="9">
        <v>0</v>
      </c>
      <c r="E8" s="9">
        <v>0.16666666666666666</v>
      </c>
      <c r="F8" s="9">
        <v>6.1224489795918366E-2</v>
      </c>
      <c r="G8" s="9">
        <v>0.13432835820895522</v>
      </c>
      <c r="H8" s="9">
        <v>4.7619047619047616E-2</v>
      </c>
      <c r="I8" s="9">
        <v>0.67718446601941751</v>
      </c>
      <c r="J8" s="9">
        <f t="shared" si="0"/>
        <v>0.67718446601941751</v>
      </c>
      <c r="K8" s="9">
        <f t="shared" si="0"/>
        <v>0.65116279069767447</v>
      </c>
      <c r="L8" s="10">
        <f t="shared" si="0"/>
        <v>0.875</v>
      </c>
      <c r="M8" s="9">
        <f t="shared" si="0"/>
        <v>0.83333333333333326</v>
      </c>
      <c r="N8" s="9">
        <f t="shared" si="0"/>
        <v>0.63265306122448972</v>
      </c>
      <c r="O8" s="9">
        <f t="shared" si="0"/>
        <v>0.53731343283582089</v>
      </c>
      <c r="P8" s="9">
        <f t="shared" si="0"/>
        <v>0.30952380952380948</v>
      </c>
    </row>
    <row r="9" spans="1:16" x14ac:dyDescent="0.3">
      <c r="A9" s="8" t="s">
        <v>0</v>
      </c>
      <c r="B9" s="9">
        <v>0.32281553398058255</v>
      </c>
      <c r="C9" s="9">
        <v>0.34883720930232559</v>
      </c>
      <c r="D9" s="9">
        <v>0.125</v>
      </c>
      <c r="E9" s="9">
        <v>0.16666666666666666</v>
      </c>
      <c r="F9" s="9">
        <v>0.36734693877551022</v>
      </c>
      <c r="G9" s="9">
        <v>0.46268656716417911</v>
      </c>
      <c r="H9" s="9">
        <v>0.69047619047619047</v>
      </c>
      <c r="I9" s="9">
        <v>1</v>
      </c>
      <c r="J9" s="9">
        <f t="shared" si="0"/>
        <v>1</v>
      </c>
      <c r="K9" s="9">
        <f t="shared" si="0"/>
        <v>1</v>
      </c>
      <c r="L9" s="10">
        <f t="shared" si="0"/>
        <v>1</v>
      </c>
      <c r="M9" s="9">
        <f t="shared" si="0"/>
        <v>0.99999999999999989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" t="s">
        <v>8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69</v>
      </c>
      <c r="H11" s="3" t="s">
        <v>70</v>
      </c>
      <c r="J11" s="8"/>
      <c r="K11" s="11" t="s">
        <v>71</v>
      </c>
      <c r="L11" s="11" t="s">
        <v>72</v>
      </c>
      <c r="M11" s="11" t="s">
        <v>73</v>
      </c>
      <c r="N11" s="11" t="s">
        <v>74</v>
      </c>
      <c r="O11" s="11" t="s">
        <v>75</v>
      </c>
      <c r="P11" s="11" t="s">
        <v>76</v>
      </c>
    </row>
    <row r="12" spans="1:16" x14ac:dyDescent="0.3">
      <c r="B12" s="8" t="s">
        <v>7</v>
      </c>
      <c r="C12" s="9">
        <f>C2-B2</f>
        <v>2.6546819162105557E-2</v>
      </c>
      <c r="D12" s="9">
        <f>D2-B2</f>
        <v>8.1779377301640449E-2</v>
      </c>
      <c r="E12" s="9">
        <f>E2-B2</f>
        <v>-4.3220622698359558E-2</v>
      </c>
      <c r="F12" s="9">
        <f>F2-B2</f>
        <v>9.9636520158783298E-2</v>
      </c>
      <c r="G12" s="9">
        <f>G2-B2</f>
        <v>7.6182362376267299E-2</v>
      </c>
      <c r="H12" s="9">
        <f>H2-B2</f>
        <v>5.2017472539735675E-2</v>
      </c>
      <c r="J12" s="8" t="s">
        <v>7</v>
      </c>
      <c r="K12" s="8">
        <f>(J2-0) * (K2+0)</f>
        <v>3.0153922812808992E-3</v>
      </c>
      <c r="L12" s="8">
        <f t="shared" ref="L12" si="1">(K2-0) * (L2+0)</f>
        <v>8.7209302325581394E-3</v>
      </c>
      <c r="M12" s="8">
        <f>(J2-0) * (M2+0)</f>
        <v>0</v>
      </c>
      <c r="N12" s="8">
        <f>(J2-0) * (N2+0)</f>
        <v>6.1743746711942224E-3</v>
      </c>
      <c r="O12" s="8">
        <f>(J2-0) * (O2+0)</f>
        <v>5.1606713669683051E-3</v>
      </c>
      <c r="P12" s="8">
        <f>(J2-0) * (P2+0)</f>
        <v>4.116249780796148E-3</v>
      </c>
    </row>
    <row r="13" spans="1:16" x14ac:dyDescent="0.3">
      <c r="B13" s="8" t="s">
        <v>3</v>
      </c>
      <c r="C13" s="9">
        <f t="shared" ref="C13:C19" si="2">C3-B3</f>
        <v>-2.9517833090679763E-2</v>
      </c>
      <c r="D13" s="9">
        <f t="shared" ref="D13:D19" si="3">D3-B3</f>
        <v>4.8970539002343494E-2</v>
      </c>
      <c r="E13" s="9">
        <f t="shared" ref="E13:E19" si="4">E3-B3</f>
        <v>-7.6029460997656506E-2</v>
      </c>
      <c r="F13" s="9">
        <f t="shared" ref="F13:F19" si="5">F3-B3</f>
        <v>2.6011355328874108E-2</v>
      </c>
      <c r="G13" s="9">
        <f t="shared" ref="G13:G19" si="6">G3-B3</f>
        <v>-4.6178714728999787E-2</v>
      </c>
      <c r="H13" s="9">
        <f t="shared" ref="H13:H19" si="7">H3-B3</f>
        <v>-2.841041337860889E-2</v>
      </c>
      <c r="J13" s="8" t="s">
        <v>3</v>
      </c>
      <c r="K13" s="8">
        <f>(J3-J2) * (K3+K2)</f>
        <v>1.4145015999564001E-2</v>
      </c>
      <c r="L13" s="8">
        <f>(J3-J2) * (L3+L2)</f>
        <v>2.851104787412119E-2</v>
      </c>
      <c r="M13" s="8">
        <f>(J3-J2) * (M3+M2)</f>
        <v>0</v>
      </c>
      <c r="N13" s="8">
        <f>(J3-J2) * (N3+N2)</f>
        <v>2.9480811407254563E-2</v>
      </c>
      <c r="O13" s="8">
        <f>(J3-J2) * (O3+O2)</f>
        <v>2.0425825342653987E-2</v>
      </c>
      <c r="P13" s="8">
        <f>(J3-J2) * (P3+P2)</f>
        <v>1.8102252618489644E-2</v>
      </c>
    </row>
    <row r="14" spans="1:16" x14ac:dyDescent="0.3">
      <c r="B14" s="8" t="s">
        <v>1</v>
      </c>
      <c r="C14" s="9">
        <f t="shared" si="2"/>
        <v>-5.389517365950125E-2</v>
      </c>
      <c r="D14" s="9">
        <f t="shared" si="3"/>
        <v>0.17284901238701039</v>
      </c>
      <c r="E14" s="9">
        <f t="shared" si="4"/>
        <v>0.25618234572034371</v>
      </c>
      <c r="F14" s="9">
        <f t="shared" si="5"/>
        <v>4.4816654482348617E-3</v>
      </c>
      <c r="G14" s="9">
        <f t="shared" si="6"/>
        <v>-4.7300241344332902E-2</v>
      </c>
      <c r="H14" s="9">
        <f t="shared" si="7"/>
        <v>-2.9531939993942005E-2</v>
      </c>
      <c r="J14" s="8" t="s">
        <v>1</v>
      </c>
      <c r="K14" s="8">
        <f t="shared" ref="K14:K19" si="8">(J4-J3) * (K4+K3)</f>
        <v>1.9736299156811302E-2</v>
      </c>
      <c r="L14" s="8">
        <f t="shared" ref="L14:L19" si="9">(J4-J3) * (L4+L3)</f>
        <v>5.7863240709742227E-2</v>
      </c>
      <c r="M14" s="8">
        <f t="shared" ref="M14:M19" si="10">(J4-J3) * (M4+M3)</f>
        <v>2.5716995870996545E-2</v>
      </c>
      <c r="N14" s="8">
        <f t="shared" ref="N14:N19" si="11">(J4-J3) * (N4+N3)</f>
        <v>4.4086278635994076E-2</v>
      </c>
      <c r="O14" s="8">
        <f t="shared" ref="O14:O19" si="12">(J4-J3) * (O4+O3)</f>
        <v>2.5333160111727936E-2</v>
      </c>
      <c r="P14" s="8">
        <f t="shared" ref="P14:P19" si="13">(J4-J3) * (P4+P3)</f>
        <v>2.5716995870996545E-2</v>
      </c>
    </row>
    <row r="15" spans="1:16" x14ac:dyDescent="0.3">
      <c r="B15" s="8" t="s">
        <v>6</v>
      </c>
      <c r="C15" s="9">
        <f t="shared" si="2"/>
        <v>-1.4208079974462981E-2</v>
      </c>
      <c r="D15" s="9">
        <f t="shared" si="3"/>
        <v>0.14276866421158352</v>
      </c>
      <c r="E15" s="9">
        <f t="shared" si="4"/>
        <v>-0.10723133578841647</v>
      </c>
      <c r="F15" s="9">
        <f t="shared" si="5"/>
        <v>-4.6006845992498102E-2</v>
      </c>
      <c r="G15" s="9">
        <f t="shared" si="6"/>
        <v>-4.7529843251103036E-2</v>
      </c>
      <c r="H15" s="9">
        <f t="shared" si="7"/>
        <v>-5.9612288169368852E-2</v>
      </c>
      <c r="J15" s="8" t="s">
        <v>6</v>
      </c>
      <c r="K15" s="8">
        <f t="shared" si="8"/>
        <v>3.9900031921271249E-2</v>
      </c>
      <c r="L15" s="8">
        <f t="shared" si="9"/>
        <v>0.1340391697355206</v>
      </c>
      <c r="M15" s="8">
        <f t="shared" si="10"/>
        <v>7.1487557192277645E-2</v>
      </c>
      <c r="N15" s="8">
        <f t="shared" si="11"/>
        <v>7.6593811277440332E-2</v>
      </c>
      <c r="O15" s="8">
        <f t="shared" si="12"/>
        <v>4.4813095553368078E-2</v>
      </c>
      <c r="P15" s="8">
        <f t="shared" si="13"/>
        <v>4.5956286766464204E-2</v>
      </c>
    </row>
    <row r="16" spans="1:16" x14ac:dyDescent="0.3">
      <c r="B16" s="8" t="s">
        <v>2</v>
      </c>
      <c r="C16" s="9">
        <f t="shared" si="2"/>
        <v>-4.4293488839233577E-2</v>
      </c>
      <c r="D16" s="9">
        <f t="shared" si="3"/>
        <v>-0.11406093069969869</v>
      </c>
      <c r="E16" s="9">
        <f t="shared" si="4"/>
        <v>0.13593906930030131</v>
      </c>
      <c r="F16" s="9">
        <f t="shared" si="5"/>
        <v>-5.2836440903780327E-2</v>
      </c>
      <c r="G16" s="9">
        <f t="shared" si="6"/>
        <v>-9.583318759400189E-3</v>
      </c>
      <c r="H16" s="9">
        <f t="shared" si="7"/>
        <v>-0.11406093069969869</v>
      </c>
      <c r="J16" s="8" t="s">
        <v>2</v>
      </c>
      <c r="K16" s="8">
        <f t="shared" si="8"/>
        <v>6.1009335025420226E-2</v>
      </c>
      <c r="L16" s="8">
        <f t="shared" si="9"/>
        <v>0.17109139604954804</v>
      </c>
      <c r="M16" s="8">
        <f t="shared" si="10"/>
        <v>0.10455585314139045</v>
      </c>
      <c r="N16" s="8">
        <f t="shared" si="11"/>
        <v>9.5438737932400958E-2</v>
      </c>
      <c r="O16" s="8">
        <f t="shared" si="12"/>
        <v>6.6393676078929098E-2</v>
      </c>
      <c r="P16" s="8">
        <f t="shared" si="13"/>
        <v>5.4314728904618421E-2</v>
      </c>
    </row>
    <row r="17" spans="2:16" x14ac:dyDescent="0.3">
      <c r="B17" s="8" t="s">
        <v>4</v>
      </c>
      <c r="C17" s="9">
        <f t="shared" si="2"/>
        <v>-4.9281771396983837E-2</v>
      </c>
      <c r="D17" s="9">
        <f t="shared" si="3"/>
        <v>5.950786742551048E-3</v>
      </c>
      <c r="E17" s="9">
        <f t="shared" si="4"/>
        <v>-3.5715879924115623E-2</v>
      </c>
      <c r="F17" s="9">
        <f t="shared" si="5"/>
        <v>3.3997663343877799E-3</v>
      </c>
      <c r="G17" s="9">
        <f t="shared" si="6"/>
        <v>-5.934772072013552E-2</v>
      </c>
      <c r="H17" s="9">
        <f t="shared" si="7"/>
        <v>-9.5239689447925144E-2</v>
      </c>
      <c r="J17" s="8" t="s">
        <v>4</v>
      </c>
      <c r="K17" s="8">
        <f t="shared" si="8"/>
        <v>8.0289004289907415E-2</v>
      </c>
      <c r="L17" s="8">
        <f t="shared" si="9"/>
        <v>0.19345497154335453</v>
      </c>
      <c r="M17" s="8">
        <f t="shared" si="10"/>
        <v>0.14881151657181119</v>
      </c>
      <c r="N17" s="8">
        <f t="shared" si="11"/>
        <v>0.1214787890382132</v>
      </c>
      <c r="O17" s="8">
        <f t="shared" si="12"/>
        <v>8.8842696460782786E-2</v>
      </c>
      <c r="P17" s="8">
        <f t="shared" si="13"/>
        <v>5.9524606628724462E-2</v>
      </c>
    </row>
    <row r="18" spans="2:16" x14ac:dyDescent="0.3">
      <c r="B18" s="8" t="s">
        <v>5</v>
      </c>
      <c r="C18" s="9">
        <f t="shared" si="2"/>
        <v>0.13862785247701279</v>
      </c>
      <c r="D18" s="9">
        <f t="shared" si="3"/>
        <v>-0.14044191496484768</v>
      </c>
      <c r="E18" s="9">
        <f t="shared" si="4"/>
        <v>2.6224751701818982E-2</v>
      </c>
      <c r="F18" s="9">
        <f t="shared" si="5"/>
        <v>-7.9217425168929309E-2</v>
      </c>
      <c r="G18" s="9">
        <f t="shared" si="6"/>
        <v>-6.113556755892452E-3</v>
      </c>
      <c r="H18" s="9">
        <f t="shared" si="7"/>
        <v>-9.2822867345800059E-2</v>
      </c>
      <c r="J18" s="8" t="s">
        <v>5</v>
      </c>
      <c r="K18" s="8">
        <f t="shared" si="8"/>
        <v>0.14370800601054184</v>
      </c>
      <c r="L18" s="8">
        <f t="shared" si="9"/>
        <v>0.24577335118848348</v>
      </c>
      <c r="M18" s="8">
        <f t="shared" si="10"/>
        <v>0.21066287244727155</v>
      </c>
      <c r="N18" s="8">
        <f t="shared" si="11"/>
        <v>0.16910353026379618</v>
      </c>
      <c r="O18" s="8">
        <f t="shared" si="12"/>
        <v>0.13205732302664785</v>
      </c>
      <c r="P18" s="8">
        <f t="shared" si="13"/>
        <v>8.025252283705582E-2</v>
      </c>
    </row>
    <row r="19" spans="2:16" x14ac:dyDescent="0.3">
      <c r="B19" s="8" t="s">
        <v>0</v>
      </c>
      <c r="C19" s="9">
        <f t="shared" si="2"/>
        <v>2.6021675321743043E-2</v>
      </c>
      <c r="D19" s="9">
        <f t="shared" si="3"/>
        <v>-0.19781553398058255</v>
      </c>
      <c r="E19" s="9">
        <f t="shared" si="4"/>
        <v>-0.15614886731391589</v>
      </c>
      <c r="F19" s="9">
        <f t="shared" si="5"/>
        <v>4.4531404794927676E-2</v>
      </c>
      <c r="G19" s="9">
        <f t="shared" si="6"/>
        <v>0.13987103318359656</v>
      </c>
      <c r="H19" s="9">
        <f t="shared" si="7"/>
        <v>0.36766065649560792</v>
      </c>
      <c r="J19" s="8" t="s">
        <v>0</v>
      </c>
      <c r="K19" s="8">
        <f t="shared" si="8"/>
        <v>0.53302099796793856</v>
      </c>
      <c r="L19" s="8">
        <f t="shared" si="9"/>
        <v>0.60527912621359214</v>
      </c>
      <c r="M19" s="8">
        <f t="shared" si="10"/>
        <v>0.59182847896440116</v>
      </c>
      <c r="N19" s="8">
        <f t="shared" si="11"/>
        <v>0.52704576976421635</v>
      </c>
      <c r="O19" s="8">
        <f t="shared" si="12"/>
        <v>0.49626865671641784</v>
      </c>
      <c r="P19" s="8">
        <f t="shared" si="13"/>
        <v>0.42273462783171517</v>
      </c>
    </row>
    <row r="20" spans="2:16" x14ac:dyDescent="0.3">
      <c r="J20" s="11" t="s">
        <v>77</v>
      </c>
      <c r="K20" s="11">
        <f>SUM(K12:K19)</f>
        <v>0.8948240826527355</v>
      </c>
      <c r="L20" s="11">
        <f t="shared" ref="L20:P20" si="14">SUM(L12:L19)</f>
        <v>1.4447332335469203</v>
      </c>
      <c r="M20" s="11">
        <f t="shared" si="14"/>
        <v>1.1530632741881486</v>
      </c>
      <c r="N20" s="11">
        <f t="shared" si="14"/>
        <v>1.0694021029905099</v>
      </c>
      <c r="O20" s="11">
        <f t="shared" si="14"/>
        <v>0.87929510465749594</v>
      </c>
      <c r="P20" s="11">
        <f t="shared" si="14"/>
        <v>0.71071827123886044</v>
      </c>
    </row>
    <row r="21" spans="2:16" x14ac:dyDescent="0.3">
      <c r="J21" s="12" t="s">
        <v>78</v>
      </c>
      <c r="K21" s="12">
        <f>1-K20</f>
        <v>0.1051759173472645</v>
      </c>
      <c r="L21" s="12">
        <f t="shared" ref="L21:P21" si="15">1-L20</f>
        <v>-0.44473323354692029</v>
      </c>
      <c r="M21" s="12">
        <f t="shared" si="15"/>
        <v>-0.15306327418814858</v>
      </c>
      <c r="N21" s="12">
        <f t="shared" si="15"/>
        <v>-6.9402102990509862E-2</v>
      </c>
      <c r="O21" s="12">
        <f t="shared" si="15"/>
        <v>0.12070489534250406</v>
      </c>
      <c r="P21" s="12">
        <f t="shared" si="15"/>
        <v>0.28928172876113956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0F75-8649-4DD4-9FC1-ED3D446C5AA9}">
  <dimension ref="A1:P33"/>
  <sheetViews>
    <sheetView zoomScale="103"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17</v>
      </c>
      <c r="B2" s="9">
        <v>2.7553239744588794E-2</v>
      </c>
      <c r="C2" s="9">
        <v>4.807692307692308E-2</v>
      </c>
      <c r="D2" s="9">
        <v>0</v>
      </c>
      <c r="E2" s="9">
        <v>0.109375</v>
      </c>
      <c r="F2" s="9">
        <v>6.2068965517241378E-2</v>
      </c>
      <c r="G2" s="9">
        <v>6.7164179104477612E-2</v>
      </c>
      <c r="H2" s="9">
        <v>5.7142857142857141E-2</v>
      </c>
      <c r="I2" s="9">
        <v>2.7553239744588794E-2</v>
      </c>
      <c r="J2" s="9">
        <v>2.7553239744588794E-2</v>
      </c>
      <c r="K2" s="9">
        <v>4.807692307692308E-2</v>
      </c>
      <c r="L2" s="9">
        <v>0</v>
      </c>
      <c r="M2" s="9">
        <v>0.109375</v>
      </c>
      <c r="N2" s="9">
        <v>6.2068965517241378E-2</v>
      </c>
      <c r="O2" s="9">
        <v>6.7164179104477612E-2</v>
      </c>
      <c r="P2" s="9">
        <v>5.7142857142857141E-2</v>
      </c>
    </row>
    <row r="3" spans="1:16" x14ac:dyDescent="0.3">
      <c r="A3" s="9" t="s">
        <v>25</v>
      </c>
      <c r="B3" s="9">
        <v>2.975726630921504E-2</v>
      </c>
      <c r="C3" s="9">
        <v>3.8461538461538464E-2</v>
      </c>
      <c r="D3" s="9">
        <v>0</v>
      </c>
      <c r="E3" s="9">
        <v>1.5625E-2</v>
      </c>
      <c r="F3" s="9">
        <v>2.0689655172413793E-2</v>
      </c>
      <c r="G3" s="9">
        <v>1.4925373134328358E-2</v>
      </c>
      <c r="H3" s="9">
        <v>9.5238095238095247E-3</v>
      </c>
      <c r="I3" s="9">
        <v>5.7310506053803834E-2</v>
      </c>
      <c r="J3" s="9">
        <f t="shared" ref="J3:P15" si="0">J2+B3</f>
        <v>5.7310506053803834E-2</v>
      </c>
      <c r="K3" s="9">
        <f t="shared" si="0"/>
        <v>8.6538461538461536E-2</v>
      </c>
      <c r="L3" s="9">
        <f t="shared" si="0"/>
        <v>0</v>
      </c>
      <c r="M3" s="9">
        <f t="shared" si="0"/>
        <v>0.125</v>
      </c>
      <c r="N3" s="9">
        <f t="shared" si="0"/>
        <v>8.2758620689655171E-2</v>
      </c>
      <c r="O3" s="9">
        <f t="shared" si="0"/>
        <v>8.2089552238805971E-2</v>
      </c>
      <c r="P3" s="9">
        <f t="shared" si="0"/>
        <v>6.6666666666666666E-2</v>
      </c>
    </row>
    <row r="4" spans="1:16" x14ac:dyDescent="0.3">
      <c r="A4" s="9" t="s">
        <v>24</v>
      </c>
      <c r="B4" s="9">
        <v>3.0216680817408904E-2</v>
      </c>
      <c r="C4" s="9">
        <v>2.8846153846153848E-2</v>
      </c>
      <c r="D4" s="9">
        <v>0</v>
      </c>
      <c r="E4" s="9">
        <v>1.5625E-2</v>
      </c>
      <c r="F4" s="9">
        <v>2.7586206896551724E-2</v>
      </c>
      <c r="G4" s="9">
        <v>1.4925373134328358E-2</v>
      </c>
      <c r="H4" s="9">
        <v>5.7142857142857141E-2</v>
      </c>
      <c r="I4" s="9">
        <v>8.7527186871212734E-2</v>
      </c>
      <c r="J4" s="9">
        <f t="shared" si="0"/>
        <v>8.7527186871212734E-2</v>
      </c>
      <c r="K4" s="9">
        <f t="shared" si="0"/>
        <v>0.11538461538461539</v>
      </c>
      <c r="L4" s="9">
        <f t="shared" si="0"/>
        <v>0</v>
      </c>
      <c r="M4" s="9">
        <f t="shared" si="0"/>
        <v>0.140625</v>
      </c>
      <c r="N4" s="9">
        <f t="shared" si="0"/>
        <v>0.1103448275862069</v>
      </c>
      <c r="O4" s="9">
        <f t="shared" si="0"/>
        <v>9.7014925373134331E-2</v>
      </c>
      <c r="P4" s="9">
        <f t="shared" si="0"/>
        <v>0.12380952380952381</v>
      </c>
    </row>
    <row r="5" spans="1:16" x14ac:dyDescent="0.3">
      <c r="A5" s="9" t="s">
        <v>28</v>
      </c>
      <c r="B5" s="9">
        <v>3.0257388432058992E-2</v>
      </c>
      <c r="C5" s="9">
        <v>4.807692307692308E-2</v>
      </c>
      <c r="D5" s="9">
        <v>5.7142857142857141E-2</v>
      </c>
      <c r="E5" s="9">
        <v>0</v>
      </c>
      <c r="F5" s="9">
        <v>1.3793103448275862E-2</v>
      </c>
      <c r="G5" s="9">
        <v>1.4925373134328358E-2</v>
      </c>
      <c r="H5" s="9">
        <v>2.8571428571428571E-2</v>
      </c>
      <c r="I5" s="9">
        <v>0.11778457530327173</v>
      </c>
      <c r="J5" s="9">
        <f t="shared" si="0"/>
        <v>0.11778457530327173</v>
      </c>
      <c r="K5" s="9">
        <f t="shared" si="0"/>
        <v>0.16346153846153846</v>
      </c>
      <c r="L5" s="9">
        <f t="shared" si="0"/>
        <v>5.7142857142857141E-2</v>
      </c>
      <c r="M5" s="9">
        <f t="shared" si="0"/>
        <v>0.140625</v>
      </c>
      <c r="N5" s="9">
        <f t="shared" si="0"/>
        <v>0.12413793103448276</v>
      </c>
      <c r="O5" s="9">
        <f t="shared" si="0"/>
        <v>0.11194029850746269</v>
      </c>
      <c r="P5" s="9">
        <f t="shared" si="0"/>
        <v>0.15238095238095239</v>
      </c>
    </row>
    <row r="6" spans="1:16" x14ac:dyDescent="0.3">
      <c r="A6" s="9" t="s">
        <v>27</v>
      </c>
      <c r="B6" s="9">
        <v>4.0789029879389156E-2</v>
      </c>
      <c r="C6" s="9">
        <v>4.807692307692308E-2</v>
      </c>
      <c r="D6" s="9">
        <v>1.4285714285714285E-2</v>
      </c>
      <c r="E6" s="9">
        <v>6.25E-2</v>
      </c>
      <c r="F6" s="9">
        <v>2.0689655172413793E-2</v>
      </c>
      <c r="G6" s="9">
        <v>1.4925373134328358E-2</v>
      </c>
      <c r="H6" s="9">
        <v>0</v>
      </c>
      <c r="I6" s="9">
        <v>0.15857360518266089</v>
      </c>
      <c r="J6" s="9">
        <f t="shared" si="0"/>
        <v>0.15857360518266089</v>
      </c>
      <c r="K6" s="9">
        <f t="shared" si="0"/>
        <v>0.21153846153846154</v>
      </c>
      <c r="L6" s="9">
        <f t="shared" si="0"/>
        <v>7.1428571428571425E-2</v>
      </c>
      <c r="M6" s="9">
        <f t="shared" si="0"/>
        <v>0.203125</v>
      </c>
      <c r="N6" s="9">
        <f t="shared" si="0"/>
        <v>0.14482758620689656</v>
      </c>
      <c r="O6" s="9">
        <f t="shared" si="0"/>
        <v>0.12686567164179105</v>
      </c>
      <c r="P6" s="9">
        <f t="shared" si="0"/>
        <v>0.15238095238095239</v>
      </c>
    </row>
    <row r="7" spans="1:16" x14ac:dyDescent="0.3">
      <c r="A7" s="9" t="s">
        <v>18</v>
      </c>
      <c r="B7" s="9">
        <v>4.3894439339838796E-2</v>
      </c>
      <c r="C7" s="9">
        <v>3.8461538461538464E-2</v>
      </c>
      <c r="D7" s="9">
        <v>2.8571428571428571E-2</v>
      </c>
      <c r="E7" s="9">
        <v>6.25E-2</v>
      </c>
      <c r="F7" s="9">
        <v>3.4482758620689655E-2</v>
      </c>
      <c r="G7" s="9">
        <v>2.2388059701492536E-2</v>
      </c>
      <c r="H7" s="9">
        <v>3.8095238095238099E-2</v>
      </c>
      <c r="I7" s="9">
        <v>0.2024680445224997</v>
      </c>
      <c r="J7" s="9">
        <f t="shared" si="0"/>
        <v>0.2024680445224997</v>
      </c>
      <c r="K7" s="9">
        <f t="shared" si="0"/>
        <v>0.25</v>
      </c>
      <c r="L7" s="9">
        <f t="shared" si="0"/>
        <v>9.9999999999999992E-2</v>
      </c>
      <c r="M7" s="9">
        <f t="shared" si="0"/>
        <v>0.265625</v>
      </c>
      <c r="N7" s="9">
        <f t="shared" si="0"/>
        <v>0.17931034482758623</v>
      </c>
      <c r="O7" s="9">
        <f t="shared" si="0"/>
        <v>0.1492537313432836</v>
      </c>
      <c r="P7" s="9">
        <f t="shared" si="0"/>
        <v>0.19047619047619049</v>
      </c>
    </row>
    <row r="8" spans="1:16" x14ac:dyDescent="0.3">
      <c r="A8" s="9" t="s">
        <v>23</v>
      </c>
      <c r="B8" s="9">
        <v>5.0593749636539155E-2</v>
      </c>
      <c r="C8" s="9">
        <v>2.8846153846153848E-2</v>
      </c>
      <c r="D8" s="9">
        <v>2.8571428571428571E-2</v>
      </c>
      <c r="E8" s="9">
        <v>7.8125E-2</v>
      </c>
      <c r="F8" s="9">
        <v>4.8275862068965517E-2</v>
      </c>
      <c r="G8" s="9">
        <v>6.7164179104477612E-2</v>
      </c>
      <c r="H8" s="9">
        <v>7.6190476190476197E-2</v>
      </c>
      <c r="I8" s="9">
        <v>0.25306179415903884</v>
      </c>
      <c r="J8" s="9">
        <f t="shared" si="0"/>
        <v>0.25306179415903884</v>
      </c>
      <c r="K8" s="9">
        <f t="shared" si="0"/>
        <v>0.27884615384615385</v>
      </c>
      <c r="L8" s="9">
        <f t="shared" si="0"/>
        <v>0.12857142857142856</v>
      </c>
      <c r="M8" s="9">
        <f t="shared" si="0"/>
        <v>0.34375</v>
      </c>
      <c r="N8" s="9">
        <f t="shared" si="0"/>
        <v>0.22758620689655173</v>
      </c>
      <c r="O8" s="9">
        <f t="shared" si="0"/>
        <v>0.21641791044776121</v>
      </c>
      <c r="P8" s="9">
        <f t="shared" si="0"/>
        <v>0.26666666666666672</v>
      </c>
    </row>
    <row r="9" spans="1:16" x14ac:dyDescent="0.3">
      <c r="A9" s="9" t="s">
        <v>26</v>
      </c>
      <c r="B9" s="9">
        <v>5.9718070691680523E-2</v>
      </c>
      <c r="C9" s="9">
        <v>1.9230769230769232E-2</v>
      </c>
      <c r="D9" s="9">
        <v>5.7142857142857141E-2</v>
      </c>
      <c r="E9" s="9">
        <v>3.125E-2</v>
      </c>
      <c r="F9" s="9">
        <v>2.7586206896551724E-2</v>
      </c>
      <c r="G9" s="9">
        <v>5.2238805970149252E-2</v>
      </c>
      <c r="H9" s="9">
        <v>9.5238095238095247E-3</v>
      </c>
      <c r="I9" s="9">
        <v>0.31277986485071935</v>
      </c>
      <c r="J9" s="9">
        <f t="shared" si="0"/>
        <v>0.31277986485071935</v>
      </c>
      <c r="K9" s="9">
        <f t="shared" si="0"/>
        <v>0.29807692307692307</v>
      </c>
      <c r="L9" s="9">
        <f t="shared" si="0"/>
        <v>0.18571428571428569</v>
      </c>
      <c r="M9" s="9">
        <f t="shared" si="0"/>
        <v>0.375</v>
      </c>
      <c r="N9" s="9">
        <f t="shared" si="0"/>
        <v>0.25517241379310346</v>
      </c>
      <c r="O9" s="9">
        <f t="shared" si="0"/>
        <v>0.26865671641791045</v>
      </c>
      <c r="P9" s="9">
        <f t="shared" si="0"/>
        <v>0.27619047619047626</v>
      </c>
    </row>
    <row r="10" spans="1:16" x14ac:dyDescent="0.3">
      <c r="A10" s="9" t="s">
        <v>22</v>
      </c>
      <c r="B10" s="9">
        <v>6.3224740925109615E-2</v>
      </c>
      <c r="C10" s="9">
        <v>4.807692307692308E-2</v>
      </c>
      <c r="D10" s="9">
        <v>2.8571428571428571E-2</v>
      </c>
      <c r="E10" s="9">
        <v>3.125E-2</v>
      </c>
      <c r="F10" s="9">
        <v>2.7586206896551724E-2</v>
      </c>
      <c r="G10" s="9">
        <v>1.4925373134328358E-2</v>
      </c>
      <c r="H10" s="9">
        <v>1.9047619047619049E-2</v>
      </c>
      <c r="I10" s="9">
        <v>0.37600460577582895</v>
      </c>
      <c r="J10" s="9">
        <f t="shared" si="0"/>
        <v>0.37600460577582895</v>
      </c>
      <c r="K10" s="9">
        <f t="shared" si="0"/>
        <v>0.34615384615384615</v>
      </c>
      <c r="L10" s="9">
        <f t="shared" si="0"/>
        <v>0.21428571428571427</v>
      </c>
      <c r="M10" s="9">
        <f t="shared" si="0"/>
        <v>0.40625</v>
      </c>
      <c r="N10" s="9">
        <f t="shared" si="0"/>
        <v>0.28275862068965518</v>
      </c>
      <c r="O10" s="9">
        <f t="shared" si="0"/>
        <v>0.28358208955223879</v>
      </c>
      <c r="P10" s="9">
        <f t="shared" si="0"/>
        <v>0.2952380952380953</v>
      </c>
    </row>
    <row r="11" spans="1:16" x14ac:dyDescent="0.3">
      <c r="A11" s="9" t="s">
        <v>29</v>
      </c>
      <c r="B11" s="9">
        <v>6.728387164307563E-2</v>
      </c>
      <c r="C11" s="9">
        <v>3.8461538461538464E-2</v>
      </c>
      <c r="D11" s="9">
        <v>7.1428571428571425E-2</v>
      </c>
      <c r="E11" s="9">
        <v>4.6875E-2</v>
      </c>
      <c r="F11" s="9">
        <v>0.14482758620689656</v>
      </c>
      <c r="G11" s="9">
        <v>4.4776119402985072E-2</v>
      </c>
      <c r="H11" s="9">
        <v>5.7142857142857141E-2</v>
      </c>
      <c r="I11" s="9">
        <v>0.44328847741890459</v>
      </c>
      <c r="J11" s="9">
        <f t="shared" si="0"/>
        <v>0.44328847741890459</v>
      </c>
      <c r="K11" s="9">
        <f t="shared" si="0"/>
        <v>0.38461538461538458</v>
      </c>
      <c r="L11" s="9">
        <f t="shared" si="0"/>
        <v>0.2857142857142857</v>
      </c>
      <c r="M11" s="9">
        <f t="shared" si="0"/>
        <v>0.453125</v>
      </c>
      <c r="N11" s="9">
        <f t="shared" si="0"/>
        <v>0.42758620689655175</v>
      </c>
      <c r="O11" s="9">
        <f t="shared" si="0"/>
        <v>0.32835820895522388</v>
      </c>
      <c r="P11" s="9">
        <f t="shared" si="0"/>
        <v>0.35238095238095246</v>
      </c>
    </row>
    <row r="12" spans="1:16" x14ac:dyDescent="0.3">
      <c r="A12" s="9" t="s">
        <v>19</v>
      </c>
      <c r="B12" s="9">
        <v>7.1645401784156598E-2</v>
      </c>
      <c r="C12" s="9">
        <v>7.6923076923076927E-2</v>
      </c>
      <c r="D12" s="9">
        <v>0.1</v>
      </c>
      <c r="E12" s="9">
        <v>7.8125E-2</v>
      </c>
      <c r="F12" s="9">
        <v>8.2758620689655171E-2</v>
      </c>
      <c r="G12" s="9">
        <v>6.7164179104477612E-2</v>
      </c>
      <c r="H12" s="9">
        <v>2.8571428571428571E-2</v>
      </c>
      <c r="I12" s="9">
        <v>0.51493387920306122</v>
      </c>
      <c r="J12" s="9">
        <f t="shared" si="0"/>
        <v>0.51493387920306122</v>
      </c>
      <c r="K12" s="9">
        <f t="shared" si="0"/>
        <v>0.46153846153846151</v>
      </c>
      <c r="L12" s="9">
        <f t="shared" si="0"/>
        <v>0.38571428571428568</v>
      </c>
      <c r="M12" s="9">
        <f t="shared" si="0"/>
        <v>0.53125</v>
      </c>
      <c r="N12" s="9">
        <f t="shared" si="0"/>
        <v>0.51034482758620692</v>
      </c>
      <c r="O12" s="9">
        <f t="shared" si="0"/>
        <v>0.39552238805970152</v>
      </c>
      <c r="P12" s="9">
        <f t="shared" si="0"/>
        <v>0.38095238095238104</v>
      </c>
    </row>
    <row r="13" spans="1:16" x14ac:dyDescent="0.3">
      <c r="A13" s="9" t="s">
        <v>21</v>
      </c>
      <c r="B13" s="9">
        <v>8.9998720617825281E-2</v>
      </c>
      <c r="C13" s="9">
        <v>6.7307692307692304E-2</v>
      </c>
      <c r="D13" s="9">
        <v>7.1428571428571425E-2</v>
      </c>
      <c r="E13" s="9">
        <v>0.171875</v>
      </c>
      <c r="F13" s="9">
        <v>2.7586206896551724E-2</v>
      </c>
      <c r="G13" s="9">
        <v>5.2238805970149252E-2</v>
      </c>
      <c r="H13" s="9">
        <v>0.10476190476190476</v>
      </c>
      <c r="I13" s="9">
        <v>0.60493259982088654</v>
      </c>
      <c r="J13" s="9">
        <f t="shared" si="0"/>
        <v>0.60493259982088654</v>
      </c>
      <c r="K13" s="9">
        <f t="shared" si="0"/>
        <v>0.52884615384615385</v>
      </c>
      <c r="L13" s="9">
        <f t="shared" ref="L13" si="1">L12+D13</f>
        <v>0.45714285714285707</v>
      </c>
      <c r="M13" s="9">
        <f t="shared" ref="M13" si="2">M12+E13</f>
        <v>0.703125</v>
      </c>
      <c r="N13" s="9">
        <f t="shared" ref="N13" si="3">N12+F13</f>
        <v>0.53793103448275859</v>
      </c>
      <c r="O13" s="9">
        <f t="shared" ref="O13" si="4">O12+G13</f>
        <v>0.44776119402985076</v>
      </c>
      <c r="P13" s="9">
        <f t="shared" ref="P13" si="5">P12+H13</f>
        <v>0.48571428571428582</v>
      </c>
    </row>
    <row r="14" spans="1:16" x14ac:dyDescent="0.3">
      <c r="A14" s="9" t="s">
        <v>20</v>
      </c>
      <c r="B14" s="9">
        <v>0.14861187034043197</v>
      </c>
      <c r="C14" s="9">
        <v>0.125</v>
      </c>
      <c r="D14" s="9">
        <v>0.1</v>
      </c>
      <c r="E14" s="9">
        <v>0.140625</v>
      </c>
      <c r="F14" s="9">
        <v>6.8965517241379309E-2</v>
      </c>
      <c r="G14" s="9">
        <v>0.11194029850746269</v>
      </c>
      <c r="H14" s="9">
        <v>7.6190476190476197E-2</v>
      </c>
      <c r="I14" s="9">
        <v>0.75354447016131854</v>
      </c>
      <c r="J14" s="9">
        <f t="shared" si="0"/>
        <v>0.75354447016131854</v>
      </c>
      <c r="K14" s="9">
        <f t="shared" ref="K14:K15" si="6">K13+C14</f>
        <v>0.65384615384615385</v>
      </c>
      <c r="L14" s="9">
        <f t="shared" ref="L14:L15" si="7">L13+D14</f>
        <v>0.55714285714285705</v>
      </c>
      <c r="M14" s="9">
        <f t="shared" ref="M14:M15" si="8">M13+E14</f>
        <v>0.84375</v>
      </c>
      <c r="N14" s="9">
        <f t="shared" ref="N14:N15" si="9">N13+F14</f>
        <v>0.60689655172413792</v>
      </c>
      <c r="O14" s="9">
        <f t="shared" ref="O14:O15" si="10">O13+G14</f>
        <v>0.55970149253731349</v>
      </c>
      <c r="P14" s="9">
        <f t="shared" ref="P14:P15" si="11">P13+H14</f>
        <v>0.56190476190476202</v>
      </c>
    </row>
    <row r="15" spans="1:16" x14ac:dyDescent="0.3">
      <c r="A15" s="9" t="s">
        <v>16</v>
      </c>
      <c r="B15" s="9">
        <v>0.24645552983868155</v>
      </c>
      <c r="C15" s="9">
        <v>0.34615384615384615</v>
      </c>
      <c r="D15" s="9">
        <v>0.44285714285714284</v>
      </c>
      <c r="E15" s="9">
        <v>0.15625</v>
      </c>
      <c r="F15" s="9">
        <v>0.39310344827586208</v>
      </c>
      <c r="G15" s="9">
        <v>0.44029850746268656</v>
      </c>
      <c r="H15" s="9">
        <v>0.43809523809523809</v>
      </c>
      <c r="I15" s="9">
        <v>1</v>
      </c>
      <c r="J15" s="9">
        <f t="shared" si="0"/>
        <v>1</v>
      </c>
      <c r="K15" s="9">
        <f t="shared" si="6"/>
        <v>1</v>
      </c>
      <c r="L15" s="9">
        <f t="shared" si="7"/>
        <v>0.99999999999999989</v>
      </c>
      <c r="M15" s="9">
        <f t="shared" si="8"/>
        <v>1</v>
      </c>
      <c r="N15" s="9">
        <f t="shared" si="9"/>
        <v>1</v>
      </c>
      <c r="O15" s="9">
        <f t="shared" si="10"/>
        <v>1</v>
      </c>
      <c r="P15" s="9">
        <f t="shared" si="11"/>
        <v>1</v>
      </c>
    </row>
    <row r="17" spans="2:16" ht="28.8" x14ac:dyDescent="0.3">
      <c r="B17" s="1" t="s">
        <v>8</v>
      </c>
      <c r="C17" s="3" t="s">
        <v>65</v>
      </c>
      <c r="D17" s="3" t="s">
        <v>66</v>
      </c>
      <c r="E17" s="3" t="s">
        <v>67</v>
      </c>
      <c r="F17" s="3" t="s">
        <v>68</v>
      </c>
      <c r="G17" s="3" t="s">
        <v>69</v>
      </c>
      <c r="H17" s="3" t="s">
        <v>70</v>
      </c>
      <c r="J17" s="8"/>
      <c r="K17" s="11" t="s">
        <v>71</v>
      </c>
      <c r="L17" s="11" t="s">
        <v>72</v>
      </c>
      <c r="M17" s="11" t="s">
        <v>73</v>
      </c>
      <c r="N17" s="11" t="s">
        <v>74</v>
      </c>
      <c r="O17" s="11" t="s">
        <v>75</v>
      </c>
      <c r="P17" s="11" t="s">
        <v>76</v>
      </c>
    </row>
    <row r="18" spans="2:16" x14ac:dyDescent="0.3">
      <c r="B18" s="9" t="s">
        <v>17</v>
      </c>
      <c r="C18" s="9">
        <f>C2-B2</f>
        <v>2.0523683332334286E-2</v>
      </c>
      <c r="D18" s="9">
        <f>D2-B2</f>
        <v>-2.7553239744588794E-2</v>
      </c>
      <c r="E18" s="9">
        <f>E2-B2</f>
        <v>8.1821760255411213E-2</v>
      </c>
      <c r="F18" s="9">
        <f>F2-B2</f>
        <v>3.4515725772652585E-2</v>
      </c>
      <c r="G18" s="9">
        <f>G2-B2</f>
        <v>3.9610939359888818E-2</v>
      </c>
      <c r="H18" s="9">
        <f>H2-B2</f>
        <v>2.9589617398268347E-2</v>
      </c>
      <c r="J18" s="9" t="s">
        <v>17</v>
      </c>
      <c r="K18" s="8">
        <f>(J2-0) * (K2+0)</f>
        <v>1.3246749877206152E-3</v>
      </c>
      <c r="L18" s="8">
        <f>(J2-0) * (L2+0)</f>
        <v>0</v>
      </c>
      <c r="M18" s="8">
        <f>(J2-0) * (M2+0)</f>
        <v>3.0136355970643994E-3</v>
      </c>
      <c r="N18" s="8">
        <f>(J2-0) * (N2+0)</f>
        <v>1.7102010875951665E-3</v>
      </c>
      <c r="O18" s="8">
        <f>(J2-0) * (O2+0)</f>
        <v>1.8505907291141727E-3</v>
      </c>
      <c r="P18" s="8">
        <f>(J2-0) * (P2+0)</f>
        <v>1.5744708425479311E-3</v>
      </c>
    </row>
    <row r="19" spans="2:16" x14ac:dyDescent="0.3">
      <c r="B19" s="9" t="s">
        <v>25</v>
      </c>
      <c r="C19" s="9">
        <f t="shared" ref="C19:C31" si="12">C3-B3</f>
        <v>8.7042721523234237E-3</v>
      </c>
      <c r="D19" s="9">
        <f t="shared" ref="D19:D25" si="13">D3-B3</f>
        <v>-2.975726630921504E-2</v>
      </c>
      <c r="E19" s="9">
        <f t="shared" ref="E19:E25" si="14">E3-B3</f>
        <v>-1.413226630921504E-2</v>
      </c>
      <c r="F19" s="9">
        <f t="shared" ref="F19:F25" si="15">F3-B3</f>
        <v>-9.0676111368012471E-3</v>
      </c>
      <c r="G19" s="9">
        <f t="shared" ref="G19:G25" si="16">G3-B3</f>
        <v>-1.4831893174886682E-2</v>
      </c>
      <c r="H19" s="9">
        <f t="shared" ref="H19:H25" si="17">H3-B3</f>
        <v>-2.0233456785405515E-2</v>
      </c>
      <c r="J19" s="9" t="s">
        <v>25</v>
      </c>
      <c r="K19" s="8">
        <f>(J3-J2) * (K3+K2)</f>
        <v>4.0057858493174094E-3</v>
      </c>
      <c r="L19" s="8">
        <f>(J3-J2) * (L3+L2)</f>
        <v>0</v>
      </c>
      <c r="M19" s="8">
        <f>(J3-J2) * (M3+M2)</f>
        <v>6.9743592912222749E-3</v>
      </c>
      <c r="N19" s="8">
        <f>(J3-J2) * (N3+N2)</f>
        <v>4.3096730516794203E-3</v>
      </c>
      <c r="O19" s="8">
        <f>(J3-J2) * (O3+O2)</f>
        <v>4.4413830312261251E-3</v>
      </c>
      <c r="P19" s="8">
        <f>(J3-J2) * (P3+P2)</f>
        <v>3.6842329716171001E-3</v>
      </c>
    </row>
    <row r="20" spans="2:16" x14ac:dyDescent="0.3">
      <c r="B20" s="9" t="s">
        <v>24</v>
      </c>
      <c r="C20" s="9">
        <f t="shared" si="12"/>
        <v>-1.3705269712550559E-3</v>
      </c>
      <c r="D20" s="9">
        <f t="shared" si="13"/>
        <v>-3.0216680817408904E-2</v>
      </c>
      <c r="E20" s="9">
        <f t="shared" si="14"/>
        <v>-1.4591680817408904E-2</v>
      </c>
      <c r="F20" s="9">
        <f t="shared" si="15"/>
        <v>-2.6304739208571799E-3</v>
      </c>
      <c r="G20" s="9">
        <f t="shared" si="16"/>
        <v>-1.5291307683080546E-2</v>
      </c>
      <c r="H20" s="9">
        <f t="shared" si="17"/>
        <v>2.6926176325448237E-2</v>
      </c>
      <c r="J20" s="9" t="s">
        <v>24</v>
      </c>
      <c r="K20" s="8">
        <f t="shared" ref="K20:K31" si="18">(J4-J3) * (K4+K3)</f>
        <v>6.1014451650537203E-3</v>
      </c>
      <c r="L20" s="8">
        <f t="shared" ref="L20:L31" si="19">(J4-J3) * (L4+L3)</f>
        <v>0</v>
      </c>
      <c r="M20" s="8">
        <f t="shared" ref="M20:M31" si="20">(J4-J3) * (M4+M3)</f>
        <v>8.0263058421242393E-3</v>
      </c>
      <c r="N20" s="8">
        <f t="shared" ref="N20:N31" si="21">(J4-J3) * (N4+N3)</f>
        <v>5.8349452612927533E-3</v>
      </c>
      <c r="O20" s="8">
        <f t="shared" ref="O20:O31" si="22">(J4-J3) * (O4+O3)</f>
        <v>5.4119428329687585E-3</v>
      </c>
      <c r="P20" s="8">
        <f t="shared" ref="P20:P31" si="23">(J4-J3) * (P4+P3)</f>
        <v>5.755558250935028E-3</v>
      </c>
    </row>
    <row r="21" spans="2:16" x14ac:dyDescent="0.3">
      <c r="B21" s="9" t="s">
        <v>28</v>
      </c>
      <c r="C21" s="9">
        <f t="shared" si="12"/>
        <v>1.7819534644864087E-2</v>
      </c>
      <c r="D21" s="9">
        <f t="shared" si="13"/>
        <v>2.6885468710798149E-2</v>
      </c>
      <c r="E21" s="9">
        <f t="shared" si="14"/>
        <v>-3.0257388432058992E-2</v>
      </c>
      <c r="F21" s="9">
        <f t="shared" si="15"/>
        <v>-1.6464284983783131E-2</v>
      </c>
      <c r="G21" s="9">
        <f t="shared" si="16"/>
        <v>-1.5332015297730634E-2</v>
      </c>
      <c r="H21" s="9">
        <f t="shared" si="17"/>
        <v>-1.6859598606304219E-3</v>
      </c>
      <c r="J21" s="9" t="s">
        <v>28</v>
      </c>
      <c r="K21" s="8">
        <f t="shared" si="18"/>
        <v>8.4371563897087595E-3</v>
      </c>
      <c r="L21" s="8">
        <f t="shared" si="19"/>
        <v>1.7289936246890855E-3</v>
      </c>
      <c r="M21" s="8">
        <f t="shared" si="20"/>
        <v>8.5098904965165926E-3</v>
      </c>
      <c r="N21" s="8">
        <f t="shared" si="21"/>
        <v>7.0948359082069366E-3</v>
      </c>
      <c r="O21" s="8">
        <f t="shared" si="22"/>
        <v>6.3224393738630733E-3</v>
      </c>
      <c r="P21" s="8">
        <f t="shared" si="23"/>
        <v>8.3568025193305803E-3</v>
      </c>
    </row>
    <row r="22" spans="2:16" x14ac:dyDescent="0.3">
      <c r="B22" s="9" t="s">
        <v>27</v>
      </c>
      <c r="C22" s="9">
        <f t="shared" si="12"/>
        <v>7.2878931975339234E-3</v>
      </c>
      <c r="D22" s="9">
        <f t="shared" si="13"/>
        <v>-2.6503315593674873E-2</v>
      </c>
      <c r="E22" s="9">
        <f t="shared" si="14"/>
        <v>2.1710970120610844E-2</v>
      </c>
      <c r="F22" s="9">
        <f t="shared" si="15"/>
        <v>-2.0099374706975363E-2</v>
      </c>
      <c r="G22" s="9">
        <f t="shared" si="16"/>
        <v>-2.5863656745060797E-2</v>
      </c>
      <c r="H22" s="9">
        <f t="shared" si="17"/>
        <v>-4.0789029879389156E-2</v>
      </c>
      <c r="J22" s="9" t="s">
        <v>27</v>
      </c>
      <c r="K22" s="8">
        <f t="shared" si="18"/>
        <v>1.5295886204770936E-2</v>
      </c>
      <c r="L22" s="8">
        <f t="shared" si="19"/>
        <v>5.2443038416357494E-3</v>
      </c>
      <c r="M22" s="8">
        <f t="shared" si="20"/>
        <v>1.4021229021040025E-2</v>
      </c>
      <c r="N22" s="8">
        <f t="shared" si="21"/>
        <v>1.0970842519283982E-2</v>
      </c>
      <c r="O22" s="8">
        <f t="shared" si="22"/>
        <v>9.7406638517944285E-3</v>
      </c>
      <c r="P22" s="8">
        <f t="shared" si="23"/>
        <v>1.243094243943289E-2</v>
      </c>
    </row>
    <row r="23" spans="2:16" x14ac:dyDescent="0.3">
      <c r="B23" s="9" t="s">
        <v>18</v>
      </c>
      <c r="C23" s="9">
        <f t="shared" si="12"/>
        <v>-5.4329008783003327E-3</v>
      </c>
      <c r="D23" s="9">
        <f t="shared" si="13"/>
        <v>-1.5323010768410226E-2</v>
      </c>
      <c r="E23" s="9">
        <f t="shared" si="14"/>
        <v>1.8605560660161204E-2</v>
      </c>
      <c r="F23" s="9">
        <f t="shared" si="15"/>
        <v>-9.4116807191491417E-3</v>
      </c>
      <c r="G23" s="9">
        <f t="shared" si="16"/>
        <v>-2.150637963834626E-2</v>
      </c>
      <c r="H23" s="9">
        <f t="shared" si="17"/>
        <v>-5.7992012446006977E-3</v>
      </c>
      <c r="J23" s="9" t="s">
        <v>18</v>
      </c>
      <c r="K23" s="8">
        <f t="shared" si="18"/>
        <v>2.0258972003002525E-2</v>
      </c>
      <c r="L23" s="8">
        <f t="shared" si="19"/>
        <v>7.524761029686652E-3</v>
      </c>
      <c r="M23" s="8">
        <f t="shared" si="20"/>
        <v>2.0575518440549438E-2</v>
      </c>
      <c r="N23" s="8">
        <f t="shared" si="21"/>
        <v>1.4227852751533959E-2</v>
      </c>
      <c r="O23" s="8">
        <f t="shared" si="22"/>
        <v>1.2120106384880865E-2</v>
      </c>
      <c r="P23" s="8">
        <f t="shared" si="23"/>
        <v>1.5049522059373304E-2</v>
      </c>
    </row>
    <row r="24" spans="2:16" x14ac:dyDescent="0.3">
      <c r="B24" s="9" t="s">
        <v>23</v>
      </c>
      <c r="C24" s="9">
        <f t="shared" si="12"/>
        <v>-2.1747595790385307E-2</v>
      </c>
      <c r="D24" s="9">
        <f t="shared" si="13"/>
        <v>-2.2022321065110585E-2</v>
      </c>
      <c r="E24" s="9">
        <f t="shared" si="14"/>
        <v>2.7531250363460845E-2</v>
      </c>
      <c r="F24" s="9">
        <f t="shared" si="15"/>
        <v>-2.3178875675736385E-3</v>
      </c>
      <c r="G24" s="9">
        <f t="shared" si="16"/>
        <v>1.6570429467938456E-2</v>
      </c>
      <c r="H24" s="9">
        <f t="shared" si="17"/>
        <v>2.5596726553937042E-2</v>
      </c>
      <c r="J24" s="9" t="s">
        <v>23</v>
      </c>
      <c r="K24" s="8">
        <f t="shared" si="18"/>
        <v>2.6756309903938975E-2</v>
      </c>
      <c r="L24" s="8">
        <f t="shared" si="19"/>
        <v>1.1564285631208947E-2</v>
      </c>
      <c r="M24" s="8">
        <f t="shared" si="20"/>
        <v>3.0830566184766043E-2</v>
      </c>
      <c r="N24" s="8">
        <f t="shared" si="21"/>
        <v>2.0586422265902137E-2</v>
      </c>
      <c r="O24" s="8">
        <f t="shared" si="22"/>
        <v>1.8500699493958349E-2</v>
      </c>
      <c r="P24" s="8">
        <f t="shared" si="23"/>
        <v>2.3128571262417897E-2</v>
      </c>
    </row>
    <row r="25" spans="2:16" x14ac:dyDescent="0.3">
      <c r="B25" s="9" t="s">
        <v>26</v>
      </c>
      <c r="C25" s="9">
        <f t="shared" si="12"/>
        <v>-4.0487301460911292E-2</v>
      </c>
      <c r="D25" s="9">
        <f t="shared" si="13"/>
        <v>-2.5752135488233824E-3</v>
      </c>
      <c r="E25" s="9">
        <f t="shared" si="14"/>
        <v>-2.8468070691680523E-2</v>
      </c>
      <c r="F25" s="9">
        <f t="shared" si="15"/>
        <v>-3.21318637951288E-2</v>
      </c>
      <c r="G25" s="9">
        <f t="shared" si="16"/>
        <v>-7.4792647215312716E-3</v>
      </c>
      <c r="H25" s="9">
        <f t="shared" si="17"/>
        <v>-5.0194261167870999E-2</v>
      </c>
      <c r="J25" s="9" t="s">
        <v>26</v>
      </c>
      <c r="K25" s="8">
        <f t="shared" si="18"/>
        <v>3.4452733091354132E-2</v>
      </c>
      <c r="L25" s="8">
        <f t="shared" si="19"/>
        <v>1.8768536503099585E-2</v>
      </c>
      <c r="M25" s="8">
        <f t="shared" si="20"/>
        <v>4.2922363309645363E-2</v>
      </c>
      <c r="N25" s="8">
        <f t="shared" si="21"/>
        <v>2.8829413437363002E-2</v>
      </c>
      <c r="O25" s="8">
        <f t="shared" si="22"/>
        <v>2.8967720857904722E-2</v>
      </c>
      <c r="P25" s="8">
        <f t="shared" si="23"/>
        <v>3.241838123262656E-2</v>
      </c>
    </row>
    <row r="26" spans="2:16" x14ac:dyDescent="0.3">
      <c r="B26" s="9" t="s">
        <v>22</v>
      </c>
      <c r="C26" s="9">
        <f t="shared" si="12"/>
        <v>-1.5147817848186536E-2</v>
      </c>
      <c r="D26" s="9">
        <f t="shared" ref="D26:D31" si="24">D10-B10</f>
        <v>-3.4653312353681048E-2</v>
      </c>
      <c r="E26" s="9">
        <f t="shared" ref="E26:E31" si="25">E10-B10</f>
        <v>-3.1974740925109615E-2</v>
      </c>
      <c r="F26" s="9">
        <f t="shared" ref="F26:F31" si="26">F10-B10</f>
        <v>-3.5638534028557892E-2</v>
      </c>
      <c r="G26" s="9">
        <f t="shared" ref="G26:G31" si="27">G10-B10</f>
        <v>-4.8299367790781256E-2</v>
      </c>
      <c r="H26" s="9">
        <f t="shared" ref="H26:H31" si="28">H10-B10</f>
        <v>-4.4177121877490566E-2</v>
      </c>
      <c r="J26" s="9" t="s">
        <v>22</v>
      </c>
      <c r="K26" s="8">
        <f t="shared" si="18"/>
        <v>4.0731323480599449E-2</v>
      </c>
      <c r="L26" s="8">
        <f t="shared" si="19"/>
        <v>2.5289896370043839E-2</v>
      </c>
      <c r="M26" s="8">
        <f t="shared" si="20"/>
        <v>4.9394328847741878E-2</v>
      </c>
      <c r="N26" s="8">
        <f t="shared" si="21"/>
        <v>3.4010550290748613E-2</v>
      </c>
      <c r="O26" s="8">
        <f t="shared" si="22"/>
        <v>3.4915155436254557E-2</v>
      </c>
      <c r="P26" s="8">
        <f t="shared" si="23"/>
        <v>3.6128423385776924E-2</v>
      </c>
    </row>
    <row r="27" spans="2:16" x14ac:dyDescent="0.3">
      <c r="B27" s="9" t="s">
        <v>29</v>
      </c>
      <c r="C27" s="9">
        <f t="shared" si="12"/>
        <v>-2.8822333181537166E-2</v>
      </c>
      <c r="D27" s="9">
        <f t="shared" si="24"/>
        <v>4.1446997854957951E-3</v>
      </c>
      <c r="E27" s="9">
        <f t="shared" si="25"/>
        <v>-2.040887164307563E-2</v>
      </c>
      <c r="F27" s="9">
        <f t="shared" si="26"/>
        <v>7.7543714563820934E-2</v>
      </c>
      <c r="G27" s="9">
        <f t="shared" si="27"/>
        <v>-2.2507752240090557E-2</v>
      </c>
      <c r="H27" s="9">
        <f t="shared" si="28"/>
        <v>-1.0141014500218488E-2</v>
      </c>
      <c r="J27" s="9" t="s">
        <v>29</v>
      </c>
      <c r="K27" s="8">
        <f t="shared" si="18"/>
        <v>4.9168983123786043E-2</v>
      </c>
      <c r="L27" s="8">
        <f t="shared" si="19"/>
        <v>3.3641935821537822E-2</v>
      </c>
      <c r="M27" s="8">
        <f t="shared" si="20"/>
        <v>5.782207719326813E-2</v>
      </c>
      <c r="N27" s="8">
        <f t="shared" si="21"/>
        <v>4.7794750201633047E-2</v>
      </c>
      <c r="O27" s="8">
        <f t="shared" si="22"/>
        <v>4.1173712498001509E-2</v>
      </c>
      <c r="P27" s="8">
        <f t="shared" si="23"/>
        <v>4.3574316873610901E-2</v>
      </c>
    </row>
    <row r="28" spans="2:16" x14ac:dyDescent="0.3">
      <c r="B28" s="9" t="s">
        <v>19</v>
      </c>
      <c r="C28" s="9">
        <f t="shared" si="12"/>
        <v>5.2776751389203291E-3</v>
      </c>
      <c r="D28" s="9">
        <f t="shared" si="24"/>
        <v>2.8354598215843407E-2</v>
      </c>
      <c r="E28" s="9">
        <f t="shared" si="25"/>
        <v>6.4795982158434018E-3</v>
      </c>
      <c r="F28" s="9">
        <f t="shared" si="26"/>
        <v>1.1113218905498573E-2</v>
      </c>
      <c r="G28" s="9">
        <f t="shared" si="27"/>
        <v>-4.4812226796789867E-3</v>
      </c>
      <c r="H28" s="9">
        <f t="shared" si="28"/>
        <v>-4.3073973212728031E-2</v>
      </c>
      <c r="J28" s="9" t="s">
        <v>19</v>
      </c>
      <c r="K28" s="8">
        <f t="shared" si="18"/>
        <v>6.0623032278901749E-2</v>
      </c>
      <c r="L28" s="8">
        <f t="shared" si="19"/>
        <v>4.8104769769362302E-2</v>
      </c>
      <c r="M28" s="8">
        <f t="shared" si="20"/>
        <v>7.0525942381279183E-2</v>
      </c>
      <c r="N28" s="8">
        <f t="shared" si="21"/>
        <v>6.7198445811346916E-2</v>
      </c>
      <c r="O28" s="8">
        <f t="shared" si="22"/>
        <v>5.1862716216889496E-2</v>
      </c>
      <c r="P28" s="8">
        <f t="shared" si="23"/>
        <v>5.2539961308381539E-2</v>
      </c>
    </row>
    <row r="29" spans="2:16" x14ac:dyDescent="0.3">
      <c r="B29" s="9" t="s">
        <v>21</v>
      </c>
      <c r="C29" s="9">
        <f t="shared" si="12"/>
        <v>-2.2691028310132977E-2</v>
      </c>
      <c r="D29" s="9">
        <f t="shared" si="24"/>
        <v>-1.8570149189253857E-2</v>
      </c>
      <c r="E29" s="9">
        <f t="shared" si="25"/>
        <v>8.1876279382174719E-2</v>
      </c>
      <c r="F29" s="9">
        <f t="shared" si="26"/>
        <v>-6.2412513721273558E-2</v>
      </c>
      <c r="G29" s="9">
        <f t="shared" si="27"/>
        <v>-3.7759914647676029E-2</v>
      </c>
      <c r="H29" s="9">
        <f t="shared" si="28"/>
        <v>1.4763184144079483E-2</v>
      </c>
      <c r="J29" s="9" t="s">
        <v>21</v>
      </c>
      <c r="K29" s="8">
        <f t="shared" si="18"/>
        <v>8.9133348304192395E-2</v>
      </c>
      <c r="L29" s="8">
        <f t="shared" si="19"/>
        <v>7.5856064520738481E-2</v>
      </c>
      <c r="M29" s="8">
        <f t="shared" si="20"/>
        <v>0.11109217076262813</v>
      </c>
      <c r="N29" s="8">
        <f t="shared" si="21"/>
        <v>9.4343486440754812E-2</v>
      </c>
      <c r="O29" s="8">
        <f t="shared" si="22"/>
        <v>7.5894443506076589E-2</v>
      </c>
      <c r="P29" s="8">
        <f t="shared" si="23"/>
        <v>7.7998891202115297E-2</v>
      </c>
    </row>
    <row r="30" spans="2:16" x14ac:dyDescent="0.3">
      <c r="B30" s="9" t="s">
        <v>20</v>
      </c>
      <c r="C30" s="9">
        <f t="shared" si="12"/>
        <v>-2.3611870340431967E-2</v>
      </c>
      <c r="D30" s="9">
        <f t="shared" si="24"/>
        <v>-4.8611870340431962E-2</v>
      </c>
      <c r="E30" s="9">
        <f t="shared" si="25"/>
        <v>-7.9868703404319674E-3</v>
      </c>
      <c r="F30" s="9">
        <f t="shared" si="26"/>
        <v>-7.9646353099052658E-2</v>
      </c>
      <c r="G30" s="9">
        <f t="shared" si="27"/>
        <v>-3.6671571832969277E-2</v>
      </c>
      <c r="H30" s="9">
        <f t="shared" si="28"/>
        <v>-7.242139414995577E-2</v>
      </c>
      <c r="J30" s="9" t="s">
        <v>20</v>
      </c>
      <c r="K30" s="8">
        <f t="shared" si="18"/>
        <v>0.17576211588339555</v>
      </c>
      <c r="L30" s="8">
        <f t="shared" si="19"/>
        <v>0.15073489705958101</v>
      </c>
      <c r="M30" s="8">
        <f t="shared" si="20"/>
        <v>0.22988398693285575</v>
      </c>
      <c r="N30" s="8">
        <f t="shared" si="21"/>
        <v>0.17013496880352905</v>
      </c>
      <c r="O30" s="8">
        <f t="shared" si="22"/>
        <v>0.1497209141489427</v>
      </c>
      <c r="P30" s="8">
        <f t="shared" si="23"/>
        <v>0.15568862607092879</v>
      </c>
    </row>
    <row r="31" spans="2:16" x14ac:dyDescent="0.3">
      <c r="B31" s="9" t="s">
        <v>16</v>
      </c>
      <c r="C31" s="9">
        <f t="shared" si="12"/>
        <v>9.9698316315164598E-2</v>
      </c>
      <c r="D31" s="9">
        <f t="shared" si="24"/>
        <v>0.19640161301846129</v>
      </c>
      <c r="E31" s="9">
        <f t="shared" si="25"/>
        <v>-9.0205529838681547E-2</v>
      </c>
      <c r="F31" s="9">
        <f t="shared" si="26"/>
        <v>0.14664791843718053</v>
      </c>
      <c r="G31" s="9">
        <f t="shared" si="27"/>
        <v>0.19384297762400501</v>
      </c>
      <c r="H31" s="9">
        <f t="shared" si="28"/>
        <v>0.19163970825655655</v>
      </c>
      <c r="J31" s="9" t="s">
        <v>16</v>
      </c>
      <c r="K31" s="8">
        <f t="shared" si="18"/>
        <v>0.4075995301178193</v>
      </c>
      <c r="L31" s="8">
        <f t="shared" si="19"/>
        <v>0.38376646789166108</v>
      </c>
      <c r="M31" s="8">
        <f t="shared" si="20"/>
        <v>0.45440238314006898</v>
      </c>
      <c r="N31" s="8">
        <f t="shared" si="21"/>
        <v>0.39602854105112262</v>
      </c>
      <c r="O31" s="8">
        <f t="shared" si="22"/>
        <v>0.38439705773346589</v>
      </c>
      <c r="P31" s="8">
        <f t="shared" si="23"/>
        <v>0.38494006565279776</v>
      </c>
    </row>
    <row r="32" spans="2:16" x14ac:dyDescent="0.3">
      <c r="J32" s="11" t="s">
        <v>77</v>
      </c>
      <c r="K32" s="11">
        <f>SUM(K18:K31)</f>
        <v>0.93965129678356152</v>
      </c>
      <c r="L32" s="11">
        <f t="shared" ref="L32:P32" si="29">SUM(L18:L31)</f>
        <v>0.7622249120632445</v>
      </c>
      <c r="M32" s="11">
        <f t="shared" si="29"/>
        <v>1.1079947574407703</v>
      </c>
      <c r="N32" s="11">
        <f t="shared" si="29"/>
        <v>0.90307492888199237</v>
      </c>
      <c r="O32" s="11">
        <f t="shared" si="29"/>
        <v>0.82531954609534119</v>
      </c>
      <c r="P32" s="11">
        <f t="shared" si="29"/>
        <v>0.8532687660718925</v>
      </c>
    </row>
    <row r="33" spans="10:16" x14ac:dyDescent="0.3">
      <c r="J33" s="12" t="s">
        <v>78</v>
      </c>
      <c r="K33" s="12">
        <f>1-K32</f>
        <v>6.0348703216438482E-2</v>
      </c>
      <c r="L33" s="12">
        <f t="shared" ref="L33:P33" si="30">1-L32</f>
        <v>0.2377750879367555</v>
      </c>
      <c r="M33" s="12">
        <f t="shared" si="30"/>
        <v>-0.10799475744077025</v>
      </c>
      <c r="N33" s="12">
        <f t="shared" si="30"/>
        <v>9.6925071118007633E-2</v>
      </c>
      <c r="O33" s="12">
        <f t="shared" si="30"/>
        <v>0.17468045390465881</v>
      </c>
      <c r="P33" s="12">
        <f t="shared" si="30"/>
        <v>0.1467312339281075</v>
      </c>
    </row>
  </sheetData>
  <sortState xmlns:xlrd2="http://schemas.microsoft.com/office/spreadsheetml/2017/richdata2" ref="A2:P16">
    <sortCondition ref="B1:B16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43D6-10CA-4F4E-B6AC-D0BCE921BA8C}">
  <dimension ref="A1:P17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33</v>
      </c>
      <c r="B2" s="9">
        <v>7.9794890248290756E-2</v>
      </c>
      <c r="C2" s="9">
        <v>0.1891891891891892</v>
      </c>
      <c r="D2" s="9">
        <v>0.15384615384615385</v>
      </c>
      <c r="E2" s="9">
        <v>0.16666666666666666</v>
      </c>
      <c r="F2" s="9">
        <v>8.3333333333333329E-2</v>
      </c>
      <c r="G2" s="9">
        <v>6.1728395061728392E-2</v>
      </c>
      <c r="H2" s="9">
        <v>0.10526315789473684</v>
      </c>
      <c r="I2" s="9">
        <v>7.9794890248290756E-2</v>
      </c>
      <c r="J2" s="9">
        <v>7.9794890248290756E-2</v>
      </c>
      <c r="K2" s="9">
        <v>0.1891891891891892</v>
      </c>
      <c r="L2" s="9">
        <v>0.15384615384615385</v>
      </c>
      <c r="M2" s="9">
        <v>0.16666666666666666</v>
      </c>
      <c r="N2" s="9">
        <v>8.3333333333333329E-2</v>
      </c>
      <c r="O2" s="9">
        <v>6.1728395061728392E-2</v>
      </c>
      <c r="P2" s="9">
        <v>0.10526315789473684</v>
      </c>
    </row>
    <row r="3" spans="1:16" x14ac:dyDescent="0.3">
      <c r="A3" s="9" t="s">
        <v>31</v>
      </c>
      <c r="B3" s="9">
        <v>8.4090500179920841E-2</v>
      </c>
      <c r="C3" s="9">
        <v>2.7027027027027029E-2</v>
      </c>
      <c r="D3" s="9">
        <v>0.15384615384615385</v>
      </c>
      <c r="E3" s="9">
        <v>0</v>
      </c>
      <c r="F3" s="9">
        <v>0.13095238095238096</v>
      </c>
      <c r="G3" s="9">
        <v>6.1728395061728392E-2</v>
      </c>
      <c r="H3" s="9">
        <v>2.6315789473684209E-2</v>
      </c>
      <c r="I3" s="9">
        <v>0.1638853904282116</v>
      </c>
      <c r="J3" s="9">
        <f t="shared" ref="J3:P7" si="0">J2+B3</f>
        <v>0.1638853904282116</v>
      </c>
      <c r="K3" s="9">
        <f t="shared" si="0"/>
        <v>0.21621621621621623</v>
      </c>
      <c r="L3" s="9">
        <f t="shared" si="0"/>
        <v>0.30769230769230771</v>
      </c>
      <c r="M3" s="9">
        <f t="shared" si="0"/>
        <v>0.16666666666666666</v>
      </c>
      <c r="N3" s="9">
        <f t="shared" si="0"/>
        <v>0.2142857142857143</v>
      </c>
      <c r="O3" s="9">
        <f t="shared" si="0"/>
        <v>0.12345679012345678</v>
      </c>
      <c r="P3" s="9">
        <f t="shared" si="0"/>
        <v>0.13157894736842105</v>
      </c>
    </row>
    <row r="4" spans="1:16" x14ac:dyDescent="0.3">
      <c r="A4" s="9" t="s">
        <v>35</v>
      </c>
      <c r="B4" s="9">
        <v>8.6609391867578267E-2</v>
      </c>
      <c r="C4" s="9">
        <v>0.13513513513513514</v>
      </c>
      <c r="D4" s="9">
        <v>7.6923076923076927E-2</v>
      </c>
      <c r="E4" s="9">
        <v>0.1111111111111111</v>
      </c>
      <c r="F4" s="9">
        <v>4.7619047619047616E-2</v>
      </c>
      <c r="G4" s="9">
        <v>7.407407407407407E-2</v>
      </c>
      <c r="H4" s="9">
        <v>5.2631578947368418E-2</v>
      </c>
      <c r="I4" s="9">
        <v>0.25049478229578986</v>
      </c>
      <c r="J4" s="9">
        <f t="shared" si="0"/>
        <v>0.25049478229578986</v>
      </c>
      <c r="K4" s="9">
        <f t="shared" si="0"/>
        <v>0.35135135135135137</v>
      </c>
      <c r="L4" s="9">
        <f t="shared" si="0"/>
        <v>0.38461538461538464</v>
      </c>
      <c r="M4" s="9">
        <f t="shared" si="0"/>
        <v>0.27777777777777779</v>
      </c>
      <c r="N4" s="9">
        <f t="shared" si="0"/>
        <v>0.26190476190476192</v>
      </c>
      <c r="O4" s="9">
        <f t="shared" si="0"/>
        <v>0.19753086419753085</v>
      </c>
      <c r="P4" s="9">
        <f t="shared" si="0"/>
        <v>0.18421052631578946</v>
      </c>
    </row>
    <row r="5" spans="1:16" x14ac:dyDescent="0.3">
      <c r="A5" s="9" t="s">
        <v>34</v>
      </c>
      <c r="B5" s="9">
        <v>9.5830334652752786E-2</v>
      </c>
      <c r="C5" s="9">
        <v>5.4054054054054057E-2</v>
      </c>
      <c r="D5" s="9">
        <v>0</v>
      </c>
      <c r="E5" s="9">
        <v>0.1111111111111111</v>
      </c>
      <c r="F5" s="9">
        <v>0</v>
      </c>
      <c r="G5" s="9">
        <v>3.7037037037037035E-2</v>
      </c>
      <c r="H5" s="9">
        <v>2.6315789473684209E-2</v>
      </c>
      <c r="I5" s="9">
        <v>0.34632511694854262</v>
      </c>
      <c r="J5" s="9">
        <f t="shared" si="0"/>
        <v>0.34632511694854262</v>
      </c>
      <c r="K5" s="9">
        <f t="shared" si="0"/>
        <v>0.40540540540540543</v>
      </c>
      <c r="L5" s="9">
        <f t="shared" si="0"/>
        <v>0.38461538461538464</v>
      </c>
      <c r="M5" s="9">
        <f t="shared" si="0"/>
        <v>0.3888888888888889</v>
      </c>
      <c r="N5" s="9">
        <f t="shared" si="0"/>
        <v>0.26190476190476192</v>
      </c>
      <c r="O5" s="9">
        <f t="shared" si="0"/>
        <v>0.23456790123456789</v>
      </c>
      <c r="P5" s="9">
        <f t="shared" si="0"/>
        <v>0.21052631578947367</v>
      </c>
    </row>
    <row r="6" spans="1:16" x14ac:dyDescent="0.3">
      <c r="A6" s="9" t="s">
        <v>32</v>
      </c>
      <c r="B6" s="9">
        <v>0.13174703130622525</v>
      </c>
      <c r="C6" s="9">
        <v>0.13513513513513514</v>
      </c>
      <c r="D6" s="9">
        <v>0.23076923076923078</v>
      </c>
      <c r="E6" s="9">
        <v>0</v>
      </c>
      <c r="F6" s="9">
        <v>0.27380952380952384</v>
      </c>
      <c r="G6" s="9">
        <v>9.8765432098765427E-2</v>
      </c>
      <c r="H6" s="9">
        <v>2.6315789473684209E-2</v>
      </c>
      <c r="I6" s="9">
        <v>0.47807214825476785</v>
      </c>
      <c r="J6" s="9">
        <f t="shared" si="0"/>
        <v>0.47807214825476785</v>
      </c>
      <c r="K6" s="9">
        <f t="shared" si="0"/>
        <v>0.54054054054054057</v>
      </c>
      <c r="L6" s="9">
        <f t="shared" si="0"/>
        <v>0.61538461538461542</v>
      </c>
      <c r="M6" s="9">
        <f t="shared" si="0"/>
        <v>0.3888888888888889</v>
      </c>
      <c r="N6" s="9">
        <f t="shared" si="0"/>
        <v>0.53571428571428581</v>
      </c>
      <c r="O6" s="9">
        <f t="shared" si="0"/>
        <v>0.33333333333333331</v>
      </c>
      <c r="P6" s="9">
        <f t="shared" si="0"/>
        <v>0.23684210526315788</v>
      </c>
    </row>
    <row r="7" spans="1:16" x14ac:dyDescent="0.3">
      <c r="A7" s="9" t="s">
        <v>30</v>
      </c>
      <c r="B7" s="9">
        <v>0.52192785174523215</v>
      </c>
      <c r="C7" s="9">
        <v>0.45945945945945948</v>
      </c>
      <c r="D7" s="9">
        <v>0.38461538461538464</v>
      </c>
      <c r="E7" s="9">
        <v>0.61111111111111116</v>
      </c>
      <c r="F7" s="9">
        <v>0.4642857142857143</v>
      </c>
      <c r="G7" s="9">
        <v>0.66666666666666663</v>
      </c>
      <c r="H7" s="9">
        <v>0.76315789473684215</v>
      </c>
      <c r="I7" s="9">
        <v>1</v>
      </c>
      <c r="J7" s="9">
        <f t="shared" si="0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</row>
    <row r="9" spans="1:16" ht="28.8" x14ac:dyDescent="0.3">
      <c r="B9" s="1" t="s">
        <v>8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J9" s="1" t="s">
        <v>8</v>
      </c>
      <c r="K9" s="11" t="s">
        <v>71</v>
      </c>
      <c r="L9" s="11" t="s">
        <v>72</v>
      </c>
      <c r="M9" s="11" t="s">
        <v>73</v>
      </c>
      <c r="N9" s="11" t="s">
        <v>74</v>
      </c>
      <c r="O9" s="11" t="s">
        <v>75</v>
      </c>
      <c r="P9" s="11" t="s">
        <v>76</v>
      </c>
    </row>
    <row r="10" spans="1:16" x14ac:dyDescent="0.3">
      <c r="B10" s="9" t="s">
        <v>33</v>
      </c>
      <c r="C10" s="9">
        <f>C2-B2</f>
        <v>0.10939429894089844</v>
      </c>
      <c r="D10" s="9">
        <f>D2-B2</f>
        <v>7.4051263597863098E-2</v>
      </c>
      <c r="E10" s="9">
        <f>E2-B2</f>
        <v>8.6871776418375901E-2</v>
      </c>
      <c r="F10" s="9">
        <f>F2-B2</f>
        <v>3.5384430850425724E-3</v>
      </c>
      <c r="G10" s="9">
        <f>G2-B2</f>
        <v>-1.8066495186562365E-2</v>
      </c>
      <c r="H10" s="9">
        <f>H2-B2</f>
        <v>2.546826764644608E-2</v>
      </c>
      <c r="J10" s="9" t="s">
        <v>33</v>
      </c>
      <c r="K10" s="8">
        <f>(J2-0) * ((K2+0))</f>
        <v>1.5096330587514467E-2</v>
      </c>
      <c r="L10" s="8">
        <f>(J2-0) * ((L2+0))</f>
        <v>1.2276136961275502E-2</v>
      </c>
      <c r="M10" s="8">
        <f>(J2-0) * ((M2+0))</f>
        <v>1.3299148374715125E-2</v>
      </c>
      <c r="N10" s="8">
        <f>(J2-0) * ((N2+0))</f>
        <v>6.6495741873575627E-3</v>
      </c>
      <c r="O10" s="8">
        <f>(J2-0) * ((O2+0))</f>
        <v>4.9256105091537499E-3</v>
      </c>
      <c r="P10" s="8">
        <f>(J2-0) * ((P2+0))</f>
        <v>8.399462131399027E-3</v>
      </c>
    </row>
    <row r="11" spans="1:16" x14ac:dyDescent="0.3">
      <c r="B11" s="9" t="s">
        <v>31</v>
      </c>
      <c r="C11" s="9">
        <f t="shared" ref="C11:C15" si="1">C3-B3</f>
        <v>-5.7063473152893812E-2</v>
      </c>
      <c r="D11" s="9">
        <f t="shared" ref="D11:D15" si="2">D3-B3</f>
        <v>6.9755653666233014E-2</v>
      </c>
      <c r="E11" s="9">
        <f t="shared" ref="E11:E15" si="3">E3-B3</f>
        <v>-8.4090500179920841E-2</v>
      </c>
      <c r="F11" s="9">
        <f t="shared" ref="F11:F15" si="4">F3-B3</f>
        <v>4.6861880772460118E-2</v>
      </c>
      <c r="G11" s="9">
        <f t="shared" ref="G11:G15" si="5">G3-B3</f>
        <v>-2.2362105118192449E-2</v>
      </c>
      <c r="H11" s="9">
        <f t="shared" ref="H11:H15" si="6">H3-B3</f>
        <v>-5.7774710706236632E-2</v>
      </c>
      <c r="J11" s="9" t="s">
        <v>31</v>
      </c>
      <c r="K11" s="8">
        <f>(J3-J2) * ((K3+K2))</f>
        <v>3.4090743316184127E-2</v>
      </c>
      <c r="L11" s="8">
        <f>(J3-J2) * ((L3+L2))</f>
        <v>3.8811000083040392E-2</v>
      </c>
      <c r="M11" s="8">
        <f>(J3-J2) * ((M3+M2))</f>
        <v>2.8030166726640278E-2</v>
      </c>
      <c r="N11" s="8">
        <f>(J3-J2) * ((N3+N2))</f>
        <v>2.5026934577357392E-2</v>
      </c>
      <c r="O11" s="8">
        <f>(J3-J2) * ((O3+O2))</f>
        <v>1.5572314848133487E-2</v>
      </c>
      <c r="P11" s="8">
        <f>(J3-J2) * ((P3+P2))</f>
        <v>1.9916171095244409E-2</v>
      </c>
    </row>
    <row r="12" spans="1:16" x14ac:dyDescent="0.3">
      <c r="B12" s="9" t="s">
        <v>35</v>
      </c>
      <c r="C12" s="9">
        <f t="shared" si="1"/>
        <v>4.8525743267556876E-2</v>
      </c>
      <c r="D12" s="9">
        <f t="shared" si="2"/>
        <v>-9.6863149445013397E-3</v>
      </c>
      <c r="E12" s="9">
        <f t="shared" si="3"/>
        <v>2.4501719243532838E-2</v>
      </c>
      <c r="F12" s="9">
        <f t="shared" si="4"/>
        <v>-3.8990344248530651E-2</v>
      </c>
      <c r="G12" s="9">
        <f t="shared" si="5"/>
        <v>-1.2535317793504197E-2</v>
      </c>
      <c r="H12" s="9">
        <f t="shared" si="6"/>
        <v>-3.3977812920209849E-2</v>
      </c>
      <c r="J12" s="9" t="s">
        <v>35</v>
      </c>
      <c r="K12" s="8">
        <f t="shared" ref="K12:K15" si="7">(J4-J3) * ((K4+K3))</f>
        <v>4.9156681870787665E-2</v>
      </c>
      <c r="L12" s="8">
        <f t="shared" ref="L12:L15" si="8">(J4-J3) * ((L4+L3))</f>
        <v>5.9960348216015723E-2</v>
      </c>
      <c r="M12" s="8">
        <f t="shared" ref="M12:M15" si="9">(J4-J3) * ((M4+M3))</f>
        <v>3.8493063052257005E-2</v>
      </c>
      <c r="N12" s="8">
        <f t="shared" ref="N12:N15" si="10">(J4-J3) * ((N4+N3))</f>
        <v>4.1242567555989651E-2</v>
      </c>
      <c r="O12" s="8">
        <f t="shared" ref="O12:O15" si="11">(J4-J3) * ((O4+O3))</f>
        <v>2.780054553774117E-2</v>
      </c>
      <c r="P12" s="8">
        <f t="shared" ref="P12:P15" si="12">(J4-J3) * ((P4+P3))</f>
        <v>2.7350334273972082E-2</v>
      </c>
    </row>
    <row r="13" spans="1:16" x14ac:dyDescent="0.3">
      <c r="B13" s="9" t="s">
        <v>34</v>
      </c>
      <c r="C13" s="9">
        <f t="shared" si="1"/>
        <v>-4.1776280598698728E-2</v>
      </c>
      <c r="D13" s="9">
        <f t="shared" si="2"/>
        <v>-9.5830334652752786E-2</v>
      </c>
      <c r="E13" s="9">
        <f t="shared" si="3"/>
        <v>1.5280776458358319E-2</v>
      </c>
      <c r="F13" s="9">
        <f t="shared" si="4"/>
        <v>-9.5830334652752786E-2</v>
      </c>
      <c r="G13" s="9">
        <f t="shared" si="5"/>
        <v>-5.8793297615715751E-2</v>
      </c>
      <c r="H13" s="9">
        <f t="shared" si="6"/>
        <v>-6.9514545179068576E-2</v>
      </c>
      <c r="J13" s="9" t="s">
        <v>34</v>
      </c>
      <c r="K13" s="8">
        <f t="shared" si="7"/>
        <v>7.2520253250731817E-2</v>
      </c>
      <c r="L13" s="8">
        <f t="shared" si="8"/>
        <v>7.3715642040579052E-2</v>
      </c>
      <c r="M13" s="8">
        <f t="shared" si="9"/>
        <v>6.3886889768501848E-2</v>
      </c>
      <c r="N13" s="8">
        <f t="shared" si="10"/>
        <v>5.019684196096573E-2</v>
      </c>
      <c r="O13" s="8">
        <f t="shared" si="11"/>
        <v>4.140816929439934E-2</v>
      </c>
      <c r="P13" s="8">
        <f t="shared" si="12"/>
        <v>3.7827763678718193E-2</v>
      </c>
    </row>
    <row r="14" spans="1:16" x14ac:dyDescent="0.3">
      <c r="B14" s="9" t="s">
        <v>32</v>
      </c>
      <c r="C14" s="9">
        <f t="shared" si="1"/>
        <v>3.3881038289098886E-3</v>
      </c>
      <c r="D14" s="9">
        <f t="shared" si="2"/>
        <v>9.9022199463005528E-2</v>
      </c>
      <c r="E14" s="9">
        <f t="shared" si="3"/>
        <v>-0.13174703130622525</v>
      </c>
      <c r="F14" s="9">
        <f t="shared" si="4"/>
        <v>0.14206249250329858</v>
      </c>
      <c r="G14" s="9">
        <f t="shared" si="5"/>
        <v>-3.2981599207459827E-2</v>
      </c>
      <c r="H14" s="9">
        <f t="shared" si="6"/>
        <v>-0.10543124183254104</v>
      </c>
      <c r="J14" s="9" t="s">
        <v>32</v>
      </c>
      <c r="K14" s="8">
        <f t="shared" si="7"/>
        <v>0.12462557015453739</v>
      </c>
      <c r="L14" s="8">
        <f t="shared" si="8"/>
        <v>0.13174703130622523</v>
      </c>
      <c r="M14" s="8">
        <f t="shared" si="9"/>
        <v>0.10246991323817518</v>
      </c>
      <c r="N14" s="8">
        <f t="shared" si="10"/>
        <v>0.10508394163710823</v>
      </c>
      <c r="O14" s="8">
        <f t="shared" si="11"/>
        <v>7.4819301729461232E-2</v>
      </c>
      <c r="P14" s="8">
        <f t="shared" si="12"/>
        <v>5.8939461373837591E-2</v>
      </c>
    </row>
    <row r="15" spans="1:16" x14ac:dyDescent="0.3">
      <c r="B15" s="9" t="s">
        <v>30</v>
      </c>
      <c r="C15" s="9">
        <f t="shared" si="1"/>
        <v>-6.2468392285772667E-2</v>
      </c>
      <c r="D15" s="9">
        <f t="shared" si="2"/>
        <v>-0.13731246712984752</v>
      </c>
      <c r="E15" s="9">
        <f t="shared" si="3"/>
        <v>8.9183259365879008E-2</v>
      </c>
      <c r="F15" s="9">
        <f t="shared" si="4"/>
        <v>-5.764213745951785E-2</v>
      </c>
      <c r="G15" s="9">
        <f t="shared" si="5"/>
        <v>0.14473881492143448</v>
      </c>
      <c r="H15" s="9">
        <f t="shared" si="6"/>
        <v>0.24123004299160999</v>
      </c>
      <c r="J15" s="9" t="s">
        <v>30</v>
      </c>
      <c r="K15" s="8">
        <f t="shared" si="7"/>
        <v>0.80405101485076302</v>
      </c>
      <c r="L15" s="8">
        <f t="shared" si="8"/>
        <v>0.84311422204999042</v>
      </c>
      <c r="M15" s="8">
        <f t="shared" si="9"/>
        <v>0.72489979409060024</v>
      </c>
      <c r="N15" s="8">
        <f t="shared" si="10"/>
        <v>0.80153205803732086</v>
      </c>
      <c r="O15" s="8">
        <f t="shared" si="11"/>
        <v>0.69590380232697613</v>
      </c>
      <c r="P15" s="8">
        <f t="shared" si="12"/>
        <v>0.64554234294805035</v>
      </c>
    </row>
    <row r="16" spans="1:16" x14ac:dyDescent="0.3">
      <c r="J16" s="13" t="s">
        <v>77</v>
      </c>
      <c r="K16" s="11">
        <f>SUM(K10:K15)</f>
        <v>1.0995405940305185</v>
      </c>
      <c r="L16" s="11">
        <f t="shared" ref="L16:P16" si="13">SUM(L10:L15)</f>
        <v>1.1596243806571263</v>
      </c>
      <c r="M16" s="11">
        <f t="shared" si="13"/>
        <v>0.97107897525088971</v>
      </c>
      <c r="N16" s="11">
        <f t="shared" si="13"/>
        <v>1.0297319179560995</v>
      </c>
      <c r="O16" s="11">
        <f t="shared" si="13"/>
        <v>0.86042974424586505</v>
      </c>
      <c r="P16" s="11">
        <f t="shared" si="13"/>
        <v>0.79797553550122169</v>
      </c>
    </row>
    <row r="17" spans="10:16" x14ac:dyDescent="0.3">
      <c r="J17" s="14" t="s">
        <v>78</v>
      </c>
      <c r="K17" s="12">
        <f>1-K16</f>
        <v>-9.9540594030518514E-2</v>
      </c>
      <c r="L17" s="12">
        <f t="shared" ref="L17:P17" si="14">1-L16</f>
        <v>-0.15962438065712625</v>
      </c>
      <c r="M17" s="12">
        <f t="shared" si="14"/>
        <v>2.8921024749110291E-2</v>
      </c>
      <c r="N17" s="12">
        <f t="shared" si="14"/>
        <v>-2.9731917956099529E-2</v>
      </c>
      <c r="O17" s="12">
        <f t="shared" si="14"/>
        <v>0.13957025575413495</v>
      </c>
      <c r="P17" s="12">
        <f t="shared" si="14"/>
        <v>0.20202446449877831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2638-0F91-4756-9FB2-75C0AFBB6507}">
  <dimension ref="A1:P17"/>
  <sheetViews>
    <sheetView zoomScale="71"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40</v>
      </c>
      <c r="B2" s="9">
        <v>6.1316714049833021E-2</v>
      </c>
      <c r="C2" s="9">
        <v>1.5873015873015872E-2</v>
      </c>
      <c r="D2" s="9">
        <v>4.7619047619047616E-2</v>
      </c>
      <c r="E2" s="9">
        <v>0.1111111111111111</v>
      </c>
      <c r="F2" s="9">
        <v>4.7619047619047616E-2</v>
      </c>
      <c r="G2" s="9">
        <v>2.2222222222222223E-2</v>
      </c>
      <c r="H2" s="9">
        <v>3.3333333333333333E-2</v>
      </c>
      <c r="I2" s="9">
        <v>6.1316714049833021E-2</v>
      </c>
      <c r="J2" s="9">
        <v>6.1316714049833021E-2</v>
      </c>
      <c r="K2" s="9">
        <v>1.5873015873015872E-2</v>
      </c>
      <c r="L2" s="9">
        <v>4.7619047619047616E-2</v>
      </c>
      <c r="M2" s="9">
        <v>0.1111111111111111</v>
      </c>
      <c r="N2" s="9">
        <v>4.7619047619047616E-2</v>
      </c>
      <c r="O2" s="9">
        <v>2.2222222222222223E-2</v>
      </c>
      <c r="P2" s="9">
        <v>3.3333333333333333E-2</v>
      </c>
    </row>
    <row r="3" spans="1:16" x14ac:dyDescent="0.3">
      <c r="A3" s="9" t="s">
        <v>37</v>
      </c>
      <c r="B3" s="9">
        <v>8.2235657798358758E-2</v>
      </c>
      <c r="C3" s="9">
        <v>9.5238095238095233E-2</v>
      </c>
      <c r="D3" s="9">
        <v>9.5238095238095233E-2</v>
      </c>
      <c r="E3" s="9">
        <v>0.14814814814814814</v>
      </c>
      <c r="F3" s="9">
        <v>3.5714285714285712E-2</v>
      </c>
      <c r="G3" s="9">
        <v>2.2222222222222223E-2</v>
      </c>
      <c r="H3" s="9">
        <v>0.16666666666666666</v>
      </c>
      <c r="I3" s="9">
        <v>0.14355237184819178</v>
      </c>
      <c r="J3" s="9">
        <f t="shared" ref="J3:P7" si="0">J2+B3</f>
        <v>0.14355237184819178</v>
      </c>
      <c r="K3" s="9">
        <f t="shared" si="0"/>
        <v>0.1111111111111111</v>
      </c>
      <c r="L3" s="9">
        <f t="shared" si="0"/>
        <v>0.14285714285714285</v>
      </c>
      <c r="M3" s="9">
        <f t="shared" si="0"/>
        <v>0.25925925925925924</v>
      </c>
      <c r="N3" s="9">
        <f t="shared" si="0"/>
        <v>8.3333333333333329E-2</v>
      </c>
      <c r="O3" s="9">
        <f t="shared" si="0"/>
        <v>4.4444444444444446E-2</v>
      </c>
      <c r="P3" s="9">
        <f t="shared" si="0"/>
        <v>0.19999999999999998</v>
      </c>
    </row>
    <row r="4" spans="1:16" x14ac:dyDescent="0.3">
      <c r="A4" s="9" t="s">
        <v>41</v>
      </c>
      <c r="B4" s="9">
        <v>0.15189511974077891</v>
      </c>
      <c r="C4" s="9">
        <v>0.15873015873015872</v>
      </c>
      <c r="D4" s="9">
        <v>0.2857142857142857</v>
      </c>
      <c r="E4" s="9">
        <v>7.407407407407407E-2</v>
      </c>
      <c r="F4" s="9">
        <v>5.9523809523809521E-2</v>
      </c>
      <c r="G4" s="9">
        <v>6.6666666666666666E-2</v>
      </c>
      <c r="H4" s="9">
        <v>6.6666666666666666E-2</v>
      </c>
      <c r="I4" s="9">
        <v>0.29544749158897066</v>
      </c>
      <c r="J4" s="9">
        <f t="shared" si="0"/>
        <v>0.29544749158897066</v>
      </c>
      <c r="K4" s="9">
        <f t="shared" si="0"/>
        <v>0.26984126984126983</v>
      </c>
      <c r="L4" s="9">
        <f t="shared" si="0"/>
        <v>0.42857142857142855</v>
      </c>
      <c r="M4" s="9">
        <f t="shared" si="0"/>
        <v>0.33333333333333331</v>
      </c>
      <c r="N4" s="9">
        <f t="shared" si="0"/>
        <v>0.14285714285714285</v>
      </c>
      <c r="O4" s="9">
        <f t="shared" si="0"/>
        <v>0.1111111111111111</v>
      </c>
      <c r="P4" s="9">
        <f t="shared" si="0"/>
        <v>0.26666666666666666</v>
      </c>
    </row>
    <row r="5" spans="1:16" x14ac:dyDescent="0.3">
      <c r="A5" s="9" t="s">
        <v>38</v>
      </c>
      <c r="B5" s="9">
        <v>0.18688003575463383</v>
      </c>
      <c r="C5" s="9">
        <v>0.23809523809523808</v>
      </c>
      <c r="D5" s="9">
        <v>0.19047619047619047</v>
      </c>
      <c r="E5" s="9">
        <v>0.14814814814814814</v>
      </c>
      <c r="F5" s="9">
        <v>0.20238095238095238</v>
      </c>
      <c r="G5" s="9">
        <v>0.2</v>
      </c>
      <c r="H5" s="9">
        <v>0.16666666666666666</v>
      </c>
      <c r="I5" s="9">
        <v>0.48232752734360451</v>
      </c>
      <c r="J5" s="9">
        <f t="shared" si="0"/>
        <v>0.48232752734360451</v>
      </c>
      <c r="K5" s="9">
        <f t="shared" si="0"/>
        <v>0.50793650793650791</v>
      </c>
      <c r="L5" s="9">
        <f t="shared" si="0"/>
        <v>0.61904761904761907</v>
      </c>
      <c r="M5" s="9">
        <f t="shared" si="0"/>
        <v>0.48148148148148145</v>
      </c>
      <c r="N5" s="9">
        <f t="shared" si="0"/>
        <v>0.34523809523809523</v>
      </c>
      <c r="O5" s="9">
        <f t="shared" si="0"/>
        <v>0.31111111111111112</v>
      </c>
      <c r="P5" s="9">
        <f t="shared" si="0"/>
        <v>0.43333333333333335</v>
      </c>
    </row>
    <row r="6" spans="1:16" x14ac:dyDescent="0.3">
      <c r="A6" s="9" t="s">
        <v>39</v>
      </c>
      <c r="B6" s="9">
        <v>0.25699884542328272</v>
      </c>
      <c r="C6" s="9">
        <v>6.3492063492063489E-2</v>
      </c>
      <c r="D6" s="9">
        <v>0.23809523809523808</v>
      </c>
      <c r="E6" s="9">
        <v>0.25925925925925924</v>
      </c>
      <c r="F6" s="9">
        <v>0.26190476190476192</v>
      </c>
      <c r="G6" s="9">
        <v>0.24444444444444444</v>
      </c>
      <c r="H6" s="9">
        <v>0.33333333333333331</v>
      </c>
      <c r="I6" s="9">
        <v>0.73932637276688729</v>
      </c>
      <c r="J6" s="9">
        <f t="shared" si="0"/>
        <v>0.73932637276688729</v>
      </c>
      <c r="K6" s="9">
        <f t="shared" si="0"/>
        <v>0.5714285714285714</v>
      </c>
      <c r="L6" s="9">
        <f t="shared" si="0"/>
        <v>0.85714285714285721</v>
      </c>
      <c r="M6" s="9">
        <f t="shared" si="0"/>
        <v>0.7407407407407407</v>
      </c>
      <c r="N6" s="9">
        <f t="shared" si="0"/>
        <v>0.60714285714285721</v>
      </c>
      <c r="O6" s="9">
        <f t="shared" si="0"/>
        <v>0.55555555555555558</v>
      </c>
      <c r="P6" s="9">
        <f t="shared" si="0"/>
        <v>0.76666666666666661</v>
      </c>
    </row>
    <row r="7" spans="1:16" x14ac:dyDescent="0.3">
      <c r="A7" s="9" t="s">
        <v>36</v>
      </c>
      <c r="B7" s="9">
        <v>0.26067362723311277</v>
      </c>
      <c r="C7" s="9">
        <v>0.42857142857142855</v>
      </c>
      <c r="D7" s="9">
        <v>0.14285714285714285</v>
      </c>
      <c r="E7" s="9">
        <v>0.25925925925925924</v>
      </c>
      <c r="F7" s="9">
        <v>0.39285714285714285</v>
      </c>
      <c r="G7" s="9">
        <v>0.44444444444444442</v>
      </c>
      <c r="H7" s="9">
        <v>0.23333333333333334</v>
      </c>
      <c r="I7" s="9">
        <v>1</v>
      </c>
      <c r="J7" s="9">
        <f t="shared" si="0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</row>
    <row r="9" spans="1:16" ht="28.8" x14ac:dyDescent="0.3">
      <c r="B9" s="1" t="s">
        <v>8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J9" s="1" t="s">
        <v>8</v>
      </c>
      <c r="K9" s="11" t="s">
        <v>71</v>
      </c>
      <c r="L9" s="11" t="s">
        <v>72</v>
      </c>
      <c r="M9" s="11" t="s">
        <v>73</v>
      </c>
      <c r="N9" s="11" t="s">
        <v>74</v>
      </c>
      <c r="O9" s="11" t="s">
        <v>75</v>
      </c>
      <c r="P9" s="11" t="s">
        <v>76</v>
      </c>
    </row>
    <row r="10" spans="1:16" x14ac:dyDescent="0.3">
      <c r="B10" s="9" t="s">
        <v>40</v>
      </c>
      <c r="C10" s="9">
        <f>C2-B2</f>
        <v>-4.5443698176817149E-2</v>
      </c>
      <c r="D10" s="9">
        <f>D2-B2</f>
        <v>-1.3697666430785405E-2</v>
      </c>
      <c r="E10" s="9">
        <f>E2-B2</f>
        <v>4.9794397061278084E-2</v>
      </c>
      <c r="F10" s="9">
        <f>F2-B2</f>
        <v>-1.3697666430785405E-2</v>
      </c>
      <c r="G10" s="9">
        <f>G2-B2</f>
        <v>-3.9094491827610794E-2</v>
      </c>
      <c r="H10" s="9">
        <f>H2-B2</f>
        <v>-2.7983380716499688E-2</v>
      </c>
      <c r="J10" s="9" t="s">
        <v>40</v>
      </c>
      <c r="K10" s="8">
        <f>(J2-0) * ((K2+0))</f>
        <v>9.7328117539417487E-4</v>
      </c>
      <c r="L10" s="8">
        <f>(J2-0) * ((L2+0))</f>
        <v>2.9198435261825247E-3</v>
      </c>
      <c r="M10" s="8">
        <f>(J2-0) * ((M2+0))</f>
        <v>6.8129682277592238E-3</v>
      </c>
      <c r="N10" s="8">
        <f>(J2-0) * ((N2+0))</f>
        <v>2.9198435261825247E-3</v>
      </c>
      <c r="O10" s="8">
        <f>(J2-0) * ((O2+0))</f>
        <v>1.3625936455518449E-3</v>
      </c>
      <c r="P10" s="8">
        <f>(J2-0) * ((P2+0))</f>
        <v>2.0438904683277672E-3</v>
      </c>
    </row>
    <row r="11" spans="1:16" x14ac:dyDescent="0.3">
      <c r="B11" s="9" t="s">
        <v>37</v>
      </c>
      <c r="C11" s="9">
        <f t="shared" ref="C11:C15" si="1">C3-B3</f>
        <v>1.3002437439736475E-2</v>
      </c>
      <c r="D11" s="9">
        <f t="shared" ref="D11:D15" si="2">D3-B3</f>
        <v>1.3002437439736475E-2</v>
      </c>
      <c r="E11" s="9">
        <f t="shared" ref="E11:E15" si="3">E3-B3</f>
        <v>6.5912490349789382E-2</v>
      </c>
      <c r="F11" s="9">
        <f t="shared" ref="F11:F15" si="4">F3-B3</f>
        <v>-4.6521372084073045E-2</v>
      </c>
      <c r="G11" s="9">
        <f t="shared" ref="G11:G15" si="5">G3-B3</f>
        <v>-6.0013435576136531E-2</v>
      </c>
      <c r="H11" s="9">
        <f t="shared" ref="H11:H15" si="6">H3-B3</f>
        <v>8.44310088683079E-2</v>
      </c>
      <c r="J11" s="9" t="s">
        <v>37</v>
      </c>
      <c r="K11" s="8">
        <f>(J3-J2) * ((K3+K2))</f>
        <v>1.0442623212490001E-2</v>
      </c>
      <c r="L11" s="8">
        <f>(J3-J2) * ((L3+L2))</f>
        <v>1.5663934818735001E-2</v>
      </c>
      <c r="M11" s="8">
        <f>(J3-J2) * ((M3+M2))</f>
        <v>3.0457651036429167E-2</v>
      </c>
      <c r="N11" s="8">
        <f>(J3-J2) * ((N3+N2))</f>
        <v>1.0768955187880312E-2</v>
      </c>
      <c r="O11" s="8">
        <f>(J3-J2) * ((O3+O2))</f>
        <v>5.4823771865572506E-3</v>
      </c>
      <c r="P11" s="8">
        <f>(J3-J2) * ((P3+P2))</f>
        <v>1.9188320152950376E-2</v>
      </c>
    </row>
    <row r="12" spans="1:16" x14ac:dyDescent="0.3">
      <c r="B12" s="9" t="s">
        <v>41</v>
      </c>
      <c r="C12" s="9">
        <f t="shared" si="1"/>
        <v>6.8350389893798158E-3</v>
      </c>
      <c r="D12" s="9">
        <f t="shared" si="2"/>
        <v>0.13381916597350679</v>
      </c>
      <c r="E12" s="9">
        <f t="shared" si="3"/>
        <v>-7.7821045666704836E-2</v>
      </c>
      <c r="F12" s="9">
        <f t="shared" si="4"/>
        <v>-9.2371310216969385E-2</v>
      </c>
      <c r="G12" s="9">
        <f t="shared" si="5"/>
        <v>-8.522845307411224E-2</v>
      </c>
      <c r="H12" s="9">
        <f t="shared" si="6"/>
        <v>-8.522845307411224E-2</v>
      </c>
      <c r="J12" s="9" t="s">
        <v>41</v>
      </c>
      <c r="K12" s="8">
        <f t="shared" ref="K12:K15" si="7">(J4-J3) * ((K4+K3))</f>
        <v>5.7864807520296713E-2</v>
      </c>
      <c r="L12" s="8">
        <f t="shared" ref="L12:L15" si="8">(J4-J3) * ((L4+L3))</f>
        <v>8.6797211280445069E-2</v>
      </c>
      <c r="M12" s="8">
        <f t="shared" ref="M12:M15" si="9">(J4-J3) * ((M4+M3))</f>
        <v>9.0011922809350442E-2</v>
      </c>
      <c r="N12" s="8">
        <f t="shared" ref="N12:N15" si="10">(J4-J3) * ((N4+N3))</f>
        <v>3.4357229465176171E-2</v>
      </c>
      <c r="O12" s="8">
        <f t="shared" ref="O12:O15" si="11">(J4-J3) * ((O4+O3))</f>
        <v>2.3628129737454491E-2</v>
      </c>
      <c r="P12" s="8">
        <f t="shared" ref="P12:P15" si="12">(J4-J3) * ((P4+P3))</f>
        <v>7.088438921236348E-2</v>
      </c>
    </row>
    <row r="13" spans="1:16" x14ac:dyDescent="0.3">
      <c r="B13" s="9" t="s">
        <v>38</v>
      </c>
      <c r="C13" s="9">
        <f t="shared" si="1"/>
        <v>5.1215202340604254E-2</v>
      </c>
      <c r="D13" s="9">
        <f t="shared" si="2"/>
        <v>3.5961547215566381E-3</v>
      </c>
      <c r="E13" s="9">
        <f t="shared" si="3"/>
        <v>-3.8731887606485688E-2</v>
      </c>
      <c r="F13" s="9">
        <f t="shared" si="4"/>
        <v>1.5500916626318556E-2</v>
      </c>
      <c r="G13" s="9">
        <f t="shared" si="5"/>
        <v>1.3119964245366184E-2</v>
      </c>
      <c r="H13" s="9">
        <f t="shared" si="6"/>
        <v>-2.021336908796717E-2</v>
      </c>
      <c r="J13" s="9" t="s">
        <v>38</v>
      </c>
      <c r="K13" s="8">
        <f t="shared" si="7"/>
        <v>0.14535113892027077</v>
      </c>
      <c r="L13" s="8">
        <f t="shared" si="8"/>
        <v>0.19577908507628308</v>
      </c>
      <c r="M13" s="8">
        <f t="shared" si="9"/>
        <v>0.15227262172599795</v>
      </c>
      <c r="N13" s="8">
        <f t="shared" si="10"/>
        <v>9.1215255546904614E-2</v>
      </c>
      <c r="O13" s="8">
        <f t="shared" si="11"/>
        <v>7.8904903985289848E-2</v>
      </c>
      <c r="P13" s="8">
        <f t="shared" si="12"/>
        <v>0.13081602502824369</v>
      </c>
    </row>
    <row r="14" spans="1:16" x14ac:dyDescent="0.3">
      <c r="B14" s="9" t="s">
        <v>39</v>
      </c>
      <c r="C14" s="9">
        <f t="shared" si="1"/>
        <v>-0.19350678193121923</v>
      </c>
      <c r="D14" s="9">
        <f t="shared" si="2"/>
        <v>-1.8903607328044636E-2</v>
      </c>
      <c r="E14" s="9">
        <f t="shared" si="3"/>
        <v>2.2604138359765269E-3</v>
      </c>
      <c r="F14" s="9">
        <f t="shared" si="4"/>
        <v>4.9059164814792E-3</v>
      </c>
      <c r="G14" s="9">
        <f t="shared" si="5"/>
        <v>-1.2554400978838282E-2</v>
      </c>
      <c r="H14" s="9">
        <f t="shared" si="6"/>
        <v>7.6334487910050597E-2</v>
      </c>
      <c r="J14" s="9" t="s">
        <v>39</v>
      </c>
      <c r="K14" s="8">
        <f t="shared" si="7"/>
        <v>0.27739557918703533</v>
      </c>
      <c r="L14" s="8">
        <f t="shared" si="8"/>
        <v>0.37937924800579842</v>
      </c>
      <c r="M14" s="8">
        <f t="shared" si="9"/>
        <v>0.31410969996179</v>
      </c>
      <c r="N14" s="8">
        <f t="shared" si="10"/>
        <v>0.24476080516503124</v>
      </c>
      <c r="O14" s="8">
        <f t="shared" si="11"/>
        <v>0.22273233270017842</v>
      </c>
      <c r="P14" s="8">
        <f t="shared" si="12"/>
        <v>0.30839861450793932</v>
      </c>
    </row>
    <row r="15" spans="1:16" x14ac:dyDescent="0.3">
      <c r="B15" s="9" t="s">
        <v>36</v>
      </c>
      <c r="C15" s="9">
        <f t="shared" si="1"/>
        <v>0.16789780133831578</v>
      </c>
      <c r="D15" s="9">
        <f t="shared" si="2"/>
        <v>-0.11781648437596992</v>
      </c>
      <c r="E15" s="9">
        <f t="shared" si="3"/>
        <v>-1.4143679738535253E-3</v>
      </c>
      <c r="F15" s="9">
        <f t="shared" si="4"/>
        <v>0.13218351562403008</v>
      </c>
      <c r="G15" s="9">
        <f t="shared" si="5"/>
        <v>0.18377081721133165</v>
      </c>
      <c r="H15" s="9">
        <f t="shared" si="6"/>
        <v>-2.7340293899779433E-2</v>
      </c>
      <c r="J15" s="9" t="s">
        <v>36</v>
      </c>
      <c r="K15" s="8">
        <f t="shared" si="7"/>
        <v>0.40962998565203423</v>
      </c>
      <c r="L15" s="8">
        <f t="shared" si="8"/>
        <v>0.48410816486149505</v>
      </c>
      <c r="M15" s="8">
        <f t="shared" si="9"/>
        <v>0.45376520296134437</v>
      </c>
      <c r="N15" s="8">
        <f t="shared" si="10"/>
        <v>0.41893975805321687</v>
      </c>
      <c r="O15" s="8">
        <f t="shared" si="11"/>
        <v>0.40549230902928646</v>
      </c>
      <c r="P15" s="8">
        <f t="shared" si="12"/>
        <v>0.46052340811183246</v>
      </c>
    </row>
    <row r="16" spans="1:16" x14ac:dyDescent="0.3">
      <c r="J16" s="13" t="s">
        <v>77</v>
      </c>
      <c r="K16" s="11">
        <f>SUM(K10:K15)</f>
        <v>0.90165741566752122</v>
      </c>
      <c r="L16" s="11">
        <f t="shared" ref="L16:P16" si="13">SUM(L10:L15)</f>
        <v>1.1646474875689392</v>
      </c>
      <c r="M16" s="11">
        <f t="shared" si="13"/>
        <v>1.0474300667226712</v>
      </c>
      <c r="N16" s="11">
        <f t="shared" si="13"/>
        <v>0.80296184694439177</v>
      </c>
      <c r="O16" s="11">
        <f t="shared" si="13"/>
        <v>0.73760264628431838</v>
      </c>
      <c r="P16" s="11">
        <f t="shared" si="13"/>
        <v>0.99185464748165708</v>
      </c>
    </row>
    <row r="17" spans="10:16" x14ac:dyDescent="0.3">
      <c r="J17" s="14" t="s">
        <v>78</v>
      </c>
      <c r="K17" s="12">
        <f>1-K16</f>
        <v>9.8342584332478777E-2</v>
      </c>
      <c r="L17" s="12">
        <f t="shared" ref="L17:P17" si="14">1-L16</f>
        <v>-0.16464748756893921</v>
      </c>
      <c r="M17" s="12">
        <f t="shared" si="14"/>
        <v>-4.7430066722671249E-2</v>
      </c>
      <c r="N17" s="12">
        <f t="shared" si="14"/>
        <v>0.19703815305560823</v>
      </c>
      <c r="O17" s="12">
        <f t="shared" si="14"/>
        <v>0.26239735371568162</v>
      </c>
      <c r="P17" s="12">
        <f t="shared" si="14"/>
        <v>8.1453525183429187E-3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D966-AC5E-4C1E-A953-52DA4DF6E2E4}">
  <dimension ref="A1:P12"/>
  <sheetViews>
    <sheetView zoomScale="96" workbookViewId="0">
      <selection activeCell="J2" sqref="J2:P2"/>
    </sheetView>
  </sheetViews>
  <sheetFormatPr defaultRowHeight="14.4" x14ac:dyDescent="0.3"/>
  <cols>
    <col min="1" max="1" width="11.77734375" customWidth="1"/>
  </cols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44</v>
      </c>
      <c r="B2" s="9">
        <v>0.12864177872139657</v>
      </c>
      <c r="C2" s="9">
        <v>0.1111111111111111</v>
      </c>
      <c r="D2" s="9">
        <v>0.15</v>
      </c>
      <c r="E2" s="9">
        <v>7.6923076923076927E-2</v>
      </c>
      <c r="F2" s="9">
        <v>1.8867924528301886E-2</v>
      </c>
      <c r="G2" s="9">
        <v>7.1428571428571425E-2</v>
      </c>
      <c r="H2" s="9">
        <v>0.14285714285714285</v>
      </c>
      <c r="I2" s="15">
        <v>0.12864177872139657</v>
      </c>
      <c r="J2" s="9">
        <v>0.12864177872139657</v>
      </c>
      <c r="K2" s="9">
        <v>0.1111111111111111</v>
      </c>
      <c r="L2" s="9">
        <v>0.15</v>
      </c>
      <c r="M2" s="9">
        <v>7.6923076923076927E-2</v>
      </c>
      <c r="N2" s="9">
        <v>1.8867924528301886E-2</v>
      </c>
      <c r="O2" s="9">
        <v>7.1428571428571425E-2</v>
      </c>
      <c r="P2" s="9">
        <v>0.14285714285714285</v>
      </c>
    </row>
    <row r="3" spans="1:16" x14ac:dyDescent="0.3">
      <c r="A3" s="9" t="s">
        <v>43</v>
      </c>
      <c r="B3" s="9">
        <v>0.27300070771408352</v>
      </c>
      <c r="C3" s="9">
        <v>0.26666666666666666</v>
      </c>
      <c r="D3" s="9">
        <v>0.3</v>
      </c>
      <c r="E3" s="9">
        <v>0.23076923076923078</v>
      </c>
      <c r="F3" s="9">
        <v>0.15094339622641509</v>
      </c>
      <c r="G3" s="9">
        <v>0.2857142857142857</v>
      </c>
      <c r="H3" s="9">
        <v>0.5357142857142857</v>
      </c>
      <c r="I3" s="15">
        <v>0.40164248643548006</v>
      </c>
      <c r="J3" s="9">
        <f t="shared" ref="J3:P4" si="0">J2+B3</f>
        <v>0.40164248643548006</v>
      </c>
      <c r="K3" s="9">
        <f t="shared" si="0"/>
        <v>0.37777777777777777</v>
      </c>
      <c r="L3" s="9">
        <f t="shared" si="0"/>
        <v>0.44999999999999996</v>
      </c>
      <c r="M3" s="9">
        <f t="shared" si="0"/>
        <v>0.30769230769230771</v>
      </c>
      <c r="N3" s="9">
        <f t="shared" si="0"/>
        <v>0.16981132075471697</v>
      </c>
      <c r="O3" s="9">
        <f t="shared" si="0"/>
        <v>0.3571428571428571</v>
      </c>
      <c r="P3" s="9">
        <f t="shared" si="0"/>
        <v>0.6785714285714286</v>
      </c>
    </row>
    <row r="4" spans="1:16" x14ac:dyDescent="0.3">
      <c r="A4" s="9" t="s">
        <v>42</v>
      </c>
      <c r="B4" s="9">
        <v>0.59835751356451994</v>
      </c>
      <c r="C4" s="9">
        <v>0.62222222222222223</v>
      </c>
      <c r="D4" s="9">
        <v>0.55000000000000004</v>
      </c>
      <c r="E4" s="9">
        <v>0.69230769230769229</v>
      </c>
      <c r="F4" s="9">
        <v>0.83018867924528306</v>
      </c>
      <c r="G4" s="9">
        <v>0.6428571428571429</v>
      </c>
      <c r="H4" s="9">
        <v>0.32142857142857145</v>
      </c>
      <c r="I4" s="15">
        <v>1</v>
      </c>
      <c r="J4" s="9">
        <f t="shared" si="0"/>
        <v>1</v>
      </c>
      <c r="K4" s="9">
        <f t="shared" si="0"/>
        <v>1</v>
      </c>
      <c r="L4" s="9">
        <f t="shared" si="0"/>
        <v>1</v>
      </c>
      <c r="M4" s="9">
        <f t="shared" si="0"/>
        <v>1</v>
      </c>
      <c r="N4" s="9">
        <f t="shared" si="0"/>
        <v>1</v>
      </c>
      <c r="O4" s="9">
        <f t="shared" si="0"/>
        <v>1</v>
      </c>
      <c r="P4" s="9">
        <f t="shared" si="0"/>
        <v>1</v>
      </c>
    </row>
    <row r="7" spans="1:16" ht="28.8" x14ac:dyDescent="0.3">
      <c r="B7" s="1" t="s">
        <v>8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J7" s="8"/>
      <c r="K7" s="11" t="s">
        <v>71</v>
      </c>
      <c r="L7" s="11" t="s">
        <v>72</v>
      </c>
      <c r="M7" s="11" t="s">
        <v>73</v>
      </c>
      <c r="N7" s="11" t="s">
        <v>74</v>
      </c>
      <c r="O7" s="11" t="s">
        <v>75</v>
      </c>
      <c r="P7" s="11" t="s">
        <v>76</v>
      </c>
    </row>
    <row r="8" spans="1:16" x14ac:dyDescent="0.3">
      <c r="B8" s="9" t="s">
        <v>44</v>
      </c>
      <c r="C8" s="9">
        <f>C2-B2</f>
        <v>-1.7530667610285461E-2</v>
      </c>
      <c r="D8" s="9">
        <f>D2-B2</f>
        <v>2.1358221278603429E-2</v>
      </c>
      <c r="E8" s="9">
        <f>E2-B2</f>
        <v>-5.1718701798319638E-2</v>
      </c>
      <c r="F8" s="9">
        <f>F2-B2</f>
        <v>-0.10977385419309468</v>
      </c>
      <c r="G8" s="9">
        <f>G2-B2</f>
        <v>-5.7213207292825141E-2</v>
      </c>
      <c r="H8" s="9">
        <f>H2-B2</f>
        <v>1.4215364135746283E-2</v>
      </c>
      <c r="J8" s="9" t="s">
        <v>44</v>
      </c>
      <c r="K8" s="8">
        <f>($J2-0) * ((K2+0))</f>
        <v>1.4293530969044062E-2</v>
      </c>
      <c r="L8" s="8">
        <f t="shared" ref="L8:P8" si="1">($J2-0) * ((L2+0))</f>
        <v>1.9296266808209485E-2</v>
      </c>
      <c r="M8" s="8">
        <f t="shared" si="1"/>
        <v>9.8955214401074288E-3</v>
      </c>
      <c r="N8" s="8">
        <f t="shared" si="1"/>
        <v>2.4272033721018218E-3</v>
      </c>
      <c r="O8" s="8">
        <f t="shared" si="1"/>
        <v>9.1886984800997537E-3</v>
      </c>
      <c r="P8" s="8">
        <f t="shared" si="1"/>
        <v>1.8377396960199507E-2</v>
      </c>
    </row>
    <row r="9" spans="1:16" x14ac:dyDescent="0.3">
      <c r="B9" s="9" t="s">
        <v>43</v>
      </c>
      <c r="C9" s="9">
        <f t="shared" ref="C9:C10" si="2">C3-B3</f>
        <v>-6.3340410474168607E-3</v>
      </c>
      <c r="D9" s="9">
        <f t="shared" ref="D9:D10" si="3">D3-B3</f>
        <v>2.6999292285916465E-2</v>
      </c>
      <c r="E9" s="9">
        <f t="shared" ref="E9:E10" si="4">E3-B3</f>
        <v>-4.2231476944852742E-2</v>
      </c>
      <c r="F9" s="9">
        <f t="shared" ref="F9:F10" si="5">F3-B3</f>
        <v>-0.12205731148766844</v>
      </c>
      <c r="G9" s="9">
        <f t="shared" ref="G9:G10" si="6">G3-B3</f>
        <v>1.2713578000202175E-2</v>
      </c>
      <c r="H9" s="9">
        <f t="shared" ref="H9:H10" si="7">H3-B3</f>
        <v>0.26271357800020217</v>
      </c>
      <c r="J9" s="9" t="s">
        <v>43</v>
      </c>
      <c r="K9" s="8">
        <f>($J3-$J2) * ((K3+K2))</f>
        <v>0.13346701266021857</v>
      </c>
      <c r="L9" s="8">
        <f t="shared" ref="L9:P10" si="8">($J3-$J2) * ((L3+L2))</f>
        <v>0.16380042462845007</v>
      </c>
      <c r="M9" s="8">
        <f t="shared" si="8"/>
        <v>0.10500027219772441</v>
      </c>
      <c r="N9" s="8">
        <f t="shared" si="8"/>
        <v>5.1509567493223295E-2</v>
      </c>
      <c r="O9" s="8">
        <f t="shared" si="8"/>
        <v>0.11700030330603575</v>
      </c>
      <c r="P9" s="8">
        <f t="shared" si="8"/>
        <v>0.22425058133656856</v>
      </c>
    </row>
    <row r="10" spans="1:16" x14ac:dyDescent="0.3">
      <c r="B10" s="9" t="s">
        <v>42</v>
      </c>
      <c r="C10" s="9">
        <f t="shared" si="2"/>
        <v>2.3864708657702294E-2</v>
      </c>
      <c r="D10" s="9">
        <f t="shared" si="3"/>
        <v>-4.8357513564519894E-2</v>
      </c>
      <c r="E10" s="9">
        <f t="shared" si="4"/>
        <v>9.3950178743172352E-2</v>
      </c>
      <c r="F10" s="9">
        <f t="shared" si="5"/>
        <v>0.23183116568076312</v>
      </c>
      <c r="G10" s="9">
        <f t="shared" si="6"/>
        <v>4.4499629292622966E-2</v>
      </c>
      <c r="H10" s="9">
        <f t="shared" si="7"/>
        <v>-0.27692894213594849</v>
      </c>
      <c r="J10" s="9" t="s">
        <v>42</v>
      </c>
      <c r="K10" s="8">
        <f>($J4-$J3) * ((K4+K3))</f>
        <v>0.82440368535556074</v>
      </c>
      <c r="L10" s="8">
        <f t="shared" si="8"/>
        <v>0.86761839466855384</v>
      </c>
      <c r="M10" s="8">
        <f t="shared" si="8"/>
        <v>0.78246751773821843</v>
      </c>
      <c r="N10" s="8">
        <f t="shared" si="8"/>
        <v>0.69996539322641949</v>
      </c>
      <c r="O10" s="8">
        <f t="shared" si="8"/>
        <v>0.81205662555184854</v>
      </c>
      <c r="P10" s="8">
        <f t="shared" si="8"/>
        <v>1.0043858263404442</v>
      </c>
    </row>
    <row r="11" spans="1:16" x14ac:dyDescent="0.3">
      <c r="J11" s="13" t="s">
        <v>77</v>
      </c>
      <c r="K11" s="11">
        <f>SUM(K8:K10)</f>
        <v>0.97216422898482335</v>
      </c>
      <c r="L11" s="11">
        <f t="shared" ref="L11:P11" si="9">SUM(L8:L10)</f>
        <v>1.0507150861052135</v>
      </c>
      <c r="M11" s="11">
        <f t="shared" si="9"/>
        <v>0.8973633113760503</v>
      </c>
      <c r="N11" s="11">
        <f t="shared" si="9"/>
        <v>0.7539021640917446</v>
      </c>
      <c r="O11" s="11">
        <f t="shared" si="9"/>
        <v>0.938245627337984</v>
      </c>
      <c r="P11" s="11">
        <f t="shared" si="9"/>
        <v>1.2470138046372123</v>
      </c>
    </row>
    <row r="12" spans="1:16" x14ac:dyDescent="0.3">
      <c r="J12" s="14" t="s">
        <v>78</v>
      </c>
      <c r="K12" s="12">
        <f>1-K11</f>
        <v>2.7835771015176647E-2</v>
      </c>
      <c r="L12" s="12">
        <f t="shared" ref="L12:P12" si="10">1-L11</f>
        <v>-5.0715086105213469E-2</v>
      </c>
      <c r="M12" s="12">
        <f t="shared" si="10"/>
        <v>0.1026366886239497</v>
      </c>
      <c r="N12" s="12">
        <f t="shared" si="10"/>
        <v>0.2460978359082554</v>
      </c>
      <c r="O12" s="12">
        <f t="shared" si="10"/>
        <v>6.1754372662015999E-2</v>
      </c>
      <c r="P12" s="12">
        <f t="shared" si="10"/>
        <v>-0.24701380463721234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ADD4-1AED-4148-B757-0594A39DC605}">
  <dimension ref="A1:P13"/>
  <sheetViews>
    <sheetView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47</v>
      </c>
      <c r="B2" s="9">
        <v>9.7988442226923933E-2</v>
      </c>
      <c r="C2" s="9">
        <v>0.20689655172413793</v>
      </c>
      <c r="D2" s="9">
        <v>0.16666666666666666</v>
      </c>
      <c r="E2" s="9">
        <v>0</v>
      </c>
      <c r="F2" s="9">
        <v>0.16129032258064516</v>
      </c>
      <c r="G2" s="9">
        <v>3.4482758620689655E-2</v>
      </c>
      <c r="H2" s="9">
        <v>1.3698630136986301E-2</v>
      </c>
      <c r="I2" s="9">
        <v>9.7988442226923933E-2</v>
      </c>
      <c r="J2" s="9">
        <v>9.7988442226923933E-2</v>
      </c>
      <c r="K2" s="9">
        <v>0.20689655172413793</v>
      </c>
      <c r="L2" s="9">
        <v>0.16666666666666666</v>
      </c>
      <c r="M2" s="9">
        <v>0</v>
      </c>
      <c r="N2" s="9">
        <v>0.16129032258064516</v>
      </c>
      <c r="O2" s="9">
        <v>3.4482758620689655E-2</v>
      </c>
      <c r="P2" s="9">
        <v>1.3698630136986301E-2</v>
      </c>
    </row>
    <row r="3" spans="1:16" x14ac:dyDescent="0.3">
      <c r="A3" s="9" t="s">
        <v>48</v>
      </c>
      <c r="B3" s="9">
        <v>0.20383995957937284</v>
      </c>
      <c r="C3" s="9">
        <v>0.10344827586206896</v>
      </c>
      <c r="D3" s="9">
        <v>8.3333333333333329E-2</v>
      </c>
      <c r="E3" s="9">
        <v>0.1</v>
      </c>
      <c r="F3" s="9">
        <v>0.14516129032258066</v>
      </c>
      <c r="G3" s="9">
        <v>0.27586206896551724</v>
      </c>
      <c r="H3" s="9">
        <v>0.34246575342465752</v>
      </c>
      <c r="I3" s="9">
        <v>0.30182840180629678</v>
      </c>
      <c r="J3" s="9">
        <f>J2+B3</f>
        <v>0.30182840180629678</v>
      </c>
      <c r="K3" s="9">
        <f t="shared" ref="K3:P5" si="0">K2+C3</f>
        <v>0.31034482758620691</v>
      </c>
      <c r="L3" s="9">
        <f t="shared" si="0"/>
        <v>0.25</v>
      </c>
      <c r="M3" s="9">
        <f t="shared" si="0"/>
        <v>0.1</v>
      </c>
      <c r="N3" s="9">
        <f t="shared" si="0"/>
        <v>0.30645161290322581</v>
      </c>
      <c r="O3" s="9">
        <f t="shared" si="0"/>
        <v>0.31034482758620691</v>
      </c>
      <c r="P3" s="9">
        <f t="shared" si="0"/>
        <v>0.35616438356164382</v>
      </c>
    </row>
    <row r="4" spans="1:16" x14ac:dyDescent="0.3">
      <c r="A4" s="9" t="s">
        <v>45</v>
      </c>
      <c r="B4" s="9">
        <v>0.32124925000789467</v>
      </c>
      <c r="C4" s="9">
        <v>0.2413793103448276</v>
      </c>
      <c r="D4" s="9">
        <v>0.33333333333333331</v>
      </c>
      <c r="E4" s="9">
        <v>0.35</v>
      </c>
      <c r="F4" s="9">
        <v>0.5</v>
      </c>
      <c r="G4" s="9">
        <v>0.37931034482758619</v>
      </c>
      <c r="H4" s="9">
        <v>0.41095890410958902</v>
      </c>
      <c r="I4" s="9">
        <v>0.62307765181419139</v>
      </c>
      <c r="J4" s="9">
        <f t="shared" ref="J4:J5" si="1">J3+B4</f>
        <v>0.62307765181419139</v>
      </c>
      <c r="K4" s="9">
        <f t="shared" si="0"/>
        <v>0.55172413793103448</v>
      </c>
      <c r="L4" s="9">
        <f t="shared" si="0"/>
        <v>0.58333333333333326</v>
      </c>
      <c r="M4" s="9">
        <f t="shared" si="0"/>
        <v>0.44999999999999996</v>
      </c>
      <c r="N4" s="9">
        <f t="shared" si="0"/>
        <v>0.80645161290322576</v>
      </c>
      <c r="O4" s="9">
        <f t="shared" si="0"/>
        <v>0.68965517241379315</v>
      </c>
      <c r="P4" s="9">
        <f t="shared" si="0"/>
        <v>0.76712328767123283</v>
      </c>
    </row>
    <row r="5" spans="1:16" x14ac:dyDescent="0.3">
      <c r="A5" s="9" t="s">
        <v>46</v>
      </c>
      <c r="B5" s="9">
        <v>0.37692234818580855</v>
      </c>
      <c r="C5" s="9">
        <v>0.44827586206896552</v>
      </c>
      <c r="D5" s="9">
        <v>0.41666666666666669</v>
      </c>
      <c r="E5" s="9">
        <v>0.55000000000000004</v>
      </c>
      <c r="F5" s="9">
        <v>0.19354838709677419</v>
      </c>
      <c r="G5" s="9">
        <v>0.31034482758620691</v>
      </c>
      <c r="H5" s="9">
        <v>0.23287671232876711</v>
      </c>
      <c r="I5" s="9">
        <v>1</v>
      </c>
      <c r="J5" s="9">
        <f t="shared" si="1"/>
        <v>1</v>
      </c>
      <c r="K5" s="9">
        <f t="shared" si="0"/>
        <v>1</v>
      </c>
      <c r="L5" s="9">
        <f t="shared" si="0"/>
        <v>1</v>
      </c>
      <c r="M5" s="9">
        <f t="shared" si="0"/>
        <v>1</v>
      </c>
      <c r="N5" s="9">
        <f t="shared" si="0"/>
        <v>1</v>
      </c>
      <c r="O5" s="9">
        <f t="shared" si="0"/>
        <v>1</v>
      </c>
      <c r="P5" s="9">
        <f t="shared" si="0"/>
        <v>1</v>
      </c>
    </row>
    <row r="7" spans="1:16" ht="28.8" x14ac:dyDescent="0.3">
      <c r="B7" s="1" t="s">
        <v>8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J7" s="8"/>
      <c r="K7" s="11" t="s">
        <v>71</v>
      </c>
      <c r="L7" s="11" t="s">
        <v>72</v>
      </c>
      <c r="M7" s="11" t="s">
        <v>73</v>
      </c>
      <c r="N7" s="11" t="s">
        <v>74</v>
      </c>
      <c r="O7" s="11" t="s">
        <v>75</v>
      </c>
      <c r="P7" s="11" t="s">
        <v>76</v>
      </c>
    </row>
    <row r="8" spans="1:16" x14ac:dyDescent="0.3">
      <c r="B8" s="9" t="s">
        <v>47</v>
      </c>
      <c r="C8" s="9">
        <f>C2-B2</f>
        <v>0.108908109497214</v>
      </c>
      <c r="D8" s="9">
        <f>D2-B2</f>
        <v>6.8678224439742724E-2</v>
      </c>
      <c r="E8" s="9">
        <f>E2-B2</f>
        <v>-9.7988442226923933E-2</v>
      </c>
      <c r="F8" s="9">
        <f>F2-B2</f>
        <v>6.3301880353721224E-2</v>
      </c>
      <c r="G8" s="9">
        <f>G2-B2</f>
        <v>-6.3505683606234278E-2</v>
      </c>
      <c r="H8" s="9">
        <f>H2-B2</f>
        <v>-8.4289812089937632E-2</v>
      </c>
      <c r="J8" s="9" t="s">
        <v>47</v>
      </c>
      <c r="K8" s="8">
        <f>($J2-0) * ((K2+0))</f>
        <v>2.027347080557047E-2</v>
      </c>
      <c r="L8" s="8">
        <f t="shared" ref="L8:P8" si="2">($J2-0) * ((L2+0))</f>
        <v>1.6331407037820656E-2</v>
      </c>
      <c r="M8" s="8">
        <f t="shared" si="2"/>
        <v>0</v>
      </c>
      <c r="N8" s="8">
        <f t="shared" si="2"/>
        <v>1.5804587455955473E-2</v>
      </c>
      <c r="O8" s="8">
        <f t="shared" si="2"/>
        <v>3.3789118009284113E-3</v>
      </c>
      <c r="P8" s="8">
        <f t="shared" si="2"/>
        <v>1.3423074277660813E-3</v>
      </c>
    </row>
    <row r="9" spans="1:16" x14ac:dyDescent="0.3">
      <c r="B9" s="9" t="s">
        <v>48</v>
      </c>
      <c r="C9" s="9">
        <f t="shared" ref="C9:C11" si="3">C3-B3</f>
        <v>-0.10039168371730388</v>
      </c>
      <c r="D9" s="9">
        <f t="shared" ref="D9:D11" si="4">D3-B3</f>
        <v>-0.12050662624603951</v>
      </c>
      <c r="E9" s="9">
        <f t="shared" ref="E9:E11" si="5">E3-B3</f>
        <v>-0.10383995957937284</v>
      </c>
      <c r="F9" s="9">
        <f t="shared" ref="F9:F11" si="6">F3-B3</f>
        <v>-5.8678669256792187E-2</v>
      </c>
      <c r="G9" s="9">
        <f t="shared" ref="G9:G11" si="7">G3-B3</f>
        <v>7.2022109386144395E-2</v>
      </c>
      <c r="H9" s="9">
        <f t="shared" ref="H9:H11" si="8">H3-B3</f>
        <v>0.13862579384528467</v>
      </c>
      <c r="J9" s="9" t="s">
        <v>48</v>
      </c>
      <c r="K9" s="8">
        <f>($J3-$J2) * ((K3+K2))</f>
        <v>0.10543446185139975</v>
      </c>
      <c r="L9" s="8">
        <f t="shared" ref="L9:P9" si="9">($J3-$J2) * ((L3+L2))</f>
        <v>8.4933316491405342E-2</v>
      </c>
      <c r="M9" s="8">
        <f t="shared" si="9"/>
        <v>2.0383995957937287E-2</v>
      </c>
      <c r="N9" s="8">
        <f t="shared" si="9"/>
        <v>9.5344497222609889E-2</v>
      </c>
      <c r="O9" s="8">
        <f t="shared" si="9"/>
        <v>7.0289641234266509E-2</v>
      </c>
      <c r="P9" s="8">
        <f t="shared" si="9"/>
        <v>7.5392861762233782E-2</v>
      </c>
    </row>
    <row r="10" spans="1:16" x14ac:dyDescent="0.3">
      <c r="B10" s="9" t="s">
        <v>45</v>
      </c>
      <c r="C10" s="9">
        <f t="shared" si="3"/>
        <v>-7.9869939663067074E-2</v>
      </c>
      <c r="D10" s="9">
        <f t="shared" si="4"/>
        <v>1.2084083325438644E-2</v>
      </c>
      <c r="E10" s="9">
        <f t="shared" si="5"/>
        <v>2.8750749992105307E-2</v>
      </c>
      <c r="F10" s="9">
        <f t="shared" si="6"/>
        <v>0.17875074999210533</v>
      </c>
      <c r="G10" s="9">
        <f t="shared" si="7"/>
        <v>5.8061094819691517E-2</v>
      </c>
      <c r="H10" s="9">
        <f t="shared" si="8"/>
        <v>8.9709654101694347E-2</v>
      </c>
      <c r="J10" s="9" t="s">
        <v>45</v>
      </c>
      <c r="K10" s="8">
        <f t="shared" ref="K10:P11" si="10">($J4-$J3) * ((K4+K3))</f>
        <v>0.27693900862749532</v>
      </c>
      <c r="L10" s="8">
        <f t="shared" si="10"/>
        <v>0.26770770833991214</v>
      </c>
      <c r="M10" s="8">
        <f t="shared" si="10"/>
        <v>0.17668708750434201</v>
      </c>
      <c r="N10" s="8">
        <f t="shared" si="10"/>
        <v>0.35751932662168912</v>
      </c>
      <c r="O10" s="8">
        <f t="shared" si="10"/>
        <v>0.32124925000789462</v>
      </c>
      <c r="P10" s="8">
        <f t="shared" si="10"/>
        <v>0.36085532192667619</v>
      </c>
    </row>
    <row r="11" spans="1:16" x14ac:dyDescent="0.3">
      <c r="B11" s="9" t="s">
        <v>46</v>
      </c>
      <c r="C11" s="9">
        <f t="shared" si="3"/>
        <v>7.1353513883156972E-2</v>
      </c>
      <c r="D11" s="9">
        <f t="shared" si="4"/>
        <v>3.9744318480858132E-2</v>
      </c>
      <c r="E11" s="9">
        <f t="shared" si="5"/>
        <v>0.17307765181419149</v>
      </c>
      <c r="F11" s="9">
        <f t="shared" si="6"/>
        <v>-0.18337396108903437</v>
      </c>
      <c r="G11" s="9">
        <f t="shared" si="7"/>
        <v>-6.6577520599601647E-2</v>
      </c>
      <c r="H11" s="9">
        <f t="shared" si="8"/>
        <v>-0.14404563585704144</v>
      </c>
      <c r="J11" s="9" t="s">
        <v>46</v>
      </c>
      <c r="K11" s="8">
        <f t="shared" si="10"/>
        <v>0.58487950580556503</v>
      </c>
      <c r="L11" s="8">
        <f t="shared" si="10"/>
        <v>0.59679371796086356</v>
      </c>
      <c r="M11" s="8">
        <f t="shared" si="10"/>
        <v>0.54653740486942248</v>
      </c>
      <c r="N11" s="8">
        <f t="shared" si="10"/>
        <v>0.6808919838195252</v>
      </c>
      <c r="O11" s="8">
        <f t="shared" si="10"/>
        <v>0.63686879521050421</v>
      </c>
      <c r="P11" s="8">
        <f t="shared" si="10"/>
        <v>0.66606825912286727</v>
      </c>
    </row>
    <row r="12" spans="1:16" x14ac:dyDescent="0.3">
      <c r="J12" s="13" t="s">
        <v>77</v>
      </c>
      <c r="K12" s="11">
        <f>SUM(K8:K11)</f>
        <v>0.98752644709003057</v>
      </c>
      <c r="L12" s="11">
        <f t="shared" ref="L12:P12" si="11">SUM(L8:L11)</f>
        <v>0.96576614983000164</v>
      </c>
      <c r="M12" s="11">
        <f t="shared" si="11"/>
        <v>0.74360848833170179</v>
      </c>
      <c r="N12" s="11">
        <f t="shared" si="11"/>
        <v>1.1495603951197797</v>
      </c>
      <c r="O12" s="11">
        <f t="shared" si="11"/>
        <v>1.0317865982535936</v>
      </c>
      <c r="P12" s="11">
        <f t="shared" si="11"/>
        <v>1.1036587502395432</v>
      </c>
    </row>
    <row r="13" spans="1:16" x14ac:dyDescent="0.3">
      <c r="J13" s="14" t="s">
        <v>78</v>
      </c>
      <c r="K13" s="12">
        <f>1-K12</f>
        <v>1.2473552909969432E-2</v>
      </c>
      <c r="L13" s="12">
        <f t="shared" ref="L13:P13" si="12">1-L12</f>
        <v>3.4233850169998359E-2</v>
      </c>
      <c r="M13" s="12">
        <f t="shared" si="12"/>
        <v>0.25639151166829821</v>
      </c>
      <c r="N13" s="12">
        <f t="shared" si="12"/>
        <v>-0.1495603951197797</v>
      </c>
      <c r="O13" s="12">
        <f t="shared" si="12"/>
        <v>-3.1786598253593645E-2</v>
      </c>
      <c r="P13" s="12">
        <f t="shared" si="12"/>
        <v>-0.10365875023954318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3BF9-3396-42DC-8C02-73E48AA99A41}">
  <dimension ref="A1:P15"/>
  <sheetViews>
    <sheetView zoomScale="84"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52</v>
      </c>
      <c r="B2" s="9">
        <v>0.10556070576435009</v>
      </c>
      <c r="C2" s="9">
        <v>0.05</v>
      </c>
      <c r="D2" s="9">
        <v>0.1111111111111111</v>
      </c>
      <c r="E2" s="9">
        <v>8.3333333333333329E-2</v>
      </c>
      <c r="F2" s="9">
        <v>0.1</v>
      </c>
      <c r="G2" s="9">
        <v>7.6923076923076927E-2</v>
      </c>
      <c r="H2" s="9">
        <v>5.4054054054054057E-2</v>
      </c>
      <c r="I2" s="9">
        <v>0.10556070576435009</v>
      </c>
      <c r="J2" s="9">
        <v>0.10556070576435009</v>
      </c>
      <c r="K2" s="9">
        <v>0.05</v>
      </c>
      <c r="L2" s="9">
        <v>0.1111111111111111</v>
      </c>
      <c r="M2" s="9">
        <v>8.3333333333333329E-2</v>
      </c>
      <c r="N2" s="9">
        <v>0.1</v>
      </c>
      <c r="O2" s="9">
        <v>7.6923076923076927E-2</v>
      </c>
      <c r="P2" s="9">
        <v>5.4054054054054057E-2</v>
      </c>
    </row>
    <row r="3" spans="1:16" x14ac:dyDescent="0.3">
      <c r="A3" s="9" t="s">
        <v>51</v>
      </c>
      <c r="B3" s="9">
        <v>0.14391878542879288</v>
      </c>
      <c r="C3" s="9">
        <v>0.05</v>
      </c>
      <c r="D3" s="9">
        <v>0.1111111111111111</v>
      </c>
      <c r="E3" s="9">
        <v>0.29166666666666669</v>
      </c>
      <c r="F3" s="9">
        <v>0.15</v>
      </c>
      <c r="G3" s="9">
        <v>0.24615384615384617</v>
      </c>
      <c r="H3" s="9">
        <v>0.29729729729729731</v>
      </c>
      <c r="I3" s="9">
        <v>0.24947949119314297</v>
      </c>
      <c r="J3" s="9">
        <f t="shared" ref="J3:P6" si="0">J2+B3</f>
        <v>0.24947949119314297</v>
      </c>
      <c r="K3" s="9">
        <f t="shared" si="0"/>
        <v>0.1</v>
      </c>
      <c r="L3" s="9">
        <f t="shared" si="0"/>
        <v>0.22222222222222221</v>
      </c>
      <c r="M3" s="9">
        <f t="shared" si="0"/>
        <v>0.375</v>
      </c>
      <c r="N3" s="9">
        <f t="shared" si="0"/>
        <v>0.25</v>
      </c>
      <c r="O3" s="9">
        <f t="shared" si="0"/>
        <v>0.32307692307692309</v>
      </c>
      <c r="P3" s="9">
        <f t="shared" si="0"/>
        <v>0.35135135135135137</v>
      </c>
    </row>
    <row r="4" spans="1:16" x14ac:dyDescent="0.3">
      <c r="A4" s="9" t="s">
        <v>53</v>
      </c>
      <c r="B4" s="9">
        <v>0.17318885731219891</v>
      </c>
      <c r="C4" s="9">
        <v>0.4</v>
      </c>
      <c r="D4" s="9">
        <v>0.33333333333333331</v>
      </c>
      <c r="E4" s="9">
        <v>0.125</v>
      </c>
      <c r="F4" s="9">
        <v>0.1</v>
      </c>
      <c r="G4" s="9">
        <v>0.1076923076923077</v>
      </c>
      <c r="H4" s="9">
        <v>8.1081081081081086E-2</v>
      </c>
      <c r="I4" s="9">
        <v>0.42266834850534185</v>
      </c>
      <c r="J4" s="9">
        <f t="shared" si="0"/>
        <v>0.42266834850534185</v>
      </c>
      <c r="K4" s="9">
        <f t="shared" si="0"/>
        <v>0.5</v>
      </c>
      <c r="L4" s="9">
        <f t="shared" si="0"/>
        <v>0.55555555555555558</v>
      </c>
      <c r="M4" s="9">
        <f t="shared" si="0"/>
        <v>0.5</v>
      </c>
      <c r="N4" s="9">
        <f t="shared" si="0"/>
        <v>0.35</v>
      </c>
      <c r="O4" s="9">
        <f t="shared" si="0"/>
        <v>0.43076923076923079</v>
      </c>
      <c r="P4" s="9">
        <f t="shared" si="0"/>
        <v>0.43243243243243246</v>
      </c>
    </row>
    <row r="5" spans="1:16" x14ac:dyDescent="0.3">
      <c r="A5" s="9" t="s">
        <v>50</v>
      </c>
      <c r="B5" s="9">
        <v>0.2075348398960502</v>
      </c>
      <c r="C5" s="9">
        <v>0</v>
      </c>
      <c r="D5" s="9">
        <v>0</v>
      </c>
      <c r="E5" s="9">
        <v>4.1666666666666664E-2</v>
      </c>
      <c r="F5" s="9">
        <v>2.5000000000000001E-2</v>
      </c>
      <c r="G5" s="9">
        <v>9.2307692307692313E-2</v>
      </c>
      <c r="H5" s="9">
        <v>8.1081081081081086E-2</v>
      </c>
      <c r="I5" s="9">
        <v>0.63020318840139211</v>
      </c>
      <c r="J5" s="9">
        <f t="shared" si="0"/>
        <v>0.63020318840139211</v>
      </c>
      <c r="K5" s="9">
        <f t="shared" si="0"/>
        <v>0.5</v>
      </c>
      <c r="L5" s="9">
        <f t="shared" si="0"/>
        <v>0.55555555555555558</v>
      </c>
      <c r="M5" s="9">
        <f t="shared" si="0"/>
        <v>0.54166666666666663</v>
      </c>
      <c r="N5" s="9">
        <f t="shared" si="0"/>
        <v>0.375</v>
      </c>
      <c r="O5" s="9">
        <f t="shared" si="0"/>
        <v>0.52307692307692311</v>
      </c>
      <c r="P5" s="9">
        <f t="shared" si="0"/>
        <v>0.5135135135135136</v>
      </c>
    </row>
    <row r="6" spans="1:16" x14ac:dyDescent="0.3">
      <c r="A6" s="9" t="s">
        <v>49</v>
      </c>
      <c r="B6" s="9">
        <v>0.36979681159860794</v>
      </c>
      <c r="C6" s="9">
        <v>0.5</v>
      </c>
      <c r="D6" s="9">
        <v>0.44444444444444442</v>
      </c>
      <c r="E6" s="9">
        <v>0.45833333333333331</v>
      </c>
      <c r="F6" s="9">
        <v>0.625</v>
      </c>
      <c r="G6" s="9">
        <v>0.47692307692307695</v>
      </c>
      <c r="H6" s="9">
        <v>0.48648648648648651</v>
      </c>
      <c r="I6" s="9">
        <v>1</v>
      </c>
      <c r="J6" s="9">
        <f t="shared" si="0"/>
        <v>1</v>
      </c>
      <c r="K6" s="9">
        <f t="shared" si="0"/>
        <v>1</v>
      </c>
      <c r="L6" s="9">
        <f t="shared" si="0"/>
        <v>1</v>
      </c>
      <c r="M6" s="9">
        <f t="shared" si="0"/>
        <v>1</v>
      </c>
      <c r="N6" s="9">
        <f t="shared" si="0"/>
        <v>1</v>
      </c>
      <c r="O6" s="9">
        <f t="shared" si="0"/>
        <v>1</v>
      </c>
      <c r="P6" s="9">
        <f t="shared" si="0"/>
        <v>1</v>
      </c>
    </row>
    <row r="8" spans="1:16" ht="28.8" x14ac:dyDescent="0.3">
      <c r="B8" s="1" t="s">
        <v>8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J8" s="8"/>
      <c r="K8" s="11" t="s">
        <v>71</v>
      </c>
      <c r="L8" s="11" t="s">
        <v>72</v>
      </c>
      <c r="M8" s="11" t="s">
        <v>73</v>
      </c>
      <c r="N8" s="11" t="s">
        <v>74</v>
      </c>
      <c r="O8" s="11" t="s">
        <v>75</v>
      </c>
      <c r="P8" s="11" t="s">
        <v>76</v>
      </c>
    </row>
    <row r="9" spans="1:16" x14ac:dyDescent="0.3">
      <c r="B9" s="9" t="s">
        <v>52</v>
      </c>
      <c r="C9" s="9">
        <f>C2-B2</f>
        <v>-5.5560705764350085E-2</v>
      </c>
      <c r="D9" s="9">
        <f>D2-B2</f>
        <v>5.550405346761017E-3</v>
      </c>
      <c r="E9" s="9">
        <f>E2-B2</f>
        <v>-2.2227372431016759E-2</v>
      </c>
      <c r="F9" s="9">
        <f>F2-B2</f>
        <v>-5.5607057643500823E-3</v>
      </c>
      <c r="G9" s="9">
        <f>G2-B2</f>
        <v>-2.8637628841273161E-2</v>
      </c>
      <c r="H9" s="9">
        <f>H2-B2</f>
        <v>-5.1506651710296031E-2</v>
      </c>
      <c r="J9" s="9" t="s">
        <v>52</v>
      </c>
      <c r="K9" s="8">
        <f>(J2-0) * ((K2+0))</f>
        <v>5.2780352882175049E-3</v>
      </c>
      <c r="L9" s="8">
        <f>(J2-0) * ((L2+0))</f>
        <v>1.1728967307150008E-2</v>
      </c>
      <c r="M9" s="8">
        <f>(J2-0) * ((M2+0))</f>
        <v>8.7967254803625067E-3</v>
      </c>
      <c r="N9" s="8">
        <f>(J2-0) * ((N2+0))</f>
        <v>1.055607057643501E-2</v>
      </c>
      <c r="O9" s="8">
        <f>(J2-0) * ((O2+0))</f>
        <v>8.1200542895653923E-3</v>
      </c>
      <c r="P9" s="8">
        <f>(J2-0) * ((P2+0))</f>
        <v>5.7059840953702749E-3</v>
      </c>
    </row>
    <row r="10" spans="1:16" x14ac:dyDescent="0.3">
      <c r="B10" s="9" t="s">
        <v>51</v>
      </c>
      <c r="C10" s="9">
        <f t="shared" ref="C10:C13" si="1">C3-B3</f>
        <v>-9.3918785428792881E-2</v>
      </c>
      <c r="D10" s="9">
        <f t="shared" ref="D10:D13" si="2">D3-B3</f>
        <v>-3.2807674317681779E-2</v>
      </c>
      <c r="E10" s="9">
        <f t="shared" ref="E10:E13" si="3">E3-B3</f>
        <v>0.1477478812378738</v>
      </c>
      <c r="F10" s="9">
        <f t="shared" ref="F10:F13" si="4">F3-B3</f>
        <v>6.0812145712071108E-3</v>
      </c>
      <c r="G10" s="9">
        <f t="shared" ref="G10:G13" si="5">G3-B3</f>
        <v>0.10223506072505328</v>
      </c>
      <c r="H10" s="9">
        <f t="shared" ref="H10:H13" si="6">H3-B3</f>
        <v>0.15337851186850443</v>
      </c>
      <c r="J10" s="9" t="s">
        <v>51</v>
      </c>
      <c r="K10" s="8">
        <f>(J3-J2) * ((K3+K2))</f>
        <v>2.1587817814318937E-2</v>
      </c>
      <c r="L10" s="8">
        <f>(J3-J2) * ((L3+L2))</f>
        <v>4.797292847626429E-2</v>
      </c>
      <c r="M10" s="8">
        <f>(J3-J2) * ((M3+M2))</f>
        <v>6.59627766548634E-2</v>
      </c>
      <c r="N10" s="8">
        <f>(J3-J2) * ((N3+N2))</f>
        <v>5.0371574900077508E-2</v>
      </c>
      <c r="O10" s="8">
        <f>(J3-J2) * ((O3+O2))</f>
        <v>5.7567514171517155E-2</v>
      </c>
      <c r="P10" s="8">
        <f>(J3-J2) * ((P3+P2))</f>
        <v>5.8345453552213336E-2</v>
      </c>
    </row>
    <row r="11" spans="1:16" x14ac:dyDescent="0.3">
      <c r="B11" s="9" t="s">
        <v>53</v>
      </c>
      <c r="C11" s="9">
        <f t="shared" si="1"/>
        <v>0.22681114268780111</v>
      </c>
      <c r="D11" s="9">
        <f t="shared" si="2"/>
        <v>0.16014447602113441</v>
      </c>
      <c r="E11" s="9">
        <f t="shared" si="3"/>
        <v>-4.8188857312198907E-2</v>
      </c>
      <c r="F11" s="9">
        <f t="shared" si="4"/>
        <v>-7.3188857312198902E-2</v>
      </c>
      <c r="G11" s="9">
        <f t="shared" si="5"/>
        <v>-6.5496549619891209E-2</v>
      </c>
      <c r="H11" s="9">
        <f t="shared" si="6"/>
        <v>-9.2107776231117822E-2</v>
      </c>
      <c r="J11" s="9" t="s">
        <v>53</v>
      </c>
      <c r="K11" s="8">
        <f t="shared" ref="K11:K13" si="7">(J4-J3) * ((K4+K3))</f>
        <v>0.10391331438731932</v>
      </c>
      <c r="L11" s="8">
        <f t="shared" ref="L11:L13" si="8">(J4-J3) * ((L4+L3))</f>
        <v>0.13470244457615468</v>
      </c>
      <c r="M11" s="8">
        <f t="shared" ref="M11:M13" si="9">(J4-J3) * ((M4+M3))</f>
        <v>0.15154025014817402</v>
      </c>
      <c r="N11" s="8">
        <f t="shared" ref="N11:N13" si="10">(J4-J3) * ((N4+N3))</f>
        <v>0.10391331438731932</v>
      </c>
      <c r="O11" s="8">
        <f t="shared" ref="O11:O13" si="11">(J4-J3) * ((O4+O3))</f>
        <v>0.13055775397381145</v>
      </c>
      <c r="P11" s="8">
        <f t="shared" ref="P11:P13" si="12">(J4-J3) * ((P4+P3))</f>
        <v>0.13574261789334507</v>
      </c>
    </row>
    <row r="12" spans="1:16" x14ac:dyDescent="0.3">
      <c r="B12" s="9" t="s">
        <v>50</v>
      </c>
      <c r="C12" s="9">
        <f t="shared" si="1"/>
        <v>-0.2075348398960502</v>
      </c>
      <c r="D12" s="9">
        <f t="shared" si="2"/>
        <v>-0.2075348398960502</v>
      </c>
      <c r="E12" s="9">
        <f t="shared" si="3"/>
        <v>-0.16586817322938355</v>
      </c>
      <c r="F12" s="9">
        <f t="shared" si="4"/>
        <v>-0.18253483989605021</v>
      </c>
      <c r="G12" s="9">
        <f t="shared" si="5"/>
        <v>-0.11522714758835789</v>
      </c>
      <c r="H12" s="9">
        <f t="shared" si="6"/>
        <v>-0.12645375881496912</v>
      </c>
      <c r="J12" s="9" t="s">
        <v>50</v>
      </c>
      <c r="K12" s="8">
        <f t="shared" si="7"/>
        <v>0.20753483989605026</v>
      </c>
      <c r="L12" s="8">
        <f t="shared" si="8"/>
        <v>0.23059426655116697</v>
      </c>
      <c r="M12" s="8">
        <f t="shared" si="9"/>
        <v>0.21618212489171898</v>
      </c>
      <c r="N12" s="8">
        <f t="shared" si="10"/>
        <v>0.15046275892463642</v>
      </c>
      <c r="O12" s="8">
        <f t="shared" si="11"/>
        <v>0.19795630882392487</v>
      </c>
      <c r="P12" s="8">
        <f t="shared" si="12"/>
        <v>0.19631674044220973</v>
      </c>
    </row>
    <row r="13" spans="1:16" x14ac:dyDescent="0.3">
      <c r="B13" s="9" t="s">
        <v>49</v>
      </c>
      <c r="C13" s="9">
        <f t="shared" si="1"/>
        <v>0.13020318840139206</v>
      </c>
      <c r="D13" s="9">
        <f t="shared" si="2"/>
        <v>7.4647632845836476E-2</v>
      </c>
      <c r="E13" s="9">
        <f t="shared" si="3"/>
        <v>8.8536521734725371E-2</v>
      </c>
      <c r="F13" s="9">
        <f t="shared" si="4"/>
        <v>0.25520318840139206</v>
      </c>
      <c r="G13" s="9">
        <f t="shared" si="5"/>
        <v>0.10712626532446901</v>
      </c>
      <c r="H13" s="9">
        <f t="shared" si="6"/>
        <v>0.11668967488787857</v>
      </c>
      <c r="J13" s="9" t="s">
        <v>49</v>
      </c>
      <c r="K13" s="8">
        <f t="shared" si="7"/>
        <v>0.55469521739791183</v>
      </c>
      <c r="L13" s="8">
        <f t="shared" si="8"/>
        <v>0.57523948470894559</v>
      </c>
      <c r="M13" s="8">
        <f t="shared" si="9"/>
        <v>0.57010341788118712</v>
      </c>
      <c r="N13" s="8">
        <f t="shared" si="10"/>
        <v>0.50847061594808585</v>
      </c>
      <c r="O13" s="8">
        <f t="shared" si="11"/>
        <v>0.56322898997326432</v>
      </c>
      <c r="P13" s="8">
        <f t="shared" si="12"/>
        <v>0.55969247160870383</v>
      </c>
    </row>
    <row r="14" spans="1:16" x14ac:dyDescent="0.3">
      <c r="J14" s="11" t="s">
        <v>77</v>
      </c>
      <c r="K14" s="11">
        <f>SUM(K9:K13)</f>
        <v>0.89300922478381783</v>
      </c>
      <c r="L14" s="11">
        <f t="shared" ref="L14:P14" si="13">SUM(L9:L13)</f>
        <v>1.0002380916196816</v>
      </c>
      <c r="M14" s="11">
        <f t="shared" si="13"/>
        <v>1.0125852950563061</v>
      </c>
      <c r="N14" s="11">
        <f t="shared" si="13"/>
        <v>0.82377433473655415</v>
      </c>
      <c r="O14" s="11">
        <f t="shared" si="13"/>
        <v>0.95743062123208322</v>
      </c>
      <c r="P14" s="11">
        <f t="shared" si="13"/>
        <v>0.9558032675918422</v>
      </c>
    </row>
    <row r="15" spans="1:16" x14ac:dyDescent="0.3">
      <c r="J15" s="12" t="s">
        <v>78</v>
      </c>
      <c r="K15" s="12">
        <f>1-K14</f>
        <v>0.10699077521618217</v>
      </c>
      <c r="L15" s="12">
        <f t="shared" ref="L15:P15" si="14">1-L14</f>
        <v>-2.3809161968157966E-4</v>
      </c>
      <c r="M15" s="12">
        <f t="shared" si="14"/>
        <v>-1.2585295056306123E-2</v>
      </c>
      <c r="N15" s="12">
        <f t="shared" si="14"/>
        <v>0.17622566526344585</v>
      </c>
      <c r="O15" s="12">
        <f t="shared" si="14"/>
        <v>4.2569378767916777E-2</v>
      </c>
      <c r="P15" s="12">
        <f t="shared" si="14"/>
        <v>4.4196732408157802E-2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BB80-B1D1-4F80-B1F8-B2939744E0CB}">
  <dimension ref="A1:P28"/>
  <sheetViews>
    <sheetView tabSelected="1" workbookViewId="0">
      <selection activeCell="J2" sqref="J2:P2"/>
    </sheetView>
  </sheetViews>
  <sheetFormatPr defaultRowHeight="14.4" x14ac:dyDescent="0.3"/>
  <sheetData>
    <row r="1" spans="1:16" ht="28.2" customHeight="1" x14ac:dyDescent="0.3">
      <c r="A1" s="1" t="s">
        <v>8</v>
      </c>
      <c r="B1" s="2" t="s">
        <v>9</v>
      </c>
      <c r="C1" s="3" t="s">
        <v>10</v>
      </c>
      <c r="D1" s="3" t="s">
        <v>11</v>
      </c>
      <c r="E1" s="3" t="s">
        <v>12</v>
      </c>
      <c r="F1" s="2" t="s">
        <v>13</v>
      </c>
      <c r="G1" s="3" t="s">
        <v>14</v>
      </c>
      <c r="H1" s="3" t="s">
        <v>15</v>
      </c>
      <c r="I1" s="4" t="s">
        <v>9</v>
      </c>
      <c r="J1" s="7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</row>
    <row r="2" spans="1:16" x14ac:dyDescent="0.3">
      <c r="A2" s="9" t="s">
        <v>56</v>
      </c>
      <c r="B2" s="9">
        <v>1.8769792243570626E-2</v>
      </c>
      <c r="C2" s="9">
        <v>1.020408163265306E-2</v>
      </c>
      <c r="D2" s="9">
        <v>5.8139534883720929E-2</v>
      </c>
      <c r="E2" s="9">
        <v>2.0134228187919462E-2</v>
      </c>
      <c r="F2" s="9">
        <v>1.7857142857142856E-2</v>
      </c>
      <c r="G2" s="9">
        <v>1.9108280254777069E-2</v>
      </c>
      <c r="H2" s="9">
        <v>2.6737967914438502E-2</v>
      </c>
      <c r="I2" s="9">
        <v>1.8769792243570626E-2</v>
      </c>
      <c r="J2" s="9">
        <v>1.8769792243570626E-2</v>
      </c>
      <c r="K2" s="9">
        <v>1.020408163265306E-2</v>
      </c>
      <c r="L2" s="9">
        <v>5.8139534883720929E-2</v>
      </c>
      <c r="M2" s="9">
        <v>2.0134228187919462E-2</v>
      </c>
      <c r="N2" s="9">
        <v>1.7857142857142856E-2</v>
      </c>
      <c r="O2" s="9">
        <v>1.9108280254777069E-2</v>
      </c>
      <c r="P2" s="9">
        <v>2.6737967914438502E-2</v>
      </c>
    </row>
    <row r="3" spans="1:16" x14ac:dyDescent="0.3">
      <c r="A3" s="9" t="s">
        <v>61</v>
      </c>
      <c r="B3" s="9">
        <v>2.0928300600690154E-2</v>
      </c>
      <c r="C3" s="9">
        <v>3.0612244897959183E-2</v>
      </c>
      <c r="D3" s="9">
        <v>2.3255813953488372E-2</v>
      </c>
      <c r="E3" s="9">
        <v>2.6845637583892617E-2</v>
      </c>
      <c r="F3" s="9">
        <v>8.9285714285714281E-3</v>
      </c>
      <c r="G3" s="9">
        <v>2.8662420382165606E-2</v>
      </c>
      <c r="H3" s="9">
        <v>1.06951871657754E-2</v>
      </c>
      <c r="I3" s="9">
        <v>3.9698092844260777E-2</v>
      </c>
      <c r="J3" s="9">
        <f>J2+B3</f>
        <v>3.9698092844260777E-2</v>
      </c>
      <c r="K3" s="9">
        <f>K2+C3</f>
        <v>4.0816326530612242E-2</v>
      </c>
      <c r="L3" s="9">
        <f t="shared" ref="L3:P12" si="0">L2+D3</f>
        <v>8.1395348837209308E-2</v>
      </c>
      <c r="M3" s="9">
        <f t="shared" si="0"/>
        <v>4.6979865771812082E-2</v>
      </c>
      <c r="N3" s="9">
        <f t="shared" si="0"/>
        <v>2.6785714285714284E-2</v>
      </c>
      <c r="O3" s="9">
        <f t="shared" si="0"/>
        <v>4.7770700636942678E-2</v>
      </c>
      <c r="P3" s="9">
        <f t="shared" si="0"/>
        <v>3.7433155080213901E-2</v>
      </c>
    </row>
    <row r="4" spans="1:16" x14ac:dyDescent="0.3">
      <c r="A4" s="9" t="s">
        <v>54</v>
      </c>
      <c r="B4" s="9">
        <v>3.0510231613627006E-2</v>
      </c>
      <c r="C4" s="9">
        <v>5.1020408163265302E-3</v>
      </c>
      <c r="D4" s="9">
        <v>1.1627906976744186E-2</v>
      </c>
      <c r="E4" s="9">
        <v>6.7114093959731542E-3</v>
      </c>
      <c r="F4" s="9">
        <v>2.0089285714285716E-2</v>
      </c>
      <c r="G4" s="9">
        <v>4.7770700636942678E-2</v>
      </c>
      <c r="H4" s="9">
        <v>4.8128342245989303E-2</v>
      </c>
      <c r="I4" s="9">
        <v>7.0208324457887786E-2</v>
      </c>
      <c r="J4" s="9">
        <f t="shared" ref="J4:K12" si="1">J3+B4</f>
        <v>7.0208324457887786E-2</v>
      </c>
      <c r="K4" s="9">
        <f t="shared" si="1"/>
        <v>4.5918367346938771E-2</v>
      </c>
      <c r="L4" s="9">
        <f t="shared" si="0"/>
        <v>9.3023255813953487E-2</v>
      </c>
      <c r="M4" s="9">
        <f t="shared" si="0"/>
        <v>5.3691275167785234E-2</v>
      </c>
      <c r="N4" s="9">
        <f t="shared" si="0"/>
        <v>4.6875E-2</v>
      </c>
      <c r="O4" s="9">
        <f t="shared" si="0"/>
        <v>9.5541401273885357E-2</v>
      </c>
      <c r="P4" s="9">
        <f t="shared" si="0"/>
        <v>8.5561497326203204E-2</v>
      </c>
    </row>
    <row r="5" spans="1:16" x14ac:dyDescent="0.3">
      <c r="A5" s="9" t="s">
        <v>60</v>
      </c>
      <c r="B5" s="9">
        <v>3.8341924764623184E-2</v>
      </c>
      <c r="C5" s="9">
        <v>2.0408163265306121E-2</v>
      </c>
      <c r="D5" s="9">
        <v>2.3255813953488372E-2</v>
      </c>
      <c r="E5" s="9">
        <v>6.7114093959731542E-3</v>
      </c>
      <c r="F5" s="9">
        <v>2.0089285714285716E-2</v>
      </c>
      <c r="G5" s="9">
        <v>6.369426751592357E-3</v>
      </c>
      <c r="H5" s="9">
        <v>1.06951871657754E-2</v>
      </c>
      <c r="I5" s="9">
        <v>0.10855024922251097</v>
      </c>
      <c r="J5" s="9">
        <f t="shared" si="1"/>
        <v>0.10855024922251097</v>
      </c>
      <c r="K5" s="9">
        <f t="shared" si="1"/>
        <v>6.6326530612244888E-2</v>
      </c>
      <c r="L5" s="9">
        <f t="shared" si="0"/>
        <v>0.11627906976744186</v>
      </c>
      <c r="M5" s="9">
        <f t="shared" si="0"/>
        <v>6.0402684563758385E-2</v>
      </c>
      <c r="N5" s="9">
        <f t="shared" si="0"/>
        <v>6.6964285714285712E-2</v>
      </c>
      <c r="O5" s="9">
        <f t="shared" si="0"/>
        <v>0.10191082802547771</v>
      </c>
      <c r="P5" s="9">
        <f t="shared" si="0"/>
        <v>9.6256684491978606E-2</v>
      </c>
    </row>
    <row r="6" spans="1:16" x14ac:dyDescent="0.3">
      <c r="A6" s="9" t="s">
        <v>63</v>
      </c>
      <c r="B6" s="9">
        <v>4.4352376489299766E-2</v>
      </c>
      <c r="C6" s="9">
        <v>1.5306122448979591E-2</v>
      </c>
      <c r="D6" s="9">
        <v>1.1627906976744186E-2</v>
      </c>
      <c r="E6" s="9">
        <v>4.6979865771812082E-2</v>
      </c>
      <c r="F6" s="9">
        <v>2.4553571428571428E-2</v>
      </c>
      <c r="G6" s="9">
        <v>3.1847133757961783E-2</v>
      </c>
      <c r="H6" s="9">
        <v>4.2780748663101602E-2</v>
      </c>
      <c r="I6" s="9">
        <v>0.15290262571181074</v>
      </c>
      <c r="J6" s="9">
        <f t="shared" si="1"/>
        <v>0.15290262571181074</v>
      </c>
      <c r="K6" s="9">
        <f t="shared" si="1"/>
        <v>8.1632653061224483E-2</v>
      </c>
      <c r="L6" s="9">
        <f t="shared" si="0"/>
        <v>0.12790697674418605</v>
      </c>
      <c r="M6" s="9">
        <f t="shared" si="0"/>
        <v>0.10738255033557047</v>
      </c>
      <c r="N6" s="9">
        <f t="shared" si="0"/>
        <v>9.1517857142857137E-2</v>
      </c>
      <c r="O6" s="9">
        <f t="shared" si="0"/>
        <v>0.13375796178343949</v>
      </c>
      <c r="P6" s="9">
        <f t="shared" si="0"/>
        <v>0.13903743315508021</v>
      </c>
    </row>
    <row r="7" spans="1:16" x14ac:dyDescent="0.3">
      <c r="A7" s="9" t="s">
        <v>55</v>
      </c>
      <c r="B7" s="9">
        <v>4.43630270239566E-2</v>
      </c>
      <c r="C7" s="9">
        <v>3.0612244897959183E-2</v>
      </c>
      <c r="D7" s="9">
        <v>3.4883720930232558E-2</v>
      </c>
      <c r="E7" s="9">
        <v>3.3557046979865772E-2</v>
      </c>
      <c r="F7" s="9">
        <v>1.1160714285714286E-2</v>
      </c>
      <c r="G7" s="9">
        <v>1.2738853503184714E-2</v>
      </c>
      <c r="H7" s="9">
        <v>5.3475935828877002E-3</v>
      </c>
      <c r="I7" s="9">
        <v>0.19726565273576735</v>
      </c>
      <c r="J7" s="9">
        <f t="shared" si="1"/>
        <v>0.19726565273576735</v>
      </c>
      <c r="K7" s="9">
        <f t="shared" si="1"/>
        <v>0.11224489795918366</v>
      </c>
      <c r="L7" s="9">
        <f t="shared" si="0"/>
        <v>0.16279069767441862</v>
      </c>
      <c r="M7" s="9">
        <f t="shared" si="0"/>
        <v>0.14093959731543623</v>
      </c>
      <c r="N7" s="9">
        <f t="shared" si="0"/>
        <v>0.10267857142857142</v>
      </c>
      <c r="O7" s="9">
        <f t="shared" si="0"/>
        <v>0.1464968152866242</v>
      </c>
      <c r="P7" s="9">
        <f t="shared" si="0"/>
        <v>0.14438502673796791</v>
      </c>
    </row>
    <row r="8" spans="1:16" x14ac:dyDescent="0.3">
      <c r="A8" s="9" t="s">
        <v>62</v>
      </c>
      <c r="B8" s="9">
        <v>5.9199221800934405E-2</v>
      </c>
      <c r="C8" s="9">
        <v>4.0816326530612242E-2</v>
      </c>
      <c r="D8" s="9">
        <v>5.8139534883720929E-2</v>
      </c>
      <c r="E8" s="9">
        <v>3.3557046979865772E-2</v>
      </c>
      <c r="F8" s="9">
        <v>4.0178571428571432E-2</v>
      </c>
      <c r="G8" s="9">
        <v>6.6878980891719744E-2</v>
      </c>
      <c r="H8" s="9">
        <v>6.4171122994652413E-2</v>
      </c>
      <c r="I8" s="9">
        <v>0.25646487453670175</v>
      </c>
      <c r="J8" s="9">
        <f t="shared" si="1"/>
        <v>0.25646487453670175</v>
      </c>
      <c r="K8" s="9">
        <f t="shared" si="1"/>
        <v>0.15306122448979589</v>
      </c>
      <c r="L8" s="9">
        <f t="shared" si="0"/>
        <v>0.22093023255813954</v>
      </c>
      <c r="M8" s="9">
        <f t="shared" si="0"/>
        <v>0.17449664429530201</v>
      </c>
      <c r="N8" s="9">
        <f t="shared" si="0"/>
        <v>0.14285714285714285</v>
      </c>
      <c r="O8" s="9">
        <f t="shared" si="0"/>
        <v>0.21337579617834396</v>
      </c>
      <c r="P8" s="9">
        <f t="shared" si="0"/>
        <v>0.20855614973262032</v>
      </c>
    </row>
    <row r="9" spans="1:16" x14ac:dyDescent="0.3">
      <c r="A9" s="9" t="s">
        <v>57</v>
      </c>
      <c r="B9" s="9">
        <v>6.4868856416592111E-2</v>
      </c>
      <c r="C9" s="9">
        <v>4.5918367346938778E-2</v>
      </c>
      <c r="D9" s="9">
        <v>8.1395348837209308E-2</v>
      </c>
      <c r="E9" s="9">
        <v>6.0402684563758392E-2</v>
      </c>
      <c r="F9" s="9">
        <v>1.7857142857142856E-2</v>
      </c>
      <c r="G9" s="9">
        <v>1.5923566878980892E-2</v>
      </c>
      <c r="H9" s="9">
        <v>2.1390374331550801E-2</v>
      </c>
      <c r="I9" s="9">
        <v>0.32133373095329387</v>
      </c>
      <c r="J9" s="9">
        <f t="shared" si="1"/>
        <v>0.32133373095329387</v>
      </c>
      <c r="K9" s="9">
        <f t="shared" si="1"/>
        <v>0.19897959183673466</v>
      </c>
      <c r="L9" s="9">
        <f t="shared" si="0"/>
        <v>0.30232558139534882</v>
      </c>
      <c r="M9" s="9">
        <f t="shared" si="0"/>
        <v>0.2348993288590604</v>
      </c>
      <c r="N9" s="9">
        <f t="shared" si="0"/>
        <v>0.1607142857142857</v>
      </c>
      <c r="O9" s="9">
        <f t="shared" si="0"/>
        <v>0.22929936305732485</v>
      </c>
      <c r="P9" s="9">
        <f t="shared" si="0"/>
        <v>0.22994652406417113</v>
      </c>
    </row>
    <row r="10" spans="1:16" x14ac:dyDescent="0.3">
      <c r="A10" s="9" t="s">
        <v>58</v>
      </c>
      <c r="B10" s="9">
        <v>6.5877107030772944E-2</v>
      </c>
      <c r="C10" s="9">
        <v>0.11734693877551021</v>
      </c>
      <c r="D10" s="9">
        <v>5.8139534883720929E-2</v>
      </c>
      <c r="E10" s="9">
        <v>0.16778523489932887</v>
      </c>
      <c r="F10" s="9">
        <v>7.8125E-2</v>
      </c>
      <c r="G10" s="9">
        <v>7.6433121019108277E-2</v>
      </c>
      <c r="H10" s="9">
        <v>0.10695187165775401</v>
      </c>
      <c r="I10" s="9">
        <v>0.3872108379840668</v>
      </c>
      <c r="J10" s="9">
        <f t="shared" si="1"/>
        <v>0.3872108379840668</v>
      </c>
      <c r="K10" s="9">
        <f t="shared" si="1"/>
        <v>0.31632653061224486</v>
      </c>
      <c r="L10" s="9">
        <f t="shared" si="0"/>
        <v>0.36046511627906974</v>
      </c>
      <c r="M10" s="9">
        <f t="shared" si="0"/>
        <v>0.40268456375838924</v>
      </c>
      <c r="N10" s="9">
        <f t="shared" si="0"/>
        <v>0.2388392857142857</v>
      </c>
      <c r="O10" s="9">
        <f t="shared" si="0"/>
        <v>0.30573248407643311</v>
      </c>
      <c r="P10" s="9">
        <f t="shared" si="0"/>
        <v>0.33689839572192515</v>
      </c>
    </row>
    <row r="11" spans="1:16" x14ac:dyDescent="0.3">
      <c r="A11" s="9" t="s">
        <v>59</v>
      </c>
      <c r="B11" s="9">
        <v>0.11125903520356722</v>
      </c>
      <c r="C11" s="9">
        <v>5.6122448979591837E-2</v>
      </c>
      <c r="D11" s="9">
        <v>5.8139534883720929E-2</v>
      </c>
      <c r="E11" s="9">
        <v>3.3557046979865772E-2</v>
      </c>
      <c r="F11" s="9">
        <v>1.3392857142857142E-2</v>
      </c>
      <c r="G11" s="9">
        <v>1.2738853503184714E-2</v>
      </c>
      <c r="H11" s="9">
        <v>2.1390374331550801E-2</v>
      </c>
      <c r="I11" s="9">
        <v>0.49846987318763403</v>
      </c>
      <c r="J11" s="9">
        <f t="shared" si="1"/>
        <v>0.49846987318763403</v>
      </c>
      <c r="K11" s="9">
        <f t="shared" si="1"/>
        <v>0.3724489795918367</v>
      </c>
      <c r="L11" s="9">
        <f t="shared" si="0"/>
        <v>0.41860465116279066</v>
      </c>
      <c r="M11" s="9">
        <f t="shared" si="0"/>
        <v>0.43624161073825501</v>
      </c>
      <c r="N11" s="9">
        <f t="shared" si="0"/>
        <v>0.25223214285714285</v>
      </c>
      <c r="O11" s="9">
        <f t="shared" si="0"/>
        <v>0.31847133757961782</v>
      </c>
      <c r="P11" s="9">
        <f t="shared" si="0"/>
        <v>0.35828877005347592</v>
      </c>
    </row>
    <row r="12" spans="1:16" x14ac:dyDescent="0.3">
      <c r="A12" s="9" t="s">
        <v>64</v>
      </c>
      <c r="B12" s="9">
        <v>0.50153012681236597</v>
      </c>
      <c r="C12" s="9">
        <v>0.62755102040816324</v>
      </c>
      <c r="D12" s="9">
        <v>0.58139534883720934</v>
      </c>
      <c r="E12" s="9">
        <v>0.56375838926174493</v>
      </c>
      <c r="F12" s="9">
        <v>0.7477678571428571</v>
      </c>
      <c r="G12" s="9">
        <v>0.68152866242038213</v>
      </c>
      <c r="H12" s="9">
        <v>0.64171122994652408</v>
      </c>
      <c r="I12" s="9">
        <v>1</v>
      </c>
      <c r="J12" s="9">
        <f t="shared" si="1"/>
        <v>1</v>
      </c>
      <c r="K12" s="9">
        <f t="shared" si="1"/>
        <v>1</v>
      </c>
      <c r="L12" s="9">
        <f t="shared" si="0"/>
        <v>1</v>
      </c>
      <c r="M12" s="9">
        <f t="shared" si="0"/>
        <v>1</v>
      </c>
      <c r="N12" s="9">
        <f t="shared" si="0"/>
        <v>1</v>
      </c>
      <c r="O12" s="9">
        <f t="shared" si="0"/>
        <v>1</v>
      </c>
      <c r="P12" s="9">
        <f t="shared" si="0"/>
        <v>1</v>
      </c>
    </row>
    <row r="15" spans="1:16" ht="28.8" x14ac:dyDescent="0.3">
      <c r="B15" s="1" t="s">
        <v>8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69</v>
      </c>
      <c r="H15" s="3" t="s">
        <v>70</v>
      </c>
      <c r="J15" s="8"/>
      <c r="K15" s="11" t="s">
        <v>71</v>
      </c>
      <c r="L15" s="11" t="s">
        <v>72</v>
      </c>
      <c r="M15" s="11" t="s">
        <v>73</v>
      </c>
      <c r="N15" s="11" t="s">
        <v>74</v>
      </c>
      <c r="O15" s="11" t="s">
        <v>75</v>
      </c>
      <c r="P15" s="11" t="s">
        <v>76</v>
      </c>
    </row>
    <row r="16" spans="1:16" x14ac:dyDescent="0.3">
      <c r="B16" s="9" t="s">
        <v>56</v>
      </c>
      <c r="C16" s="9">
        <f>C2-B2</f>
        <v>-8.5657106109175655E-3</v>
      </c>
      <c r="D16" s="9">
        <f>D2-B2</f>
        <v>3.9369742640150307E-2</v>
      </c>
      <c r="E16" s="9">
        <f>E2-B2</f>
        <v>1.3644359443488359E-3</v>
      </c>
      <c r="F16" s="9">
        <f>F2-B2</f>
        <v>-9.1264938642776974E-4</v>
      </c>
      <c r="G16" s="9">
        <f>G2-B2</f>
        <v>3.384880112064434E-4</v>
      </c>
      <c r="H16" s="9">
        <f>H2-B2</f>
        <v>7.9681756708678761E-3</v>
      </c>
      <c r="J16" s="9" t="s">
        <v>56</v>
      </c>
      <c r="K16" s="8">
        <f>(J2-0) * ((K2+0))</f>
        <v>1.9152849228133291E-4</v>
      </c>
      <c r="L16" s="8">
        <f>(J2-0) * ((L2+0))</f>
        <v>1.0912669909052689E-3</v>
      </c>
      <c r="M16" s="8">
        <f>(J2-0) * ((M2+0))</f>
        <v>3.7791528007189177E-4</v>
      </c>
      <c r="N16" s="8">
        <f>(J2-0) * ((N2+0))</f>
        <v>3.3517486149233259E-4</v>
      </c>
      <c r="O16" s="8">
        <f>(J2-0) * ((O2+0))</f>
        <v>3.5865845051408836E-4</v>
      </c>
      <c r="P16" s="8">
        <f>(J2-0) * ((P2+0))</f>
        <v>5.0186610276926804E-4</v>
      </c>
    </row>
    <row r="17" spans="2:16" x14ac:dyDescent="0.3">
      <c r="B17" s="9" t="s">
        <v>61</v>
      </c>
      <c r="C17" s="9">
        <f t="shared" ref="C17:C26" si="2">C3-B3</f>
        <v>9.6839442972690287E-3</v>
      </c>
      <c r="D17" s="9">
        <f t="shared" ref="D17:D26" si="3">D3-B3</f>
        <v>2.3275133527982175E-3</v>
      </c>
      <c r="E17" s="9">
        <f t="shared" ref="E17:E26" si="4">E3-B3</f>
        <v>5.9173369832024626E-3</v>
      </c>
      <c r="F17" s="9">
        <f t="shared" ref="F17:F26" si="5">F3-B3</f>
        <v>-1.1999729172118726E-2</v>
      </c>
      <c r="G17" s="9">
        <f t="shared" ref="G17:G26" si="6">G3-B3</f>
        <v>7.7341197814754514E-3</v>
      </c>
      <c r="H17" s="9">
        <f t="shared" ref="H17:H26" si="7">H3-B3</f>
        <v>-1.0233113434914754E-2</v>
      </c>
      <c r="J17" s="9" t="s">
        <v>61</v>
      </c>
      <c r="K17" s="8">
        <f>(J3-J2) * ((K3+K2))</f>
        <v>1.0677704388107219E-3</v>
      </c>
      <c r="L17" s="8">
        <f>(J3-J2) * ((L3+L2))</f>
        <v>2.9202279907939743E-3</v>
      </c>
      <c r="M17" s="8">
        <f>(J3-J2) * ((M3+M2))</f>
        <v>1.4045839329322248E-3</v>
      </c>
      <c r="N17" s="8">
        <f>(J3-J2) * ((N3+N2))</f>
        <v>9.3429913395938165E-4</v>
      </c>
      <c r="O17" s="8">
        <f>(J3-J2) * ((O3+O2))</f>
        <v>1.3996634159697235E-3</v>
      </c>
      <c r="P17" s="8">
        <f>(J3-J2) * ((P3+P2))</f>
        <v>1.3429925519159453E-3</v>
      </c>
    </row>
    <row r="18" spans="2:16" x14ac:dyDescent="0.3">
      <c r="B18" s="9" t="s">
        <v>54</v>
      </c>
      <c r="C18" s="9">
        <f t="shared" si="2"/>
        <v>-2.5408190797300476E-2</v>
      </c>
      <c r="D18" s="9">
        <f t="shared" si="3"/>
        <v>-1.888232463688282E-2</v>
      </c>
      <c r="E18" s="9">
        <f t="shared" si="4"/>
        <v>-2.3798822217653851E-2</v>
      </c>
      <c r="F18" s="9">
        <f t="shared" si="5"/>
        <v>-1.042094589934129E-2</v>
      </c>
      <c r="G18" s="9">
        <f t="shared" si="6"/>
        <v>1.7260469023315673E-2</v>
      </c>
      <c r="H18" s="9">
        <f t="shared" si="7"/>
        <v>1.7618110632362297E-2</v>
      </c>
      <c r="J18" s="9" t="s">
        <v>54</v>
      </c>
      <c r="K18" s="8">
        <f t="shared" ref="K18:K26" si="8">(J4-J3) * ((K4+K3))</f>
        <v>2.6462955991411177E-3</v>
      </c>
      <c r="L18" s="8">
        <f t="shared" ref="L18:L26" si="9">(J4-J3) * ((L4+L3))</f>
        <v>5.3215520256326178E-3</v>
      </c>
      <c r="M18" s="8">
        <f t="shared" ref="M18:M26" si="10">(J4-J3) * ((M4+M3))</f>
        <v>3.0714998268752021E-3</v>
      </c>
      <c r="N18" s="8">
        <f t="shared" ref="N18:N26" si="11">(J4-J3) * ((N4+N3))</f>
        <v>2.2474054536823465E-3</v>
      </c>
      <c r="O18" s="8">
        <f t="shared" ref="O18:O26" si="12">(J4-J3) * ((O4+O3))</f>
        <v>4.3724854223350816E-3</v>
      </c>
      <c r="P18" s="8">
        <f t="shared" ref="P18:P26" si="13">(J4-J3) * ((P4+P3))</f>
        <v>3.7525953321573325E-3</v>
      </c>
    </row>
    <row r="19" spans="2:16" x14ac:dyDescent="0.3">
      <c r="B19" s="9" t="s">
        <v>60</v>
      </c>
      <c r="C19" s="9">
        <f t="shared" si="2"/>
        <v>-1.7933761499317063E-2</v>
      </c>
      <c r="D19" s="9">
        <f t="shared" si="3"/>
        <v>-1.5086110811134812E-2</v>
      </c>
      <c r="E19" s="9">
        <f t="shared" si="4"/>
        <v>-3.1630515368650032E-2</v>
      </c>
      <c r="F19" s="9">
        <f t="shared" si="5"/>
        <v>-1.8252639050337468E-2</v>
      </c>
      <c r="G19" s="9">
        <f t="shared" si="6"/>
        <v>-3.1972498013030828E-2</v>
      </c>
      <c r="H19" s="9">
        <f t="shared" si="7"/>
        <v>-2.7646737598847781E-2</v>
      </c>
      <c r="J19" s="9" t="s">
        <v>60</v>
      </c>
      <c r="K19" s="8">
        <f t="shared" si="8"/>
        <v>4.3036854327638263E-3</v>
      </c>
      <c r="L19" s="8">
        <f t="shared" si="9"/>
        <v>8.025054020502527E-3</v>
      </c>
      <c r="M19" s="8">
        <f t="shared" si="10"/>
        <v>4.3745820201247926E-3</v>
      </c>
      <c r="N19" s="8">
        <f t="shared" si="11"/>
        <v>4.3648173281155859E-3</v>
      </c>
      <c r="O19" s="8">
        <f t="shared" si="12"/>
        <v>7.5706985204033045E-3</v>
      </c>
      <c r="P19" s="8">
        <f t="shared" si="13"/>
        <v>6.9712590481133064E-3</v>
      </c>
    </row>
    <row r="20" spans="2:16" x14ac:dyDescent="0.3">
      <c r="B20" s="9" t="s">
        <v>63</v>
      </c>
      <c r="C20" s="9">
        <f t="shared" si="2"/>
        <v>-2.9046254040320175E-2</v>
      </c>
      <c r="D20" s="9">
        <f t="shared" si="3"/>
        <v>-3.272446951255558E-2</v>
      </c>
      <c r="E20" s="9">
        <f t="shared" si="4"/>
        <v>2.6274892825123158E-3</v>
      </c>
      <c r="F20" s="9">
        <f t="shared" si="5"/>
        <v>-1.9798805060728338E-2</v>
      </c>
      <c r="G20" s="9">
        <f t="shared" si="6"/>
        <v>-1.2505242731337983E-2</v>
      </c>
      <c r="H20" s="9">
        <f t="shared" si="7"/>
        <v>-1.5716278261981645E-3</v>
      </c>
      <c r="J20" s="9" t="s">
        <v>63</v>
      </c>
      <c r="K20" s="8">
        <f t="shared" si="8"/>
        <v>6.5623414193351692E-3</v>
      </c>
      <c r="L20" s="8">
        <f t="shared" si="9"/>
        <v>1.0830231468317384E-2</v>
      </c>
      <c r="M20" s="8">
        <f t="shared" si="10"/>
        <v>7.4416739076006311E-3</v>
      </c>
      <c r="N20" s="8">
        <f t="shared" si="11"/>
        <v>7.0290596668309896E-3</v>
      </c>
      <c r="O20" s="8">
        <f t="shared" si="12"/>
        <v>1.0452470892382748E-2</v>
      </c>
      <c r="P20" s="8">
        <f t="shared" si="13"/>
        <v>1.0435853291599946E-2</v>
      </c>
    </row>
    <row r="21" spans="2:16" x14ac:dyDescent="0.3">
      <c r="B21" s="9" t="s">
        <v>55</v>
      </c>
      <c r="C21" s="9">
        <f t="shared" si="2"/>
        <v>-1.3750782125997417E-2</v>
      </c>
      <c r="D21" s="9">
        <f t="shared" si="3"/>
        <v>-9.4793060937240423E-3</v>
      </c>
      <c r="E21" s="9">
        <f t="shared" si="4"/>
        <v>-1.0805980044090828E-2</v>
      </c>
      <c r="F21" s="9">
        <f t="shared" si="5"/>
        <v>-3.3202312738242312E-2</v>
      </c>
      <c r="G21" s="9">
        <f t="shared" si="6"/>
        <v>-3.1624173520771889E-2</v>
      </c>
      <c r="H21" s="9">
        <f t="shared" si="7"/>
        <v>-3.9015433441068899E-2</v>
      </c>
      <c r="J21" s="9" t="s">
        <v>55</v>
      </c>
      <c r="K21" s="8">
        <f t="shared" si="8"/>
        <v>8.6009950352568948E-3</v>
      </c>
      <c r="L21" s="8">
        <f t="shared" si="9"/>
        <v>1.28962287860339E-2</v>
      </c>
      <c r="M21" s="8">
        <f t="shared" si="10"/>
        <v>1.1016322146888554E-2</v>
      </c>
      <c r="N21" s="8">
        <f t="shared" si="11"/>
        <v>8.6151414086701444E-3</v>
      </c>
      <c r="O21" s="8">
        <f t="shared" si="12"/>
        <v>1.2432950248752172E-2</v>
      </c>
      <c r="P21" s="8">
        <f t="shared" si="13"/>
        <v>1.2573478247431555E-2</v>
      </c>
    </row>
    <row r="22" spans="2:16" x14ac:dyDescent="0.3">
      <c r="B22" s="9" t="s">
        <v>62</v>
      </c>
      <c r="C22" s="9">
        <f t="shared" si="2"/>
        <v>-1.8382895270322164E-2</v>
      </c>
      <c r="D22" s="9">
        <f t="shared" si="3"/>
        <v>-1.059686917213476E-3</v>
      </c>
      <c r="E22" s="9">
        <f t="shared" si="4"/>
        <v>-2.5642174821068633E-2</v>
      </c>
      <c r="F22" s="9">
        <f t="shared" si="5"/>
        <v>-1.9020650372362974E-2</v>
      </c>
      <c r="G22" s="9">
        <f t="shared" si="6"/>
        <v>7.6797590907853389E-3</v>
      </c>
      <c r="H22" s="9">
        <f t="shared" si="7"/>
        <v>4.9719011937180077E-3</v>
      </c>
      <c r="J22" s="9" t="s">
        <v>62</v>
      </c>
      <c r="K22" s="8">
        <f t="shared" si="8"/>
        <v>1.5705915988003E-2</v>
      </c>
      <c r="L22" s="8">
        <f t="shared" si="9"/>
        <v>2.2715980458498083E-2</v>
      </c>
      <c r="M22" s="8">
        <f t="shared" si="10"/>
        <v>1.8673580031167227E-2</v>
      </c>
      <c r="N22" s="8">
        <f t="shared" si="11"/>
        <v>1.4535523210050857E-2</v>
      </c>
      <c r="O22" s="8">
        <f t="shared" si="12"/>
        <v>2.130417854619614E-2</v>
      </c>
      <c r="P22" s="8">
        <f t="shared" si="13"/>
        <v>2.089384298856508E-2</v>
      </c>
    </row>
    <row r="23" spans="2:16" x14ac:dyDescent="0.3">
      <c r="B23" s="9" t="s">
        <v>57</v>
      </c>
      <c r="C23" s="9">
        <f t="shared" si="2"/>
        <v>-1.8950489069653333E-2</v>
      </c>
      <c r="D23" s="9">
        <f t="shared" si="3"/>
        <v>1.6526492420617198E-2</v>
      </c>
      <c r="E23" s="9">
        <f t="shared" si="4"/>
        <v>-4.4661718528337183E-3</v>
      </c>
      <c r="F23" s="9">
        <f t="shared" si="5"/>
        <v>-4.7011713559449254E-2</v>
      </c>
      <c r="G23" s="9">
        <f t="shared" si="6"/>
        <v>-4.8945289537611222E-2</v>
      </c>
      <c r="H23" s="9">
        <f t="shared" si="7"/>
        <v>-4.3478482085041306E-2</v>
      </c>
      <c r="J23" s="9" t="s">
        <v>57</v>
      </c>
      <c r="K23" s="8">
        <f t="shared" si="8"/>
        <v>2.2836485167065591E-2</v>
      </c>
      <c r="L23" s="8">
        <f t="shared" si="9"/>
        <v>3.3943006264495881E-2</v>
      </c>
      <c r="M23" s="8">
        <f t="shared" si="10"/>
        <v>2.6557048600081339E-2</v>
      </c>
      <c r="N23" s="8">
        <f t="shared" si="11"/>
        <v>1.9692331412179749E-2</v>
      </c>
      <c r="O23" s="8">
        <f t="shared" si="12"/>
        <v>2.8715831343650654E-2</v>
      </c>
      <c r="P23" s="8">
        <f t="shared" si="13"/>
        <v>2.8445166984815796E-2</v>
      </c>
    </row>
    <row r="24" spans="2:16" x14ac:dyDescent="0.3">
      <c r="B24" s="9" t="s">
        <v>58</v>
      </c>
      <c r="C24" s="9">
        <f t="shared" si="2"/>
        <v>5.1469831744737266E-2</v>
      </c>
      <c r="D24" s="9">
        <f t="shared" si="3"/>
        <v>-7.7375721470520145E-3</v>
      </c>
      <c r="E24" s="9">
        <f t="shared" si="4"/>
        <v>0.10190812786855592</v>
      </c>
      <c r="F24" s="9">
        <f t="shared" si="5"/>
        <v>1.2247892969227056E-2</v>
      </c>
      <c r="G24" s="9">
        <f t="shared" si="6"/>
        <v>1.0556013988335333E-2</v>
      </c>
      <c r="H24" s="9">
        <f t="shared" si="7"/>
        <v>4.1074764626981064E-2</v>
      </c>
      <c r="J24" s="9" t="s">
        <v>58</v>
      </c>
      <c r="K24" s="8">
        <f t="shared" si="8"/>
        <v>3.394687658218401E-2</v>
      </c>
      <c r="L24" s="8">
        <f t="shared" si="9"/>
        <v>4.3662733729698332E-2</v>
      </c>
      <c r="M24" s="8">
        <f t="shared" si="10"/>
        <v>4.2002182335056565E-2</v>
      </c>
      <c r="N24" s="8">
        <f t="shared" si="11"/>
        <v>2.6321433389527575E-2</v>
      </c>
      <c r="O24" s="8">
        <f t="shared" si="12"/>
        <v>3.5246350258502715E-2</v>
      </c>
      <c r="P24" s="8">
        <f t="shared" si="13"/>
        <v>3.734210345059856E-2</v>
      </c>
    </row>
    <row r="25" spans="2:16" x14ac:dyDescent="0.3">
      <c r="B25" s="9" t="s">
        <v>59</v>
      </c>
      <c r="C25" s="9">
        <f t="shared" si="2"/>
        <v>-5.5136586223975388E-2</v>
      </c>
      <c r="D25" s="9">
        <f t="shared" si="3"/>
        <v>-5.3119500319846295E-2</v>
      </c>
      <c r="E25" s="9">
        <f t="shared" si="4"/>
        <v>-7.7701988223701446E-2</v>
      </c>
      <c r="F25" s="9">
        <f t="shared" si="5"/>
        <v>-9.7866178060710088E-2</v>
      </c>
      <c r="G25" s="9">
        <f t="shared" si="6"/>
        <v>-9.8520181700382514E-2</v>
      </c>
      <c r="H25" s="9">
        <f t="shared" si="7"/>
        <v>-8.986866087201642E-2</v>
      </c>
      <c r="J25" s="9" t="s">
        <v>59</v>
      </c>
      <c r="K25" s="8">
        <f t="shared" si="8"/>
        <v>7.6632498737150889E-2</v>
      </c>
      <c r="L25" s="8">
        <f t="shared" si="9"/>
        <v>8.6678550681848876E-2</v>
      </c>
      <c r="M25" s="8">
        <f t="shared" si="10"/>
        <v>9.3338116781516128E-2</v>
      </c>
      <c r="N25" s="8">
        <f t="shared" si="11"/>
        <v>5.4636133358894619E-2</v>
      </c>
      <c r="O25" s="8">
        <f t="shared" si="12"/>
        <v>6.944831496783177E-2</v>
      </c>
      <c r="P25" s="8">
        <f t="shared" si="13"/>
        <v>7.7345853350073476E-2</v>
      </c>
    </row>
    <row r="26" spans="2:16" x14ac:dyDescent="0.3">
      <c r="B26" s="9" t="s">
        <v>64</v>
      </c>
      <c r="C26" s="9">
        <f t="shared" si="2"/>
        <v>0.12602089359579727</v>
      </c>
      <c r="D26" s="9">
        <f t="shared" si="3"/>
        <v>7.9865222024843363E-2</v>
      </c>
      <c r="E26" s="9">
        <f t="shared" si="4"/>
        <v>6.2228262449378957E-2</v>
      </c>
      <c r="F26" s="9">
        <f t="shared" si="5"/>
        <v>0.24623773033049112</v>
      </c>
      <c r="G26" s="9">
        <f t="shared" si="6"/>
        <v>0.17999853560801615</v>
      </c>
      <c r="H26" s="9">
        <f t="shared" si="7"/>
        <v>0.1401811031341581</v>
      </c>
      <c r="J26" s="9" t="s">
        <v>64</v>
      </c>
      <c r="K26" s="8">
        <f t="shared" si="8"/>
        <v>0.68832451077819612</v>
      </c>
      <c r="L26" s="8">
        <f t="shared" si="9"/>
        <v>0.71147297059428649</v>
      </c>
      <c r="M26" s="8">
        <f t="shared" si="10"/>
        <v>0.72031843716675381</v>
      </c>
      <c r="N26" s="8">
        <f t="shared" si="11"/>
        <v>0.62803214540566366</v>
      </c>
      <c r="O26" s="8">
        <f t="shared" si="12"/>
        <v>0.66125309713477554</v>
      </c>
      <c r="P26" s="8">
        <f t="shared" si="13"/>
        <v>0.68122273909273245</v>
      </c>
    </row>
    <row r="27" spans="2:16" x14ac:dyDescent="0.3">
      <c r="J27" s="13" t="s">
        <v>77</v>
      </c>
      <c r="K27" s="11">
        <f>SUM(K16:K26)</f>
        <v>0.86081890367018865</v>
      </c>
      <c r="L27" s="11">
        <f t="shared" ref="L27:P27" si="14">SUM(L16:L26)</f>
        <v>0.93955780301101333</v>
      </c>
      <c r="M27" s="11">
        <f t="shared" si="14"/>
        <v>0.92857594202906835</v>
      </c>
      <c r="N27" s="11">
        <f t="shared" si="14"/>
        <v>0.76674346462906717</v>
      </c>
      <c r="O27" s="11">
        <f t="shared" si="14"/>
        <v>0.85255469920131399</v>
      </c>
      <c r="P27" s="11">
        <f t="shared" si="14"/>
        <v>0.88082775044077266</v>
      </c>
    </row>
    <row r="28" spans="2:16" x14ac:dyDescent="0.3">
      <c r="J28" s="14" t="s">
        <v>78</v>
      </c>
      <c r="K28" s="12">
        <f>1-K27</f>
        <v>0.13918109632981135</v>
      </c>
      <c r="L28" s="12">
        <f t="shared" ref="L28:P28" si="15">1-L27</f>
        <v>6.0442196988986674E-2</v>
      </c>
      <c r="M28" s="12">
        <f t="shared" si="15"/>
        <v>7.1424057970931654E-2</v>
      </c>
      <c r="N28" s="12">
        <f t="shared" si="15"/>
        <v>0.23325653537093283</v>
      </c>
      <c r="O28" s="12">
        <f t="shared" si="15"/>
        <v>0.14744530079868601</v>
      </c>
      <c r="P28" s="12">
        <f t="shared" si="15"/>
        <v>0.11917224955922734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ÁGUAS FORMOSAS</vt:lpstr>
      <vt:lpstr>ALMENARA-JACINTO</vt:lpstr>
      <vt:lpstr>ITAMBACURI</vt:lpstr>
      <vt:lpstr>ITAOBIM</vt:lpstr>
      <vt:lpstr>NANUQUE</vt:lpstr>
      <vt:lpstr>PADRE PARAÍSO</vt:lpstr>
      <vt:lpstr>PEDRA AZUL</vt:lpstr>
      <vt:lpstr>TEÓFILO OTONI - MALACACHETA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2025-04-20T19:51:48Z</dcterms:created>
  <dcterms:modified xsi:type="dcterms:W3CDTF">2025-08-24T18:04:26Z</dcterms:modified>
</cp:coreProperties>
</file>