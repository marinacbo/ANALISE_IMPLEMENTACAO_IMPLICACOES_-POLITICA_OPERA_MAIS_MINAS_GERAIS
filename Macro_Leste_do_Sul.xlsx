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Cirurgia Geral/analises_finais_cirurgia_geral/"/>
    </mc:Choice>
  </mc:AlternateContent>
  <xr:revisionPtr revIDLastSave="55" documentId="8_{31A7B67B-A7D7-4A89-BC20-4DAF723B16A7}" xr6:coauthVersionLast="47" xr6:coauthVersionMax="47" xr10:uidLastSave="{5AB11501-106C-466E-BA45-2414698C03A8}"/>
  <bookViews>
    <workbookView xWindow="-108" yWindow="-108" windowWidth="23256" windowHeight="12456" xr2:uid="{24F8C946-44FD-4B70-A9B8-885A38FDE475}"/>
  </bookViews>
  <sheets>
    <sheet name="MANHUAÇU" sheetId="1" r:id="rId1"/>
    <sheet name="PONTE NOVA" sheetId="2" r:id="rId2"/>
    <sheet name="VIÇO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3" l="1"/>
  <c r="O20" i="3"/>
  <c r="N19" i="3"/>
  <c r="M19" i="3"/>
  <c r="P16" i="3"/>
  <c r="O16" i="3"/>
  <c r="N15" i="3"/>
  <c r="M15" i="3"/>
  <c r="P13" i="3"/>
  <c r="O13" i="3"/>
  <c r="N13" i="3"/>
  <c r="M13" i="3"/>
  <c r="L13" i="3"/>
  <c r="K13" i="3"/>
  <c r="K27" i="2"/>
  <c r="L27" i="2"/>
  <c r="M27" i="2"/>
  <c r="N27" i="2"/>
  <c r="O27" i="2"/>
  <c r="P27" i="2"/>
  <c r="K28" i="2"/>
  <c r="L28" i="2"/>
  <c r="M28" i="2"/>
  <c r="N28" i="2"/>
  <c r="O28" i="2"/>
  <c r="P28" i="2"/>
  <c r="K29" i="2"/>
  <c r="L29" i="2"/>
  <c r="M29" i="2"/>
  <c r="N29" i="2"/>
  <c r="O29" i="2"/>
  <c r="P29" i="2"/>
  <c r="K30" i="2"/>
  <c r="L30" i="2"/>
  <c r="M30" i="2"/>
  <c r="N30" i="2"/>
  <c r="O30" i="2"/>
  <c r="P30" i="2"/>
  <c r="K31" i="2"/>
  <c r="L31" i="2"/>
  <c r="M31" i="2"/>
  <c r="N31" i="2"/>
  <c r="O31" i="2"/>
  <c r="P31" i="2"/>
  <c r="K32" i="2"/>
  <c r="L32" i="2"/>
  <c r="M32" i="2"/>
  <c r="N32" i="2"/>
  <c r="O32" i="2"/>
  <c r="P32" i="2"/>
  <c r="K33" i="2"/>
  <c r="L33" i="2"/>
  <c r="M33" i="2"/>
  <c r="N33" i="2"/>
  <c r="O33" i="2"/>
  <c r="P33" i="2"/>
  <c r="K34" i="2"/>
  <c r="L34" i="2"/>
  <c r="M34" i="2"/>
  <c r="N34" i="2"/>
  <c r="O34" i="2"/>
  <c r="P34" i="2"/>
  <c r="K35" i="2"/>
  <c r="L35" i="2"/>
  <c r="M35" i="2"/>
  <c r="N35" i="2"/>
  <c r="O35" i="2"/>
  <c r="P35" i="2"/>
  <c r="K36" i="2"/>
  <c r="L36" i="2"/>
  <c r="M36" i="2"/>
  <c r="N36" i="2"/>
  <c r="O36" i="2"/>
  <c r="P36" i="2"/>
  <c r="K37" i="2"/>
  <c r="L37" i="2"/>
  <c r="M37" i="2"/>
  <c r="N37" i="2"/>
  <c r="O37" i="2"/>
  <c r="P37" i="2"/>
  <c r="K38" i="2"/>
  <c r="L38" i="2"/>
  <c r="M38" i="2"/>
  <c r="N38" i="2"/>
  <c r="O38" i="2"/>
  <c r="P38" i="2"/>
  <c r="K39" i="2"/>
  <c r="L39" i="2"/>
  <c r="M39" i="2"/>
  <c r="N39" i="2"/>
  <c r="O39" i="2"/>
  <c r="P39" i="2"/>
  <c r="K40" i="2"/>
  <c r="L40" i="2"/>
  <c r="M40" i="2"/>
  <c r="N40" i="2"/>
  <c r="O40" i="2"/>
  <c r="P40" i="2"/>
  <c r="K41" i="2"/>
  <c r="L41" i="2"/>
  <c r="M41" i="2"/>
  <c r="N41" i="2"/>
  <c r="O41" i="2"/>
  <c r="P41" i="2"/>
  <c r="K42" i="2"/>
  <c r="L42" i="2"/>
  <c r="M42" i="2"/>
  <c r="N42" i="2"/>
  <c r="O42" i="2"/>
  <c r="P42" i="2"/>
  <c r="K43" i="2"/>
  <c r="L43" i="2"/>
  <c r="M43" i="2"/>
  <c r="N43" i="2"/>
  <c r="O43" i="2"/>
  <c r="P43" i="2"/>
  <c r="K44" i="2"/>
  <c r="L44" i="2"/>
  <c r="M44" i="2"/>
  <c r="N44" i="2"/>
  <c r="O44" i="2"/>
  <c r="P44" i="2"/>
  <c r="K45" i="2"/>
  <c r="L45" i="2"/>
  <c r="M45" i="2"/>
  <c r="N45" i="2"/>
  <c r="O45" i="2"/>
  <c r="P45" i="2"/>
  <c r="P26" i="2"/>
  <c r="O26" i="2"/>
  <c r="N26" i="2"/>
  <c r="M26" i="2"/>
  <c r="L26" i="2"/>
  <c r="K26" i="2"/>
  <c r="P25" i="2"/>
  <c r="O25" i="2"/>
  <c r="N25" i="2"/>
  <c r="M25" i="2"/>
  <c r="L25" i="2"/>
  <c r="K25" i="2"/>
  <c r="P49" i="1"/>
  <c r="O49" i="1"/>
  <c r="L47" i="1"/>
  <c r="K47" i="1"/>
  <c r="P45" i="1"/>
  <c r="O45" i="1"/>
  <c r="L43" i="1"/>
  <c r="K43" i="1"/>
  <c r="P41" i="1"/>
  <c r="O41" i="1"/>
  <c r="L39" i="1"/>
  <c r="K39" i="1"/>
  <c r="K38" i="1"/>
  <c r="P37" i="1"/>
  <c r="O37" i="1"/>
  <c r="L35" i="1"/>
  <c r="K35" i="1"/>
  <c r="K34" i="1"/>
  <c r="P33" i="1"/>
  <c r="O33" i="1"/>
  <c r="L31" i="1"/>
  <c r="K31" i="1"/>
  <c r="K30" i="1"/>
  <c r="P29" i="1"/>
  <c r="O29" i="1"/>
  <c r="K29" i="1"/>
  <c r="P28" i="1"/>
  <c r="O28" i="1"/>
  <c r="N28" i="1"/>
  <c r="M28" i="1"/>
  <c r="L28" i="1"/>
  <c r="K28" i="1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P3" i="3"/>
  <c r="P4" i="3" s="1"/>
  <c r="P5" i="3" s="1"/>
  <c r="P6" i="3" s="1"/>
  <c r="P7" i="3" s="1"/>
  <c r="P8" i="3" s="1"/>
  <c r="P9" i="3" s="1"/>
  <c r="P10" i="3" s="1"/>
  <c r="O3" i="3"/>
  <c r="O4" i="3" s="1"/>
  <c r="O5" i="3" s="1"/>
  <c r="O6" i="3" s="1"/>
  <c r="O7" i="3" s="1"/>
  <c r="O8" i="3" s="1"/>
  <c r="O9" i="3" s="1"/>
  <c r="O10" i="3" s="1"/>
  <c r="N3" i="3"/>
  <c r="N4" i="3" s="1"/>
  <c r="N5" i="3" s="1"/>
  <c r="N6" i="3" s="1"/>
  <c r="N7" i="3" s="1"/>
  <c r="N8" i="3" s="1"/>
  <c r="N9" i="3" s="1"/>
  <c r="N10" i="3" s="1"/>
  <c r="M3" i="3"/>
  <c r="M4" i="3" s="1"/>
  <c r="M5" i="3" s="1"/>
  <c r="M6" i="3" s="1"/>
  <c r="M7" i="3" s="1"/>
  <c r="M8" i="3" s="1"/>
  <c r="M9" i="3" s="1"/>
  <c r="M10" i="3" s="1"/>
  <c r="M21" i="3" s="1"/>
  <c r="L3" i="3"/>
  <c r="L4" i="3" s="1"/>
  <c r="L5" i="3" s="1"/>
  <c r="L6" i="3" s="1"/>
  <c r="L7" i="3" s="1"/>
  <c r="L8" i="3" s="1"/>
  <c r="L9" i="3" s="1"/>
  <c r="L10" i="3" s="1"/>
  <c r="K3" i="3"/>
  <c r="K4" i="3" s="1"/>
  <c r="K5" i="3" s="1"/>
  <c r="K6" i="3" s="1"/>
  <c r="K7" i="3" s="1"/>
  <c r="K8" i="3" s="1"/>
  <c r="K9" i="3" s="1"/>
  <c r="K10" i="3" s="1"/>
  <c r="K21" i="3" s="1"/>
  <c r="J3" i="3"/>
  <c r="J4" i="3" s="1"/>
  <c r="J5" i="3" s="1"/>
  <c r="J6" i="3" s="1"/>
  <c r="J7" i="3" s="1"/>
  <c r="J8" i="3" s="1"/>
  <c r="J9" i="3" s="1"/>
  <c r="J10" i="3" s="1"/>
  <c r="P21" i="3" s="1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28" i="2"/>
  <c r="C29" i="2"/>
  <c r="D29" i="2"/>
  <c r="E29" i="2"/>
  <c r="F29" i="2"/>
  <c r="G29" i="2"/>
  <c r="H29" i="2"/>
  <c r="C30" i="2"/>
  <c r="D30" i="2"/>
  <c r="E30" i="2"/>
  <c r="F30" i="2"/>
  <c r="G30" i="2"/>
  <c r="H30" i="2"/>
  <c r="C31" i="2"/>
  <c r="D31" i="2"/>
  <c r="E31" i="2"/>
  <c r="F31" i="2"/>
  <c r="G31" i="2"/>
  <c r="H31" i="2"/>
  <c r="C32" i="2"/>
  <c r="D32" i="2"/>
  <c r="E32" i="2"/>
  <c r="F32" i="2"/>
  <c r="G32" i="2"/>
  <c r="H32" i="2"/>
  <c r="C33" i="2"/>
  <c r="D33" i="2"/>
  <c r="E33" i="2"/>
  <c r="F33" i="2"/>
  <c r="G33" i="2"/>
  <c r="H33" i="2"/>
  <c r="C34" i="2"/>
  <c r="D34" i="2"/>
  <c r="E34" i="2"/>
  <c r="F34" i="2"/>
  <c r="G34" i="2"/>
  <c r="H34" i="2"/>
  <c r="C35" i="2"/>
  <c r="D35" i="2"/>
  <c r="E35" i="2"/>
  <c r="F35" i="2"/>
  <c r="G35" i="2"/>
  <c r="H35" i="2"/>
  <c r="C36" i="2"/>
  <c r="D36" i="2"/>
  <c r="E36" i="2"/>
  <c r="F36" i="2"/>
  <c r="G36" i="2"/>
  <c r="H36" i="2"/>
  <c r="C37" i="2"/>
  <c r="D37" i="2"/>
  <c r="E37" i="2"/>
  <c r="F37" i="2"/>
  <c r="G37" i="2"/>
  <c r="H37" i="2"/>
  <c r="C38" i="2"/>
  <c r="D38" i="2"/>
  <c r="E38" i="2"/>
  <c r="F38" i="2"/>
  <c r="G38" i="2"/>
  <c r="H38" i="2"/>
  <c r="C39" i="2"/>
  <c r="D39" i="2"/>
  <c r="E39" i="2"/>
  <c r="F39" i="2"/>
  <c r="G39" i="2"/>
  <c r="H39" i="2"/>
  <c r="C40" i="2"/>
  <c r="D40" i="2"/>
  <c r="E40" i="2"/>
  <c r="F40" i="2"/>
  <c r="G40" i="2"/>
  <c r="H40" i="2"/>
  <c r="C41" i="2"/>
  <c r="D41" i="2"/>
  <c r="E41" i="2"/>
  <c r="F41" i="2"/>
  <c r="G41" i="2"/>
  <c r="H41" i="2"/>
  <c r="C42" i="2"/>
  <c r="D42" i="2"/>
  <c r="E42" i="2"/>
  <c r="F42" i="2"/>
  <c r="G42" i="2"/>
  <c r="H42" i="2"/>
  <c r="C43" i="2"/>
  <c r="D43" i="2"/>
  <c r="E43" i="2"/>
  <c r="F43" i="2"/>
  <c r="G43" i="2"/>
  <c r="H43" i="2"/>
  <c r="C44" i="2"/>
  <c r="D44" i="2"/>
  <c r="E44" i="2"/>
  <c r="F44" i="2"/>
  <c r="G44" i="2"/>
  <c r="H44" i="2"/>
  <c r="C45" i="2"/>
  <c r="D45" i="2"/>
  <c r="E45" i="2"/>
  <c r="F45" i="2"/>
  <c r="G45" i="2"/>
  <c r="H45" i="2"/>
  <c r="H25" i="2"/>
  <c r="G25" i="2"/>
  <c r="F25" i="2"/>
  <c r="E25" i="2"/>
  <c r="D25" i="2"/>
  <c r="C25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50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50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P50" i="1" s="1"/>
  <c r="K14" i="3" l="1"/>
  <c r="L14" i="3"/>
  <c r="M14" i="3"/>
  <c r="O15" i="3"/>
  <c r="K17" i="3"/>
  <c r="M18" i="3"/>
  <c r="O19" i="3"/>
  <c r="N14" i="3"/>
  <c r="P15" i="3"/>
  <c r="L17" i="3"/>
  <c r="N18" i="3"/>
  <c r="P19" i="3"/>
  <c r="L21" i="3"/>
  <c r="O18" i="3"/>
  <c r="P14" i="3"/>
  <c r="L16" i="3"/>
  <c r="N17" i="3"/>
  <c r="P18" i="3"/>
  <c r="L20" i="3"/>
  <c r="N21" i="3"/>
  <c r="K18" i="3"/>
  <c r="O14" i="3"/>
  <c r="K16" i="3"/>
  <c r="M17" i="3"/>
  <c r="K15" i="3"/>
  <c r="M16" i="3"/>
  <c r="O17" i="3"/>
  <c r="K19" i="3"/>
  <c r="M20" i="3"/>
  <c r="O21" i="3"/>
  <c r="L18" i="3"/>
  <c r="K20" i="3"/>
  <c r="L15" i="3"/>
  <c r="N16" i="3"/>
  <c r="P17" i="3"/>
  <c r="L19" i="3"/>
  <c r="N20" i="3"/>
  <c r="M31" i="1"/>
  <c r="O32" i="1"/>
  <c r="M35" i="1"/>
  <c r="O36" i="1"/>
  <c r="M39" i="1"/>
  <c r="O40" i="1"/>
  <c r="K42" i="1"/>
  <c r="M43" i="1"/>
  <c r="O44" i="1"/>
  <c r="K46" i="1"/>
  <c r="M47" i="1"/>
  <c r="O48" i="1"/>
  <c r="L30" i="1"/>
  <c r="N31" i="1"/>
  <c r="P32" i="1"/>
  <c r="L34" i="1"/>
  <c r="N35" i="1"/>
  <c r="P36" i="1"/>
  <c r="L38" i="1"/>
  <c r="N39" i="1"/>
  <c r="P40" i="1"/>
  <c r="L42" i="1"/>
  <c r="N43" i="1"/>
  <c r="P44" i="1"/>
  <c r="L46" i="1"/>
  <c r="N47" i="1"/>
  <c r="P48" i="1"/>
  <c r="L50" i="1"/>
  <c r="M32" i="1"/>
  <c r="M36" i="1"/>
  <c r="M30" i="1"/>
  <c r="K33" i="1"/>
  <c r="M34" i="1"/>
  <c r="O35" i="1"/>
  <c r="K37" i="1"/>
  <c r="M38" i="1"/>
  <c r="O39" i="1"/>
  <c r="K41" i="1"/>
  <c r="M42" i="1"/>
  <c r="O43" i="1"/>
  <c r="K45" i="1"/>
  <c r="M46" i="1"/>
  <c r="O47" i="1"/>
  <c r="K49" i="1"/>
  <c r="L29" i="1"/>
  <c r="N30" i="1"/>
  <c r="P31" i="1"/>
  <c r="L33" i="1"/>
  <c r="N34" i="1"/>
  <c r="P35" i="1"/>
  <c r="L37" i="1"/>
  <c r="N38" i="1"/>
  <c r="P39" i="1"/>
  <c r="L41" i="1"/>
  <c r="N42" i="1"/>
  <c r="P43" i="1"/>
  <c r="L45" i="1"/>
  <c r="N46" i="1"/>
  <c r="P47" i="1"/>
  <c r="L49" i="1"/>
  <c r="N50" i="1"/>
  <c r="M44" i="1"/>
  <c r="N32" i="1"/>
  <c r="O30" i="1"/>
  <c r="K32" i="1"/>
  <c r="M33" i="1"/>
  <c r="O34" i="1"/>
  <c r="K36" i="1"/>
  <c r="M37" i="1"/>
  <c r="O38" i="1"/>
  <c r="K40" i="1"/>
  <c r="M41" i="1"/>
  <c r="O42" i="1"/>
  <c r="K44" i="1"/>
  <c r="M45" i="1"/>
  <c r="O46" i="1"/>
  <c r="K48" i="1"/>
  <c r="M49" i="1"/>
  <c r="O50" i="1"/>
  <c r="M40" i="1"/>
  <c r="M48" i="1"/>
  <c r="N36" i="1"/>
  <c r="N40" i="1"/>
  <c r="N44" i="1"/>
  <c r="N48" i="1"/>
  <c r="O31" i="1"/>
  <c r="M29" i="1"/>
  <c r="N29" i="1"/>
  <c r="P30" i="1"/>
  <c r="L32" i="1"/>
  <c r="N33" i="1"/>
  <c r="P34" i="1"/>
  <c r="L36" i="1"/>
  <c r="N37" i="1"/>
  <c r="P38" i="1"/>
  <c r="L40" i="1"/>
  <c r="N41" i="1"/>
  <c r="P42" i="1"/>
  <c r="L44" i="1"/>
  <c r="N45" i="1"/>
  <c r="P46" i="1"/>
  <c r="L48" i="1"/>
  <c r="N49" i="1"/>
  <c r="L22" i="3" l="1"/>
  <c r="L23" i="3" s="1"/>
  <c r="P22" i="3"/>
  <c r="P23" i="3" s="1"/>
  <c r="M22" i="3"/>
  <c r="M23" i="3" s="1"/>
  <c r="K22" i="3"/>
  <c r="K23" i="3" s="1"/>
  <c r="N22" i="3"/>
  <c r="N23" i="3" s="1"/>
  <c r="O22" i="3"/>
  <c r="O23" i="3" s="1"/>
  <c r="N46" i="2"/>
  <c r="N47" i="2" s="1"/>
  <c r="L46" i="2"/>
  <c r="L47" i="2" s="1"/>
  <c r="P46" i="2"/>
  <c r="P47" i="2" s="1"/>
  <c r="K46" i="2"/>
  <c r="K47" i="2" s="1"/>
  <c r="O46" i="2"/>
  <c r="O47" i="2" s="1"/>
  <c r="M46" i="2"/>
  <c r="M47" i="2" s="1"/>
  <c r="O51" i="1"/>
  <c r="O52" i="1" s="1"/>
  <c r="P51" i="1"/>
  <c r="P52" i="1" s="1"/>
  <c r="M51" i="1"/>
  <c r="M52" i="1" s="1"/>
  <c r="K51" i="1"/>
  <c r="K52" i="1" s="1"/>
  <c r="N51" i="1"/>
  <c r="N52" i="1" s="1"/>
  <c r="L51" i="1"/>
  <c r="L52" i="1" s="1"/>
</calcChain>
</file>

<file path=xl/sharedStrings.xml><?xml version="1.0" encoding="utf-8"?>
<sst xmlns="http://schemas.openxmlformats.org/spreadsheetml/2006/main" count="252" uniqueCount="75">
  <si>
    <t>MANHUAÇU</t>
  </si>
  <si>
    <t>ABRE CAMPO</t>
  </si>
  <si>
    <t>ALTO CAPARAÓ</t>
  </si>
  <si>
    <t>ALTO JEQUITIBÁ</t>
  </si>
  <si>
    <t>CAPUTIRA</t>
  </si>
  <si>
    <t>CHALÉ</t>
  </si>
  <si>
    <t>CONCEIÇÃO DE IPANEMA</t>
  </si>
  <si>
    <t>DURANDÉ</t>
  </si>
  <si>
    <t>IPANEMA</t>
  </si>
  <si>
    <t>LAJINHA</t>
  </si>
  <si>
    <t>LUISBURGO</t>
  </si>
  <si>
    <t>MANHUMIRIM</t>
  </si>
  <si>
    <t>MARTINS SOARES</t>
  </si>
  <si>
    <t>MATIPÓ</t>
  </si>
  <si>
    <t>MUTUM</t>
  </si>
  <si>
    <t>POCRANE</t>
  </si>
  <si>
    <t>REDUTO</t>
  </si>
  <si>
    <t>SANTA MARGARIDA</t>
  </si>
  <si>
    <t>SANTANA DO MANHUAÇU</t>
  </si>
  <si>
    <t>SÃO JOÃO DO MANHUAÇU</t>
  </si>
  <si>
    <t>SÃO JOSÉ DO MANTIMENTO</t>
  </si>
  <si>
    <t>SIMONÉSIA</t>
  </si>
  <si>
    <t>TAPARUBA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</si>
  <si>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</si>
  <si>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</si>
  <si>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</si>
  <si>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</si>
  <si>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</si>
  <si>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</si>
  <si>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</si>
  <si>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</si>
  <si>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PONTE NOVA</t>
  </si>
  <si>
    <t>ACAIACA</t>
  </si>
  <si>
    <t>ALVINÓPOLIS</t>
  </si>
  <si>
    <t>AMPARO DO SERRA</t>
  </si>
  <si>
    <t>BARRA LONGA</t>
  </si>
  <si>
    <t>DIOGO DE VASCONCELOS</t>
  </si>
  <si>
    <t>DOM SILVÉRIO</t>
  </si>
  <si>
    <t>GUARACIABA</t>
  </si>
  <si>
    <t>JEQUERI</t>
  </si>
  <si>
    <t>ORATÓRIOS</t>
  </si>
  <si>
    <t>PIEDADE DE PONTE NOVA</t>
  </si>
  <si>
    <t>RAUL SOARES</t>
  </si>
  <si>
    <t>RIO CASCA</t>
  </si>
  <si>
    <t>RIO DOCE</t>
  </si>
  <si>
    <t>SANTA CRUZ DO ESCALVADO</t>
  </si>
  <si>
    <t>SANTO ANTÔNIO DO GRAMA</t>
  </si>
  <si>
    <t>SÃO JOSÉ DO GOIABAL</t>
  </si>
  <si>
    <t>SÃO PEDRO DOS FERROS</t>
  </si>
  <si>
    <t>SEM-PEIXE</t>
  </si>
  <si>
    <t>SERICITA</t>
  </si>
  <si>
    <t>URUCÂNIA</t>
  </si>
  <si>
    <t>VIÇOSA</t>
  </si>
  <si>
    <t>ARAPONGA</t>
  </si>
  <si>
    <t>CAJURI</t>
  </si>
  <si>
    <t>CANAÃ</t>
  </si>
  <si>
    <t>PAULA CÂNDIDO</t>
  </si>
  <si>
    <t>PEDRA DO ANTA</t>
  </si>
  <si>
    <t>PORTO FIRME</t>
  </si>
  <si>
    <t>SÃO MIGUEL DO ANTA</t>
  </si>
  <si>
    <t>TEIXEIRAS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</si>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</sst>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MANHUAÇU!$J$1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MANHUAÇU!$J$2:$J$24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D6-47CC-87EB-87146B0A985E}"/>
            </c:ext>
          </c:extLst>
        </c:ser>
        <c:ser>
          <c:idx val="1"/>
          <c:order val="1"/>
          <c:tx>
            <c:strRef>
              <c:f>MANHUAÇU!$K$1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MANHUAÇU!$K$2:$K$24</c:f>
              <c:numCache>
                <c:formatCode>0.00</c:formatCode>
                <c:ptCount val="23"/>
                <c:pt idx="0">
                  <c:v>1.2116892373485389E-2</c:v>
                </c:pt>
                <c:pt idx="1">
                  <c:v>2.0669992872416252E-2</c:v>
                </c:pt>
                <c:pt idx="2">
                  <c:v>3.9914468995010693E-2</c:v>
                </c:pt>
                <c:pt idx="3">
                  <c:v>5.987170349251604E-2</c:v>
                </c:pt>
                <c:pt idx="4">
                  <c:v>8.339272986457591E-2</c:v>
                </c:pt>
                <c:pt idx="5">
                  <c:v>9.1945830363506773E-2</c:v>
                </c:pt>
                <c:pt idx="6">
                  <c:v>0.12687099073414113</c:v>
                </c:pt>
                <c:pt idx="7">
                  <c:v>0.16179615110477547</c:v>
                </c:pt>
                <c:pt idx="8">
                  <c:v>0.2074126870990734</c:v>
                </c:pt>
                <c:pt idx="9">
                  <c:v>0.22879543834640056</c:v>
                </c:pt>
                <c:pt idx="10">
                  <c:v>0.25445473984319317</c:v>
                </c:pt>
                <c:pt idx="11">
                  <c:v>0.27512473271560944</c:v>
                </c:pt>
                <c:pt idx="12">
                  <c:v>0.30434782608695654</c:v>
                </c:pt>
                <c:pt idx="13">
                  <c:v>0.32715609408410551</c:v>
                </c:pt>
                <c:pt idx="14">
                  <c:v>0.36350677120456165</c:v>
                </c:pt>
                <c:pt idx="15">
                  <c:v>0.4098360655737705</c:v>
                </c:pt>
                <c:pt idx="16">
                  <c:v>0.46614397719173201</c:v>
                </c:pt>
                <c:pt idx="17">
                  <c:v>0.48823948681397006</c:v>
                </c:pt>
                <c:pt idx="18">
                  <c:v>0.55452601568068427</c:v>
                </c:pt>
                <c:pt idx="19">
                  <c:v>0.61724875267284396</c:v>
                </c:pt>
                <c:pt idx="20">
                  <c:v>0.68852459016393452</c:v>
                </c:pt>
                <c:pt idx="21">
                  <c:v>0.76906628652886677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D6-47CC-87EB-87146B0A985E}"/>
            </c:ext>
          </c:extLst>
        </c:ser>
        <c:ser>
          <c:idx val="2"/>
          <c:order val="2"/>
          <c:tx>
            <c:strRef>
              <c:f>MANHUAÇU!$L$1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MANHUAÇU!$L$2:$L$24</c:f>
              <c:numCache>
                <c:formatCode>0.00</c:formatCode>
                <c:ptCount val="23"/>
                <c:pt idx="0">
                  <c:v>9.2838196286472146E-3</c:v>
                </c:pt>
                <c:pt idx="1">
                  <c:v>3.0503978779840846E-2</c:v>
                </c:pt>
                <c:pt idx="2">
                  <c:v>8.2228116710875321E-2</c:v>
                </c:pt>
                <c:pt idx="3">
                  <c:v>0.10079575596816975</c:v>
                </c:pt>
                <c:pt idx="4">
                  <c:v>0.129973474801061</c:v>
                </c:pt>
                <c:pt idx="5">
                  <c:v>0.14854111405835543</c:v>
                </c:pt>
                <c:pt idx="6">
                  <c:v>0.16312997347480107</c:v>
                </c:pt>
                <c:pt idx="7">
                  <c:v>0.20689655172413796</c:v>
                </c:pt>
                <c:pt idx="8">
                  <c:v>0.25066312997347484</c:v>
                </c:pt>
                <c:pt idx="9">
                  <c:v>0.2732095490716181</c:v>
                </c:pt>
                <c:pt idx="10">
                  <c:v>0.31167108753315653</c:v>
                </c:pt>
                <c:pt idx="11">
                  <c:v>0.33554376657824936</c:v>
                </c:pt>
                <c:pt idx="12">
                  <c:v>0.34482758620689657</c:v>
                </c:pt>
                <c:pt idx="13">
                  <c:v>0.36472148541114058</c:v>
                </c:pt>
                <c:pt idx="14">
                  <c:v>0.39257294429708223</c:v>
                </c:pt>
                <c:pt idx="15">
                  <c:v>0.46286472148541113</c:v>
                </c:pt>
                <c:pt idx="16">
                  <c:v>0.51458885941644561</c:v>
                </c:pt>
                <c:pt idx="17">
                  <c:v>0.54509283819628651</c:v>
                </c:pt>
                <c:pt idx="18">
                  <c:v>0.62201591511936338</c:v>
                </c:pt>
                <c:pt idx="19">
                  <c:v>0.68037135278514582</c:v>
                </c:pt>
                <c:pt idx="20">
                  <c:v>0.76392572944297077</c:v>
                </c:pt>
                <c:pt idx="21">
                  <c:v>0.82228116710875332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D6-47CC-87EB-87146B0A985E}"/>
            </c:ext>
          </c:extLst>
        </c:ser>
        <c:ser>
          <c:idx val="3"/>
          <c:order val="3"/>
          <c:tx>
            <c:strRef>
              <c:f>MANHUAÇU!$M$1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MANHUAÇU!$M$2:$M$24</c:f>
              <c:numCache>
                <c:formatCode>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2.8571428571428571E-2</c:v>
                </c:pt>
                <c:pt idx="3">
                  <c:v>3.6974789915966387E-2</c:v>
                </c:pt>
                <c:pt idx="4">
                  <c:v>7.8991596638655459E-2</c:v>
                </c:pt>
                <c:pt idx="5">
                  <c:v>8.5714285714285715E-2</c:v>
                </c:pt>
                <c:pt idx="6">
                  <c:v>0.10756302521008404</c:v>
                </c:pt>
                <c:pt idx="7">
                  <c:v>0.12436974789915967</c:v>
                </c:pt>
                <c:pt idx="8">
                  <c:v>0.17310924369747899</c:v>
                </c:pt>
                <c:pt idx="9">
                  <c:v>0.19831932773109243</c:v>
                </c:pt>
                <c:pt idx="10">
                  <c:v>0.22352941176470587</c:v>
                </c:pt>
                <c:pt idx="11">
                  <c:v>0.24201680672268905</c:v>
                </c:pt>
                <c:pt idx="12">
                  <c:v>0.25882352941176467</c:v>
                </c:pt>
                <c:pt idx="13">
                  <c:v>0.29075630252100837</c:v>
                </c:pt>
                <c:pt idx="14">
                  <c:v>0.33445378151260502</c:v>
                </c:pt>
                <c:pt idx="15">
                  <c:v>0.41848739495798315</c:v>
                </c:pt>
                <c:pt idx="16">
                  <c:v>0.44705882352941173</c:v>
                </c:pt>
                <c:pt idx="17">
                  <c:v>0.49411764705882349</c:v>
                </c:pt>
                <c:pt idx="18">
                  <c:v>0.59663865546218486</c:v>
                </c:pt>
                <c:pt idx="19">
                  <c:v>0.65042016806722691</c:v>
                </c:pt>
                <c:pt idx="20">
                  <c:v>0.7142857142857143</c:v>
                </c:pt>
                <c:pt idx="21">
                  <c:v>0.8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D6-47CC-87EB-87146B0A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16320"/>
        <c:axId val="1918614400"/>
      </c:scatterChart>
      <c:valAx>
        <c:axId val="19186163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4400"/>
        <c:crosses val="autoZero"/>
        <c:crossBetween val="midCat"/>
      </c:valAx>
      <c:valAx>
        <c:axId val="19186144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MANHUAÇU!$J$1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MANHUAÇU!$J$2:$J$24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F5-462A-AB7E-C15E9A1401A3}"/>
            </c:ext>
          </c:extLst>
        </c:ser>
        <c:ser>
          <c:idx val="1"/>
          <c:order val="1"/>
          <c:tx>
            <c:strRef>
              <c:f>MANHUAÇU!$N$1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MANHUAÇU!$N$2:$N$24</c:f>
              <c:numCache>
                <c:formatCode>0.00</c:formatCode>
                <c:ptCount val="23"/>
                <c:pt idx="0">
                  <c:v>1.7080745341614908E-2</c:v>
                </c:pt>
                <c:pt idx="1">
                  <c:v>3.0279503105590064E-2</c:v>
                </c:pt>
                <c:pt idx="2">
                  <c:v>4.7360248447204975E-2</c:v>
                </c:pt>
                <c:pt idx="3">
                  <c:v>5.9782608695652176E-2</c:v>
                </c:pt>
                <c:pt idx="4">
                  <c:v>8.7732919254658384E-2</c:v>
                </c:pt>
                <c:pt idx="5">
                  <c:v>0.10403726708074534</c:v>
                </c:pt>
                <c:pt idx="6">
                  <c:v>0.13043478260869565</c:v>
                </c:pt>
                <c:pt idx="7">
                  <c:v>0.14751552795031056</c:v>
                </c:pt>
                <c:pt idx="8">
                  <c:v>0.19099378881987578</c:v>
                </c:pt>
                <c:pt idx="9">
                  <c:v>0.21972049689440992</c:v>
                </c:pt>
                <c:pt idx="10">
                  <c:v>0.24922360248447203</c:v>
                </c:pt>
                <c:pt idx="11">
                  <c:v>0.26164596273291924</c:v>
                </c:pt>
                <c:pt idx="12">
                  <c:v>0.27562111801242234</c:v>
                </c:pt>
                <c:pt idx="13">
                  <c:v>0.30201863354037267</c:v>
                </c:pt>
                <c:pt idx="14">
                  <c:v>0.35248447204968947</c:v>
                </c:pt>
                <c:pt idx="15">
                  <c:v>0.40450310559006214</c:v>
                </c:pt>
                <c:pt idx="16">
                  <c:v>0.46040372670807456</c:v>
                </c:pt>
                <c:pt idx="17">
                  <c:v>0.50543478260869568</c:v>
                </c:pt>
                <c:pt idx="18">
                  <c:v>0.59006211180124224</c:v>
                </c:pt>
                <c:pt idx="19">
                  <c:v>0.66770186335403725</c:v>
                </c:pt>
                <c:pt idx="20">
                  <c:v>0.73680124223602483</c:v>
                </c:pt>
                <c:pt idx="21">
                  <c:v>0.79503105590062106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F5-462A-AB7E-C15E9A1401A3}"/>
            </c:ext>
          </c:extLst>
        </c:ser>
        <c:ser>
          <c:idx val="2"/>
          <c:order val="2"/>
          <c:tx>
            <c:strRef>
              <c:f>MANHUAÇU!$O$1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MANHUAÇU!$O$2:$O$24</c:f>
              <c:numCache>
                <c:formatCode>0.00</c:formatCode>
                <c:ptCount val="23"/>
                <c:pt idx="0">
                  <c:v>1.3793103448275862E-2</c:v>
                </c:pt>
                <c:pt idx="1">
                  <c:v>2.8965517241379309E-2</c:v>
                </c:pt>
                <c:pt idx="2">
                  <c:v>5.9310344827586209E-2</c:v>
                </c:pt>
                <c:pt idx="3">
                  <c:v>7.862068965517241E-2</c:v>
                </c:pt>
                <c:pt idx="4">
                  <c:v>0.11172413793103447</c:v>
                </c:pt>
                <c:pt idx="5">
                  <c:v>0.13103448275862067</c:v>
                </c:pt>
                <c:pt idx="6">
                  <c:v>0.15172413793103445</c:v>
                </c:pt>
                <c:pt idx="7">
                  <c:v>0.16965517241379308</c:v>
                </c:pt>
                <c:pt idx="8">
                  <c:v>0.216551724137931</c:v>
                </c:pt>
                <c:pt idx="9">
                  <c:v>0.2358620689655172</c:v>
                </c:pt>
                <c:pt idx="10">
                  <c:v>0.25931034482758619</c:v>
                </c:pt>
                <c:pt idx="11">
                  <c:v>0.28275862068965518</c:v>
                </c:pt>
                <c:pt idx="12">
                  <c:v>0.29517241379310344</c:v>
                </c:pt>
                <c:pt idx="13">
                  <c:v>0.32965517241379311</c:v>
                </c:pt>
                <c:pt idx="14">
                  <c:v>0.41379310344827586</c:v>
                </c:pt>
                <c:pt idx="15">
                  <c:v>0.46344827586206894</c:v>
                </c:pt>
                <c:pt idx="16">
                  <c:v>0.51724137931034475</c:v>
                </c:pt>
                <c:pt idx="17">
                  <c:v>0.57103448275862057</c:v>
                </c:pt>
                <c:pt idx="18">
                  <c:v>0.64275862068965506</c:v>
                </c:pt>
                <c:pt idx="19">
                  <c:v>0.69379310344827572</c:v>
                </c:pt>
                <c:pt idx="20">
                  <c:v>0.76827586206896537</c:v>
                </c:pt>
                <c:pt idx="21">
                  <c:v>0.82482758620689645</c:v>
                </c:pt>
                <c:pt idx="2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F5-462A-AB7E-C15E9A1401A3}"/>
            </c:ext>
          </c:extLst>
        </c:ser>
        <c:ser>
          <c:idx val="3"/>
          <c:order val="3"/>
          <c:tx>
            <c:strRef>
              <c:f>MANHUAÇU!$P$1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MANHUAÇU!$P$2:$P$24</c:f>
              <c:numCache>
                <c:formatCode>0.00</c:formatCode>
                <c:ptCount val="23"/>
                <c:pt idx="0">
                  <c:v>1.278772378516624E-2</c:v>
                </c:pt>
                <c:pt idx="1">
                  <c:v>3.3248081841432228E-2</c:v>
                </c:pt>
                <c:pt idx="2">
                  <c:v>5.3708439897698218E-2</c:v>
                </c:pt>
                <c:pt idx="3">
                  <c:v>7.6726342710997458E-2</c:v>
                </c:pt>
                <c:pt idx="4">
                  <c:v>0.10230179028132994</c:v>
                </c:pt>
                <c:pt idx="5">
                  <c:v>0.14322250639386191</c:v>
                </c:pt>
                <c:pt idx="6">
                  <c:v>0.15856777493606139</c:v>
                </c:pt>
                <c:pt idx="7">
                  <c:v>0.17902813299232737</c:v>
                </c:pt>
                <c:pt idx="8">
                  <c:v>0.22762148337595908</c:v>
                </c:pt>
                <c:pt idx="9">
                  <c:v>0.25319693094629159</c:v>
                </c:pt>
                <c:pt idx="10">
                  <c:v>0.28644501278772383</c:v>
                </c:pt>
                <c:pt idx="11">
                  <c:v>0.31202046035805631</c:v>
                </c:pt>
                <c:pt idx="12">
                  <c:v>0.33248081841432231</c:v>
                </c:pt>
                <c:pt idx="13">
                  <c:v>0.36317135549872126</c:v>
                </c:pt>
                <c:pt idx="14">
                  <c:v>0.42455242966751922</c:v>
                </c:pt>
                <c:pt idx="15">
                  <c:v>0.49104859335038364</c:v>
                </c:pt>
                <c:pt idx="16">
                  <c:v>0.52685421994884907</c:v>
                </c:pt>
                <c:pt idx="17">
                  <c:v>0.57289002557544755</c:v>
                </c:pt>
                <c:pt idx="18">
                  <c:v>0.64194373401534521</c:v>
                </c:pt>
                <c:pt idx="19">
                  <c:v>0.7084398976982097</c:v>
                </c:pt>
                <c:pt idx="20">
                  <c:v>0.78260869565217384</c:v>
                </c:pt>
                <c:pt idx="21">
                  <c:v>0.8746803069053708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F5-462A-AB7E-C15E9A140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202496"/>
        <c:axId val="333204416"/>
      </c:scatterChart>
      <c:valAx>
        <c:axId val="333202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04416"/>
        <c:crosses val="autoZero"/>
        <c:crossBetween val="midCat"/>
      </c:valAx>
      <c:valAx>
        <c:axId val="333204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0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'PONTE NOVA'!$J$1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NOVA'!$J$2:$J$22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D2-40F6-A95C-CF154A588CA5}"/>
            </c:ext>
          </c:extLst>
        </c:ser>
        <c:ser>
          <c:idx val="1"/>
          <c:order val="1"/>
          <c:tx>
            <c:strRef>
              <c:f>'PONTE NOVA'!$K$1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NOVA'!$K$2:$K$22</c:f>
              <c:numCache>
                <c:formatCode>0.00</c:formatCode>
                <c:ptCount val="21"/>
                <c:pt idx="0">
                  <c:v>1.3628620102214651E-2</c:v>
                </c:pt>
                <c:pt idx="1">
                  <c:v>1.5332197614991482E-2</c:v>
                </c:pt>
                <c:pt idx="2">
                  <c:v>2.0442930153321975E-2</c:v>
                </c:pt>
                <c:pt idx="3">
                  <c:v>4.599659284497444E-2</c:v>
                </c:pt>
                <c:pt idx="4">
                  <c:v>6.1328790459965921E-2</c:v>
                </c:pt>
                <c:pt idx="5">
                  <c:v>8.3475298126064731E-2</c:v>
                </c:pt>
                <c:pt idx="6">
                  <c:v>0.10562180579216354</c:v>
                </c:pt>
                <c:pt idx="7">
                  <c:v>0.12776831345826234</c:v>
                </c:pt>
                <c:pt idx="8">
                  <c:v>0.1482112436115843</c:v>
                </c:pt>
                <c:pt idx="9">
                  <c:v>0.1703577512776831</c:v>
                </c:pt>
                <c:pt idx="10">
                  <c:v>0.20442930153321973</c:v>
                </c:pt>
                <c:pt idx="11">
                  <c:v>0.21635434412265755</c:v>
                </c:pt>
                <c:pt idx="12">
                  <c:v>0.24872231686541735</c:v>
                </c:pt>
                <c:pt idx="13">
                  <c:v>0.29642248722316861</c:v>
                </c:pt>
                <c:pt idx="14">
                  <c:v>0.33219761499148204</c:v>
                </c:pt>
                <c:pt idx="15">
                  <c:v>0.37137989778534919</c:v>
                </c:pt>
                <c:pt idx="16">
                  <c:v>0.41908006814310045</c:v>
                </c:pt>
                <c:pt idx="17">
                  <c:v>0.49403747870528103</c:v>
                </c:pt>
                <c:pt idx="18">
                  <c:v>0.58603066439522988</c:v>
                </c:pt>
                <c:pt idx="19">
                  <c:v>0.6967632027257239</c:v>
                </c:pt>
                <c:pt idx="2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D2-40F6-A95C-CF154A588CA5}"/>
            </c:ext>
          </c:extLst>
        </c:ser>
        <c:ser>
          <c:idx val="2"/>
          <c:order val="2"/>
          <c:tx>
            <c:strRef>
              <c:f>'PONTE NOVA'!$L$1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NOVA'!$L$2:$L$22</c:f>
              <c:numCache>
                <c:formatCode>0.00</c:formatCode>
                <c:ptCount val="21"/>
                <c:pt idx="0">
                  <c:v>1.1730205278592375E-2</c:v>
                </c:pt>
                <c:pt idx="1">
                  <c:v>1.466275659824047E-2</c:v>
                </c:pt>
                <c:pt idx="2">
                  <c:v>2.0527859237536659E-2</c:v>
                </c:pt>
                <c:pt idx="3">
                  <c:v>3.519061583577713E-2</c:v>
                </c:pt>
                <c:pt idx="4">
                  <c:v>4.1055718475073319E-2</c:v>
                </c:pt>
                <c:pt idx="5">
                  <c:v>4.398826979472141E-2</c:v>
                </c:pt>
                <c:pt idx="6">
                  <c:v>6.1583577712609971E-2</c:v>
                </c:pt>
                <c:pt idx="7">
                  <c:v>8.2111436950146624E-2</c:v>
                </c:pt>
                <c:pt idx="8">
                  <c:v>9.3841642228739003E-2</c:v>
                </c:pt>
                <c:pt idx="9">
                  <c:v>0.12023460410557185</c:v>
                </c:pt>
                <c:pt idx="10">
                  <c:v>0.13196480938416422</c:v>
                </c:pt>
                <c:pt idx="11">
                  <c:v>0.14369501466275658</c:v>
                </c:pt>
                <c:pt idx="12">
                  <c:v>0.17595307917888561</c:v>
                </c:pt>
                <c:pt idx="13">
                  <c:v>0.21994134897360701</c:v>
                </c:pt>
                <c:pt idx="14">
                  <c:v>0.25806451612903225</c:v>
                </c:pt>
                <c:pt idx="15">
                  <c:v>0.28152492668621698</c:v>
                </c:pt>
                <c:pt idx="16">
                  <c:v>0.32258064516129031</c:v>
                </c:pt>
                <c:pt idx="17">
                  <c:v>0.45454545454545453</c:v>
                </c:pt>
                <c:pt idx="18">
                  <c:v>0.54545454545454541</c:v>
                </c:pt>
                <c:pt idx="19">
                  <c:v>0.6539589442815249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D2-40F6-A95C-CF154A588CA5}"/>
            </c:ext>
          </c:extLst>
        </c:ser>
        <c:ser>
          <c:idx val="3"/>
          <c:order val="3"/>
          <c:tx>
            <c:strRef>
              <c:f>'PONTE NOVA'!$M$1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NOVA'!$M$2:$M$22</c:f>
              <c:numCache>
                <c:formatCode>0.00</c:formatCode>
                <c:ptCount val="21"/>
                <c:pt idx="0">
                  <c:v>1.0582010582010581E-2</c:v>
                </c:pt>
                <c:pt idx="1">
                  <c:v>1.3227513227513227E-2</c:v>
                </c:pt>
                <c:pt idx="2">
                  <c:v>1.8518518518518517E-2</c:v>
                </c:pt>
                <c:pt idx="3">
                  <c:v>4.7619047619047616E-2</c:v>
                </c:pt>
                <c:pt idx="4">
                  <c:v>6.6137566137566134E-2</c:v>
                </c:pt>
                <c:pt idx="5">
                  <c:v>7.407407407407407E-2</c:v>
                </c:pt>
                <c:pt idx="6">
                  <c:v>7.9365079365079361E-2</c:v>
                </c:pt>
                <c:pt idx="7">
                  <c:v>8.7301587301587297E-2</c:v>
                </c:pt>
                <c:pt idx="8">
                  <c:v>0.1111111111111111</c:v>
                </c:pt>
                <c:pt idx="9">
                  <c:v>0.11904761904761904</c:v>
                </c:pt>
                <c:pt idx="10">
                  <c:v>0.14285714285714285</c:v>
                </c:pt>
                <c:pt idx="11">
                  <c:v>0.15079365079365079</c:v>
                </c:pt>
                <c:pt idx="12">
                  <c:v>0.19312169312169311</c:v>
                </c:pt>
                <c:pt idx="13">
                  <c:v>0.24603174603174602</c:v>
                </c:pt>
                <c:pt idx="14">
                  <c:v>0.28306878306878303</c:v>
                </c:pt>
                <c:pt idx="15">
                  <c:v>0.34391534391534384</c:v>
                </c:pt>
                <c:pt idx="16">
                  <c:v>0.37301587301587291</c:v>
                </c:pt>
                <c:pt idx="17">
                  <c:v>0.54232804232804221</c:v>
                </c:pt>
                <c:pt idx="18">
                  <c:v>0.62169312169312163</c:v>
                </c:pt>
                <c:pt idx="19">
                  <c:v>0.70105820105820094</c:v>
                </c:pt>
                <c:pt idx="2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D2-40F6-A95C-CF154A58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86832"/>
        <c:axId val="297190960"/>
      </c:scatterChart>
      <c:valAx>
        <c:axId val="2487868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190960"/>
        <c:crosses val="autoZero"/>
        <c:crossBetween val="midCat"/>
      </c:valAx>
      <c:valAx>
        <c:axId val="2971909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786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'PONTE NOVA'!$J$1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NOVA'!$J$2:$J$22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88-4FF5-BA39-F1E5AB15FCA8}"/>
            </c:ext>
          </c:extLst>
        </c:ser>
        <c:ser>
          <c:idx val="1"/>
          <c:order val="1"/>
          <c:tx>
            <c:strRef>
              <c:f>'PONTE NOVA'!$N$1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NOVA'!$N$2:$N$22</c:f>
              <c:numCache>
                <c:formatCode>0.00</c:formatCode>
                <c:ptCount val="21"/>
                <c:pt idx="0">
                  <c:v>1.0067114093959731E-2</c:v>
                </c:pt>
                <c:pt idx="1">
                  <c:v>1.0067114093959731E-2</c:v>
                </c:pt>
                <c:pt idx="2">
                  <c:v>2.1812080536912751E-2</c:v>
                </c:pt>
                <c:pt idx="3">
                  <c:v>5.0335570469798654E-2</c:v>
                </c:pt>
                <c:pt idx="4">
                  <c:v>7.2147651006711402E-2</c:v>
                </c:pt>
                <c:pt idx="5">
                  <c:v>8.2214765100671133E-2</c:v>
                </c:pt>
                <c:pt idx="6">
                  <c:v>0.11577181208053691</c:v>
                </c:pt>
                <c:pt idx="7">
                  <c:v>0.12248322147651007</c:v>
                </c:pt>
                <c:pt idx="8">
                  <c:v>0.15436241610738255</c:v>
                </c:pt>
                <c:pt idx="9">
                  <c:v>0.15771812080536912</c:v>
                </c:pt>
                <c:pt idx="10">
                  <c:v>0.17281879194630873</c:v>
                </c:pt>
                <c:pt idx="11">
                  <c:v>0.18120805369127516</c:v>
                </c:pt>
                <c:pt idx="12">
                  <c:v>0.22315436241610737</c:v>
                </c:pt>
                <c:pt idx="13">
                  <c:v>0.26174496644295298</c:v>
                </c:pt>
                <c:pt idx="14">
                  <c:v>0.30536912751677847</c:v>
                </c:pt>
                <c:pt idx="15">
                  <c:v>0.37248322147651003</c:v>
                </c:pt>
                <c:pt idx="16">
                  <c:v>0.42785234899328856</c:v>
                </c:pt>
                <c:pt idx="17">
                  <c:v>0.5</c:v>
                </c:pt>
                <c:pt idx="18">
                  <c:v>0.60067114093959728</c:v>
                </c:pt>
                <c:pt idx="19">
                  <c:v>0.75838926174496635</c:v>
                </c:pt>
                <c:pt idx="2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88-4FF5-BA39-F1E5AB15FCA8}"/>
            </c:ext>
          </c:extLst>
        </c:ser>
        <c:ser>
          <c:idx val="2"/>
          <c:order val="2"/>
          <c:tx>
            <c:strRef>
              <c:f>'PONTE NOVA'!$O$1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NOVA'!$O$2:$O$22</c:f>
              <c:numCache>
                <c:formatCode>0.00</c:formatCode>
                <c:ptCount val="21"/>
                <c:pt idx="0">
                  <c:v>9.0909090909090905E-3</c:v>
                </c:pt>
                <c:pt idx="1">
                  <c:v>2.3636363636363636E-2</c:v>
                </c:pt>
                <c:pt idx="2">
                  <c:v>4.9090909090909088E-2</c:v>
                </c:pt>
                <c:pt idx="3">
                  <c:v>6.7272727272727262E-2</c:v>
                </c:pt>
                <c:pt idx="4">
                  <c:v>8.9090909090909082E-2</c:v>
                </c:pt>
                <c:pt idx="5">
                  <c:v>0.11818181818181817</c:v>
                </c:pt>
                <c:pt idx="6">
                  <c:v>0.13818181818181816</c:v>
                </c:pt>
                <c:pt idx="7">
                  <c:v>0.15272727272727271</c:v>
                </c:pt>
                <c:pt idx="8">
                  <c:v>0.16545454545454544</c:v>
                </c:pt>
                <c:pt idx="9">
                  <c:v>0.17454545454545453</c:v>
                </c:pt>
                <c:pt idx="10">
                  <c:v>0.18363636363636363</c:v>
                </c:pt>
                <c:pt idx="11">
                  <c:v>0.19454545454545452</c:v>
                </c:pt>
                <c:pt idx="12">
                  <c:v>0.2218181818181818</c:v>
                </c:pt>
                <c:pt idx="13">
                  <c:v>0.26181818181818178</c:v>
                </c:pt>
                <c:pt idx="14">
                  <c:v>0.31636363636363635</c:v>
                </c:pt>
                <c:pt idx="15">
                  <c:v>0.36363636363636365</c:v>
                </c:pt>
                <c:pt idx="16">
                  <c:v>0.47272727272727272</c:v>
                </c:pt>
                <c:pt idx="17">
                  <c:v>0.52</c:v>
                </c:pt>
                <c:pt idx="18">
                  <c:v>0.60909090909090913</c:v>
                </c:pt>
                <c:pt idx="19">
                  <c:v>0.83818181818181825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88-4FF5-BA39-F1E5AB15FCA8}"/>
            </c:ext>
          </c:extLst>
        </c:ser>
        <c:ser>
          <c:idx val="3"/>
          <c:order val="3"/>
          <c:tx>
            <c:strRef>
              <c:f>'PONTE NOVA'!$P$1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NOVA'!$P$2:$P$22</c:f>
              <c:numCache>
                <c:formatCode>0.00</c:formatCode>
                <c:ptCount val="21"/>
                <c:pt idx="0">
                  <c:v>6.1349693251533744E-3</c:v>
                </c:pt>
                <c:pt idx="1">
                  <c:v>1.2269938650306749E-2</c:v>
                </c:pt>
                <c:pt idx="2">
                  <c:v>6.7484662576687116E-2</c:v>
                </c:pt>
                <c:pt idx="3">
                  <c:v>8.2822085889570546E-2</c:v>
                </c:pt>
                <c:pt idx="4">
                  <c:v>9.8159509202453976E-2</c:v>
                </c:pt>
                <c:pt idx="5">
                  <c:v>0.12269938650306747</c:v>
                </c:pt>
                <c:pt idx="6">
                  <c:v>0.16257668711656439</c:v>
                </c:pt>
                <c:pt idx="7">
                  <c:v>0.19325153374233126</c:v>
                </c:pt>
                <c:pt idx="8">
                  <c:v>0.19631901840490795</c:v>
                </c:pt>
                <c:pt idx="9">
                  <c:v>0.22392638036809814</c:v>
                </c:pt>
                <c:pt idx="10">
                  <c:v>0.26687116564417179</c:v>
                </c:pt>
                <c:pt idx="11">
                  <c:v>0.27914110429447853</c:v>
                </c:pt>
                <c:pt idx="12">
                  <c:v>0.30981595092024539</c:v>
                </c:pt>
                <c:pt idx="13">
                  <c:v>0.35889570552147237</c:v>
                </c:pt>
                <c:pt idx="14">
                  <c:v>0.40184049079754602</c:v>
                </c:pt>
                <c:pt idx="15">
                  <c:v>0.42638036809815955</c:v>
                </c:pt>
                <c:pt idx="16">
                  <c:v>0.52453987730061358</c:v>
                </c:pt>
                <c:pt idx="17">
                  <c:v>0.59815950920245409</c:v>
                </c:pt>
                <c:pt idx="18">
                  <c:v>0.68098159509202461</c:v>
                </c:pt>
                <c:pt idx="19">
                  <c:v>0.82208588957055218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88-4FF5-BA39-F1E5AB15F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941216"/>
        <c:axId val="1877937856"/>
      </c:scatterChart>
      <c:valAx>
        <c:axId val="18779412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937856"/>
        <c:crosses val="autoZero"/>
        <c:crossBetween val="midCat"/>
      </c:valAx>
      <c:valAx>
        <c:axId val="1877937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94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VIÇOSA!$J$1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VIÇOSA!$J$2:$J$10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5-498D-B795-78B2459D2F5B}"/>
            </c:ext>
          </c:extLst>
        </c:ser>
        <c:ser>
          <c:idx val="1"/>
          <c:order val="1"/>
          <c:tx>
            <c:strRef>
              <c:f>VIÇOSA!$K$1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VIÇOSA!$K$2:$K$10</c:f>
              <c:numCache>
                <c:formatCode>0.00</c:formatCode>
                <c:ptCount val="9"/>
                <c:pt idx="0">
                  <c:v>4.6583850931677016E-2</c:v>
                </c:pt>
                <c:pt idx="1">
                  <c:v>8.0745341614906832E-2</c:v>
                </c:pt>
                <c:pt idx="2">
                  <c:v>0.13354037267080746</c:v>
                </c:pt>
                <c:pt idx="3">
                  <c:v>0.19565217391304349</c:v>
                </c:pt>
                <c:pt idx="4">
                  <c:v>0.30434782608695654</c:v>
                </c:pt>
                <c:pt idx="5">
                  <c:v>0.35093167701863354</c:v>
                </c:pt>
                <c:pt idx="6">
                  <c:v>0.49378881987577639</c:v>
                </c:pt>
                <c:pt idx="7">
                  <c:v>0.59316770186335399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5-498D-B795-78B2459D2F5B}"/>
            </c:ext>
          </c:extLst>
        </c:ser>
        <c:ser>
          <c:idx val="2"/>
          <c:order val="2"/>
          <c:tx>
            <c:strRef>
              <c:f>VIÇOSA!$L$1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VIÇOSA!$L$2:$L$10</c:f>
              <c:numCache>
                <c:formatCode>0.00</c:formatCode>
                <c:ptCount val="9"/>
                <c:pt idx="0">
                  <c:v>4.642857142857143E-2</c:v>
                </c:pt>
                <c:pt idx="1">
                  <c:v>9.285714285714286E-2</c:v>
                </c:pt>
                <c:pt idx="2">
                  <c:v>0.10714285714285715</c:v>
                </c:pt>
                <c:pt idx="3">
                  <c:v>0.20714285714285716</c:v>
                </c:pt>
                <c:pt idx="4">
                  <c:v>0.24285714285714288</c:v>
                </c:pt>
                <c:pt idx="5">
                  <c:v>0.32142857142857145</c:v>
                </c:pt>
                <c:pt idx="6">
                  <c:v>0.42142857142857149</c:v>
                </c:pt>
                <c:pt idx="7">
                  <c:v>0.56785714285714295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75-498D-B795-78B2459D2F5B}"/>
            </c:ext>
          </c:extLst>
        </c:ser>
        <c:ser>
          <c:idx val="3"/>
          <c:order val="3"/>
          <c:tx>
            <c:strRef>
              <c:f>VIÇOSA!$M$1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VIÇOSA!$M$2:$M$10</c:f>
              <c:numCache>
                <c:formatCode>0.00</c:formatCode>
                <c:ptCount val="9"/>
                <c:pt idx="0">
                  <c:v>1.2500000000000001E-2</c:v>
                </c:pt>
                <c:pt idx="1">
                  <c:v>6.25E-2</c:v>
                </c:pt>
                <c:pt idx="2">
                  <c:v>0.13750000000000001</c:v>
                </c:pt>
                <c:pt idx="3">
                  <c:v>0.19583333333333336</c:v>
                </c:pt>
                <c:pt idx="4">
                  <c:v>0.30833333333333335</c:v>
                </c:pt>
                <c:pt idx="5">
                  <c:v>0.375</c:v>
                </c:pt>
                <c:pt idx="6">
                  <c:v>0.51249999999999996</c:v>
                </c:pt>
                <c:pt idx="7">
                  <c:v>0.55833333333333324</c:v>
                </c:pt>
                <c:pt idx="8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75-498D-B795-78B2459D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28624"/>
        <c:axId val="96329584"/>
      </c:scatterChart>
      <c:valAx>
        <c:axId val="96328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29584"/>
        <c:crosses val="autoZero"/>
        <c:crossBetween val="midCat"/>
      </c:valAx>
      <c:valAx>
        <c:axId val="9632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VIÇOSA!$J$1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VIÇOSA!$J$2:$J$10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4-4B08-86B5-61A747EA922E}"/>
            </c:ext>
          </c:extLst>
        </c:ser>
        <c:ser>
          <c:idx val="1"/>
          <c:order val="1"/>
          <c:tx>
            <c:strRef>
              <c:f>VIÇOSA!$N$1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VIÇOSA!$N$2:$N$10</c:f>
              <c:numCache>
                <c:formatCode>0.00</c:formatCode>
                <c:ptCount val="9"/>
                <c:pt idx="0">
                  <c:v>5.637982195845697E-2</c:v>
                </c:pt>
                <c:pt idx="1">
                  <c:v>0.15727002967359049</c:v>
                </c:pt>
                <c:pt idx="2">
                  <c:v>0.21068249258160238</c:v>
                </c:pt>
                <c:pt idx="3">
                  <c:v>0.25816023738872407</c:v>
                </c:pt>
                <c:pt idx="4">
                  <c:v>0.37685459940652821</c:v>
                </c:pt>
                <c:pt idx="5">
                  <c:v>0.46587537091988135</c:v>
                </c:pt>
                <c:pt idx="6">
                  <c:v>0.57863501483679525</c:v>
                </c:pt>
                <c:pt idx="7">
                  <c:v>0.67359050445103863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4-4B08-86B5-61A747EA922E}"/>
            </c:ext>
          </c:extLst>
        </c:ser>
        <c:ser>
          <c:idx val="2"/>
          <c:order val="2"/>
          <c:tx>
            <c:strRef>
              <c:f>VIÇOSA!$O$1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VIÇOSA!$O$2:$O$10</c:f>
              <c:numCache>
                <c:formatCode>0.00</c:formatCode>
                <c:ptCount val="9"/>
                <c:pt idx="0">
                  <c:v>1.9230769230769232E-2</c:v>
                </c:pt>
                <c:pt idx="1">
                  <c:v>6.7307692307692318E-2</c:v>
                </c:pt>
                <c:pt idx="2">
                  <c:v>9.6153846153846173E-2</c:v>
                </c:pt>
                <c:pt idx="3">
                  <c:v>0.1875</c:v>
                </c:pt>
                <c:pt idx="4">
                  <c:v>0.30288461538461542</c:v>
                </c:pt>
                <c:pt idx="5">
                  <c:v>0.39423076923076927</c:v>
                </c:pt>
                <c:pt idx="6">
                  <c:v>0.4711538461538462</c:v>
                </c:pt>
                <c:pt idx="7">
                  <c:v>0.53365384615384626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74-4B08-86B5-61A747EA922E}"/>
            </c:ext>
          </c:extLst>
        </c:ser>
        <c:ser>
          <c:idx val="3"/>
          <c:order val="3"/>
          <c:tx>
            <c:strRef>
              <c:f>VIÇOSA!$P$1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VIÇOSA!$P$2:$P$10</c:f>
              <c:numCache>
                <c:formatCode>0.00</c:formatCode>
                <c:ptCount val="9"/>
                <c:pt idx="0">
                  <c:v>3.7735849056603772E-2</c:v>
                </c:pt>
                <c:pt idx="1">
                  <c:v>5.6603773584905662E-2</c:v>
                </c:pt>
                <c:pt idx="2">
                  <c:v>0.13207547169811321</c:v>
                </c:pt>
                <c:pt idx="3">
                  <c:v>0.19811320754716982</c:v>
                </c:pt>
                <c:pt idx="4">
                  <c:v>0.33018867924528306</c:v>
                </c:pt>
                <c:pt idx="5">
                  <c:v>0.44339622641509435</c:v>
                </c:pt>
                <c:pt idx="6">
                  <c:v>0.55660377358490565</c:v>
                </c:pt>
                <c:pt idx="7">
                  <c:v>0.65094339622641506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74-4B08-86B5-61A747EA9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8448"/>
        <c:axId val="195388928"/>
      </c:scatterChart>
      <c:valAx>
        <c:axId val="195388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8928"/>
        <c:crosses val="autoZero"/>
        <c:crossBetween val="midCat"/>
      </c:valAx>
      <c:valAx>
        <c:axId val="195388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203200</xdr:colOff>
      <xdr:row>0</xdr:row>
      <xdr:rowOff>110067</xdr:rowOff>
    </xdr:from>
    <xdr:to>
      <xdr:col>23</xdr:col>
      <xdr:colOff>508000</xdr:colOff>
      <xdr:row>14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5EB031-385F-471A-6EAB-AA1FAD5F6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245534</xdr:colOff>
      <xdr:row>14</xdr:row>
      <xdr:rowOff>169333</xdr:rowOff>
    </xdr:from>
    <xdr:to>
      <xdr:col>23</xdr:col>
      <xdr:colOff>550334</xdr:colOff>
      <xdr:row>28</xdr:row>
      <xdr:rowOff>127000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86512E0-3860-A498-353B-769BA5165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225777</xdr:colOff>
      <xdr:row>0</xdr:row>
      <xdr:rowOff>100659</xdr:rowOff>
    </xdr:from>
    <xdr:to>
      <xdr:col>23</xdr:col>
      <xdr:colOff>517407</xdr:colOff>
      <xdr:row>14</xdr:row>
      <xdr:rowOff>162748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2BE728F-20B4-E009-F425-35CA59292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235184</xdr:colOff>
      <xdr:row>15</xdr:row>
      <xdr:rowOff>110067</xdr:rowOff>
    </xdr:from>
    <xdr:to>
      <xdr:col>23</xdr:col>
      <xdr:colOff>526814</xdr:colOff>
      <xdr:row>29</xdr:row>
      <xdr:rowOff>162749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2D25F4A-C8C1-8931-4283-A893F0BB6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388938</xdr:colOff>
      <xdr:row>0</xdr:row>
      <xdr:rowOff>116681</xdr:rowOff>
    </xdr:from>
    <xdr:to>
      <xdr:col>24</xdr:col>
      <xdr:colOff>71438</xdr:colOff>
      <xdr:row>13</xdr:row>
      <xdr:rowOff>129381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CE6F6F6-D1AA-2B48-C2B7-981AD5432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404813</xdr:colOff>
      <xdr:row>13</xdr:row>
      <xdr:rowOff>180180</xdr:rowOff>
    </xdr:from>
    <xdr:to>
      <xdr:col>24</xdr:col>
      <xdr:colOff>87313</xdr:colOff>
      <xdr:row>29</xdr:row>
      <xdr:rowOff>2380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5A8F46C-446D-2964-812E-3A0626489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88BC-50C5-48D8-AA18-CBA3B1D54160}">
  <dimension ref="A1:P52"/>
  <sheetViews>
    <sheetView tabSelected="1" zoomScale="90" workbookViewId="0">
      <selection activeCell="Z11" sqref="Z11"/>
    </sheetView>
  </sheetViews>
  <sheetFormatPr defaultRowHeight="14.4" x14ac:dyDescent="0.3"/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8" t="s">
        <v>20</v>
      </c>
      <c r="B2" s="16">
        <v>8.0780486687398699E-3</v>
      </c>
      <c r="C2" s="16">
        <v>1.2116892373485389E-2</v>
      </c>
      <c r="D2" s="16">
        <v>9.2838196286472146E-3</v>
      </c>
      <c r="E2" s="16">
        <v>0</v>
      </c>
      <c r="F2" s="16">
        <v>1.7080745341614908E-2</v>
      </c>
      <c r="G2" s="16">
        <v>1.3793103448275862E-2</v>
      </c>
      <c r="H2" s="16">
        <v>1.278772378516624E-2</v>
      </c>
      <c r="I2" s="9">
        <v>8.0780486687398699E-3</v>
      </c>
      <c r="J2" s="16">
        <v>8.0780486687398699E-3</v>
      </c>
      <c r="K2" s="16">
        <v>1.2116892373485389E-2</v>
      </c>
      <c r="L2" s="16">
        <v>9.2838196286472146E-3</v>
      </c>
      <c r="M2" s="16">
        <v>0</v>
      </c>
      <c r="N2" s="16">
        <v>1.7080745341614908E-2</v>
      </c>
      <c r="O2" s="16">
        <v>1.3793103448275862E-2</v>
      </c>
      <c r="P2" s="16">
        <v>1.278772378516624E-2</v>
      </c>
    </row>
    <row r="3" spans="1:16" x14ac:dyDescent="0.3">
      <c r="A3" s="8" t="s">
        <v>22</v>
      </c>
      <c r="B3" s="16">
        <v>8.8569317732762921E-3</v>
      </c>
      <c r="C3" s="16">
        <v>8.5531004989308629E-3</v>
      </c>
      <c r="D3" s="16">
        <v>2.1220159151193633E-2</v>
      </c>
      <c r="E3" s="16">
        <v>0</v>
      </c>
      <c r="F3" s="16">
        <v>1.3198757763975156E-2</v>
      </c>
      <c r="G3" s="16">
        <v>1.5172413793103448E-2</v>
      </c>
      <c r="H3" s="16">
        <v>2.0460358056265986E-2</v>
      </c>
      <c r="I3" s="9">
        <v>1.6934980442016162E-2</v>
      </c>
      <c r="J3" s="9">
        <f>J2+B3</f>
        <v>1.6934980442016162E-2</v>
      </c>
      <c r="K3" s="9">
        <f t="shared" ref="K3:P18" si="0">K2+C3</f>
        <v>2.0669992872416252E-2</v>
      </c>
      <c r="L3" s="9">
        <f t="shared" si="0"/>
        <v>3.0503978779840846E-2</v>
      </c>
      <c r="M3" s="9">
        <f t="shared" si="0"/>
        <v>0</v>
      </c>
      <c r="N3" s="9">
        <f t="shared" si="0"/>
        <v>3.0279503105590064E-2</v>
      </c>
      <c r="O3" s="9">
        <f t="shared" si="0"/>
        <v>2.8965517241379309E-2</v>
      </c>
      <c r="P3" s="9">
        <f t="shared" si="0"/>
        <v>3.3248081841432228E-2</v>
      </c>
    </row>
    <row r="4" spans="1:16" x14ac:dyDescent="0.3">
      <c r="A4" s="8" t="s">
        <v>6</v>
      </c>
      <c r="B4" s="16">
        <v>1.3117880521622596E-2</v>
      </c>
      <c r="C4" s="16">
        <v>1.9244476122594441E-2</v>
      </c>
      <c r="D4" s="16">
        <v>5.1724137931034482E-2</v>
      </c>
      <c r="E4" s="16">
        <v>2.8571428571428571E-2</v>
      </c>
      <c r="F4" s="16">
        <v>1.7080745341614908E-2</v>
      </c>
      <c r="G4" s="16">
        <v>3.0344827586206897E-2</v>
      </c>
      <c r="H4" s="16">
        <v>2.0460358056265986E-2</v>
      </c>
      <c r="I4" s="9">
        <v>3.005286096363876E-2</v>
      </c>
      <c r="J4" s="9">
        <f t="shared" ref="J4:P19" si="1">J3+B4</f>
        <v>3.005286096363876E-2</v>
      </c>
      <c r="K4" s="9">
        <f t="shared" si="0"/>
        <v>3.9914468995010693E-2</v>
      </c>
      <c r="L4" s="9">
        <f t="shared" si="0"/>
        <v>8.2228116710875321E-2</v>
      </c>
      <c r="M4" s="9">
        <f t="shared" si="0"/>
        <v>2.8571428571428571E-2</v>
      </c>
      <c r="N4" s="9">
        <f t="shared" si="0"/>
        <v>4.7360248447204975E-2</v>
      </c>
      <c r="O4" s="9">
        <f t="shared" si="0"/>
        <v>5.9310344827586209E-2</v>
      </c>
      <c r="P4" s="9">
        <f t="shared" si="0"/>
        <v>5.3708439897698218E-2</v>
      </c>
    </row>
    <row r="5" spans="1:16" x14ac:dyDescent="0.3">
      <c r="A5" s="8" t="s">
        <v>5</v>
      </c>
      <c r="B5" s="16">
        <v>1.6307865001231322E-2</v>
      </c>
      <c r="C5" s="16">
        <v>1.9957234497505347E-2</v>
      </c>
      <c r="D5" s="16">
        <v>1.8567639257294429E-2</v>
      </c>
      <c r="E5" s="16">
        <v>8.4033613445378148E-3</v>
      </c>
      <c r="F5" s="16">
        <v>1.2422360248447204E-2</v>
      </c>
      <c r="G5" s="16">
        <v>1.9310344827586208E-2</v>
      </c>
      <c r="H5" s="16">
        <v>2.3017902813299233E-2</v>
      </c>
      <c r="I5" s="9">
        <v>4.6360725964870078E-2</v>
      </c>
      <c r="J5" s="9">
        <f t="shared" si="1"/>
        <v>4.6360725964870078E-2</v>
      </c>
      <c r="K5" s="9">
        <f t="shared" si="0"/>
        <v>5.987170349251604E-2</v>
      </c>
      <c r="L5" s="9">
        <f t="shared" si="0"/>
        <v>0.10079575596816975</v>
      </c>
      <c r="M5" s="9">
        <f t="shared" si="0"/>
        <v>3.6974789915966387E-2</v>
      </c>
      <c r="N5" s="9">
        <f t="shared" si="0"/>
        <v>5.9782608695652176E-2</v>
      </c>
      <c r="O5" s="9">
        <f t="shared" si="0"/>
        <v>7.862068965517241E-2</v>
      </c>
      <c r="P5" s="9">
        <f t="shared" si="0"/>
        <v>7.6726342710997458E-2</v>
      </c>
    </row>
    <row r="6" spans="1:16" x14ac:dyDescent="0.3">
      <c r="A6" s="8" t="s">
        <v>2</v>
      </c>
      <c r="B6" s="16">
        <v>1.7003705421828198E-2</v>
      </c>
      <c r="C6" s="16">
        <v>2.3521026372059873E-2</v>
      </c>
      <c r="D6" s="16">
        <v>2.9177718832891247E-2</v>
      </c>
      <c r="E6" s="16">
        <v>4.2016806722689079E-2</v>
      </c>
      <c r="F6" s="16">
        <v>2.7950310559006212E-2</v>
      </c>
      <c r="G6" s="16">
        <v>3.310344827586207E-2</v>
      </c>
      <c r="H6" s="16">
        <v>2.557544757033248E-2</v>
      </c>
      <c r="I6" s="9">
        <v>6.3364431386698283E-2</v>
      </c>
      <c r="J6" s="9">
        <f t="shared" si="1"/>
        <v>6.3364431386698283E-2</v>
      </c>
      <c r="K6" s="9">
        <f t="shared" si="0"/>
        <v>8.339272986457591E-2</v>
      </c>
      <c r="L6" s="9">
        <f t="shared" si="0"/>
        <v>0.129973474801061</v>
      </c>
      <c r="M6" s="9">
        <f t="shared" si="0"/>
        <v>7.8991596638655459E-2</v>
      </c>
      <c r="N6" s="9">
        <f t="shared" si="0"/>
        <v>8.7732919254658384E-2</v>
      </c>
      <c r="O6" s="9">
        <f t="shared" si="0"/>
        <v>0.11172413793103447</v>
      </c>
      <c r="P6" s="9">
        <f t="shared" si="0"/>
        <v>0.10230179028132994</v>
      </c>
    </row>
    <row r="7" spans="1:16" x14ac:dyDescent="0.3">
      <c r="A7" s="8" t="s">
        <v>10</v>
      </c>
      <c r="B7" s="16">
        <v>1.7894266618559182E-2</v>
      </c>
      <c r="C7" s="16">
        <v>8.5531004989308629E-3</v>
      </c>
      <c r="D7" s="16">
        <v>1.8567639257294429E-2</v>
      </c>
      <c r="E7" s="16">
        <v>6.7226890756302525E-3</v>
      </c>
      <c r="F7" s="16">
        <v>1.6304347826086956E-2</v>
      </c>
      <c r="G7" s="16">
        <v>1.9310344827586208E-2</v>
      </c>
      <c r="H7" s="16">
        <v>4.0920716112531973E-2</v>
      </c>
      <c r="I7" s="9">
        <v>8.1258698005257465E-2</v>
      </c>
      <c r="J7" s="9">
        <f t="shared" si="1"/>
        <v>8.1258698005257465E-2</v>
      </c>
      <c r="K7" s="9">
        <f t="shared" si="0"/>
        <v>9.1945830363506773E-2</v>
      </c>
      <c r="L7" s="9">
        <f t="shared" si="0"/>
        <v>0.14854111405835543</v>
      </c>
      <c r="M7" s="9">
        <f t="shared" si="0"/>
        <v>8.5714285714285715E-2</v>
      </c>
      <c r="N7" s="9">
        <f t="shared" si="0"/>
        <v>0.10403726708074534</v>
      </c>
      <c r="O7" s="9">
        <f t="shared" si="0"/>
        <v>0.13103448275862067</v>
      </c>
      <c r="P7" s="9">
        <f t="shared" si="0"/>
        <v>0.14322250639386191</v>
      </c>
    </row>
    <row r="8" spans="1:16" x14ac:dyDescent="0.3">
      <c r="A8" s="8" t="s">
        <v>16</v>
      </c>
      <c r="B8" s="16">
        <v>2.0752080362409726E-2</v>
      </c>
      <c r="C8" s="16">
        <v>3.4925160370634353E-2</v>
      </c>
      <c r="D8" s="16">
        <v>1.4588859416445624E-2</v>
      </c>
      <c r="E8" s="16">
        <v>2.1848739495798318E-2</v>
      </c>
      <c r="F8" s="16">
        <v>2.6397515527950312E-2</v>
      </c>
      <c r="G8" s="16">
        <v>2.0689655172413793E-2</v>
      </c>
      <c r="H8" s="16">
        <v>1.5345268542199489E-2</v>
      </c>
      <c r="I8" s="9">
        <v>0.1020107783676672</v>
      </c>
      <c r="J8" s="9">
        <f t="shared" si="1"/>
        <v>0.1020107783676672</v>
      </c>
      <c r="K8" s="9">
        <f t="shared" si="0"/>
        <v>0.12687099073414113</v>
      </c>
      <c r="L8" s="9">
        <f t="shared" si="0"/>
        <v>0.16312997347480107</v>
      </c>
      <c r="M8" s="9">
        <f t="shared" si="0"/>
        <v>0.10756302521008404</v>
      </c>
      <c r="N8" s="9">
        <f t="shared" si="0"/>
        <v>0.13043478260869565</v>
      </c>
      <c r="O8" s="9">
        <f t="shared" si="0"/>
        <v>0.15172413793103445</v>
      </c>
      <c r="P8" s="9">
        <f t="shared" si="0"/>
        <v>0.15856777493606139</v>
      </c>
    </row>
    <row r="9" spans="1:16" x14ac:dyDescent="0.3">
      <c r="A9" s="8" t="s">
        <v>7</v>
      </c>
      <c r="B9" s="16">
        <v>2.2616245439811236E-2</v>
      </c>
      <c r="C9" s="16">
        <v>3.4925160370634353E-2</v>
      </c>
      <c r="D9" s="16">
        <v>4.3766578249336871E-2</v>
      </c>
      <c r="E9" s="16">
        <v>1.680672268907563E-2</v>
      </c>
      <c r="F9" s="16">
        <v>1.7080745341614908E-2</v>
      </c>
      <c r="G9" s="16">
        <v>1.793103448275862E-2</v>
      </c>
      <c r="H9" s="16">
        <v>2.0460358056265986E-2</v>
      </c>
      <c r="I9" s="9">
        <v>0.12462702380747843</v>
      </c>
      <c r="J9" s="9">
        <f t="shared" si="1"/>
        <v>0.12462702380747843</v>
      </c>
      <c r="K9" s="9">
        <f t="shared" si="0"/>
        <v>0.16179615110477547</v>
      </c>
      <c r="L9" s="9">
        <f t="shared" si="0"/>
        <v>0.20689655172413796</v>
      </c>
      <c r="M9" s="9">
        <f t="shared" si="0"/>
        <v>0.12436974789915967</v>
      </c>
      <c r="N9" s="9">
        <f t="shared" si="0"/>
        <v>0.14751552795031056</v>
      </c>
      <c r="O9" s="9">
        <f t="shared" si="0"/>
        <v>0.16965517241379308</v>
      </c>
      <c r="P9" s="9">
        <f t="shared" si="0"/>
        <v>0.17902813299232737</v>
      </c>
    </row>
    <row r="10" spans="1:16" x14ac:dyDescent="0.3">
      <c r="A10" s="8" t="s">
        <v>3</v>
      </c>
      <c r="B10" s="16">
        <v>2.3727299280105838E-2</v>
      </c>
      <c r="C10" s="16">
        <v>4.5616535994297935E-2</v>
      </c>
      <c r="D10" s="16">
        <v>4.3766578249336871E-2</v>
      </c>
      <c r="E10" s="16">
        <v>4.8739495798319328E-2</v>
      </c>
      <c r="F10" s="16">
        <v>4.3478260869565216E-2</v>
      </c>
      <c r="G10" s="16">
        <v>4.6896551724137932E-2</v>
      </c>
      <c r="H10" s="16">
        <v>4.859335038363171E-2</v>
      </c>
      <c r="I10" s="9">
        <v>0.14835432308758428</v>
      </c>
      <c r="J10" s="9">
        <f t="shared" si="1"/>
        <v>0.14835432308758428</v>
      </c>
      <c r="K10" s="9">
        <f t="shared" si="0"/>
        <v>0.2074126870990734</v>
      </c>
      <c r="L10" s="9">
        <f t="shared" si="0"/>
        <v>0.25066312997347484</v>
      </c>
      <c r="M10" s="9">
        <f t="shared" si="0"/>
        <v>0.17310924369747899</v>
      </c>
      <c r="N10" s="9">
        <f t="shared" si="0"/>
        <v>0.19099378881987578</v>
      </c>
      <c r="O10" s="9">
        <f t="shared" si="0"/>
        <v>0.216551724137931</v>
      </c>
      <c r="P10" s="9">
        <f t="shared" si="0"/>
        <v>0.22762148337595908</v>
      </c>
    </row>
    <row r="11" spans="1:16" x14ac:dyDescent="0.3">
      <c r="A11" s="8" t="s">
        <v>15</v>
      </c>
      <c r="B11" s="16">
        <v>2.3733026361756841E-2</v>
      </c>
      <c r="C11" s="16">
        <v>2.1382751247327157E-2</v>
      </c>
      <c r="D11" s="16">
        <v>2.2546419098143235E-2</v>
      </c>
      <c r="E11" s="16">
        <v>2.5210084033613446E-2</v>
      </c>
      <c r="F11" s="16">
        <v>2.872670807453416E-2</v>
      </c>
      <c r="G11" s="16">
        <v>1.9310344827586208E-2</v>
      </c>
      <c r="H11" s="16">
        <v>2.557544757033248E-2</v>
      </c>
      <c r="I11" s="9">
        <v>0.17208734944934112</v>
      </c>
      <c r="J11" s="9">
        <f t="shared" si="1"/>
        <v>0.17208734944934112</v>
      </c>
      <c r="K11" s="9">
        <f t="shared" si="0"/>
        <v>0.22879543834640056</v>
      </c>
      <c r="L11" s="9">
        <f t="shared" si="0"/>
        <v>0.2732095490716181</v>
      </c>
      <c r="M11" s="9">
        <f t="shared" si="0"/>
        <v>0.19831932773109243</v>
      </c>
      <c r="N11" s="9">
        <f t="shared" si="0"/>
        <v>0.21972049689440992</v>
      </c>
      <c r="O11" s="9">
        <f t="shared" si="0"/>
        <v>0.2358620689655172</v>
      </c>
      <c r="P11" s="9">
        <f t="shared" si="0"/>
        <v>0.25319693094629159</v>
      </c>
    </row>
    <row r="12" spans="1:16" x14ac:dyDescent="0.3">
      <c r="A12" s="8" t="s">
        <v>12</v>
      </c>
      <c r="B12" s="16">
        <v>2.4740992732333385E-2</v>
      </c>
      <c r="C12" s="16">
        <v>2.5659301496792589E-2</v>
      </c>
      <c r="D12" s="16">
        <v>3.8461538461538464E-2</v>
      </c>
      <c r="E12" s="16">
        <v>2.5210084033613446E-2</v>
      </c>
      <c r="F12" s="16">
        <v>2.9503105590062112E-2</v>
      </c>
      <c r="G12" s="16">
        <v>2.3448275862068966E-2</v>
      </c>
      <c r="H12" s="16">
        <v>3.3248081841432228E-2</v>
      </c>
      <c r="I12" s="9">
        <v>0.1968283421816745</v>
      </c>
      <c r="J12" s="9">
        <f t="shared" si="1"/>
        <v>0.1968283421816745</v>
      </c>
      <c r="K12" s="9">
        <f t="shared" si="0"/>
        <v>0.25445473984319317</v>
      </c>
      <c r="L12" s="9">
        <f t="shared" si="0"/>
        <v>0.31167108753315653</v>
      </c>
      <c r="M12" s="9">
        <f t="shared" si="0"/>
        <v>0.22352941176470587</v>
      </c>
      <c r="N12" s="9">
        <f t="shared" si="0"/>
        <v>0.24922360248447203</v>
      </c>
      <c r="O12" s="9">
        <f t="shared" si="0"/>
        <v>0.25931034482758619</v>
      </c>
      <c r="P12" s="9">
        <f t="shared" si="0"/>
        <v>0.28644501278772383</v>
      </c>
    </row>
    <row r="13" spans="1:16" x14ac:dyDescent="0.3">
      <c r="A13" s="8" t="s">
        <v>18</v>
      </c>
      <c r="B13" s="16">
        <v>2.4798263548843416E-2</v>
      </c>
      <c r="C13" s="16">
        <v>2.0669992872416252E-2</v>
      </c>
      <c r="D13" s="16">
        <v>2.3872679045092837E-2</v>
      </c>
      <c r="E13" s="16">
        <v>1.8487394957983194E-2</v>
      </c>
      <c r="F13" s="16">
        <v>1.2422360248447204E-2</v>
      </c>
      <c r="G13" s="16">
        <v>2.3448275862068966E-2</v>
      </c>
      <c r="H13" s="16">
        <v>2.557544757033248E-2</v>
      </c>
      <c r="I13" s="9">
        <v>0.2216266057305179</v>
      </c>
      <c r="J13" s="9">
        <f t="shared" si="1"/>
        <v>0.2216266057305179</v>
      </c>
      <c r="K13" s="9">
        <f t="shared" si="0"/>
        <v>0.27512473271560944</v>
      </c>
      <c r="L13" s="9">
        <f t="shared" si="0"/>
        <v>0.33554376657824936</v>
      </c>
      <c r="M13" s="9">
        <f t="shared" si="0"/>
        <v>0.24201680672268905</v>
      </c>
      <c r="N13" s="9">
        <f t="shared" si="0"/>
        <v>0.26164596273291924</v>
      </c>
      <c r="O13" s="9">
        <f t="shared" si="0"/>
        <v>0.28275862068965518</v>
      </c>
      <c r="P13" s="9">
        <f t="shared" si="0"/>
        <v>0.31202046035805631</v>
      </c>
    </row>
    <row r="14" spans="1:16" x14ac:dyDescent="0.3">
      <c r="A14" s="8" t="s">
        <v>4</v>
      </c>
      <c r="B14" s="16">
        <v>2.6682473412023434E-2</v>
      </c>
      <c r="C14" s="16">
        <v>2.9223093371347115E-2</v>
      </c>
      <c r="D14" s="16">
        <v>9.2838196286472146E-3</v>
      </c>
      <c r="E14" s="16">
        <v>1.680672268907563E-2</v>
      </c>
      <c r="F14" s="16">
        <v>1.3975155279503106E-2</v>
      </c>
      <c r="G14" s="16">
        <v>1.2413793103448275E-2</v>
      </c>
      <c r="H14" s="16">
        <v>2.0460358056265986E-2</v>
      </c>
      <c r="I14" s="9">
        <v>0.24830907914254133</v>
      </c>
      <c r="J14" s="9">
        <f t="shared" si="1"/>
        <v>0.24830907914254133</v>
      </c>
      <c r="K14" s="9">
        <f t="shared" si="0"/>
        <v>0.30434782608695654</v>
      </c>
      <c r="L14" s="9">
        <f t="shared" si="0"/>
        <v>0.34482758620689657</v>
      </c>
      <c r="M14" s="9">
        <f t="shared" si="0"/>
        <v>0.25882352941176467</v>
      </c>
      <c r="N14" s="9">
        <f t="shared" si="0"/>
        <v>0.27562111801242234</v>
      </c>
      <c r="O14" s="9">
        <f t="shared" si="0"/>
        <v>0.29517241379310344</v>
      </c>
      <c r="P14" s="9">
        <f t="shared" si="0"/>
        <v>0.33248081841432231</v>
      </c>
    </row>
    <row r="15" spans="1:16" x14ac:dyDescent="0.3">
      <c r="A15" s="8" t="s">
        <v>19</v>
      </c>
      <c r="B15" s="16">
        <v>3.3746828628535758E-2</v>
      </c>
      <c r="C15" s="16">
        <v>2.2808267997148968E-2</v>
      </c>
      <c r="D15" s="16">
        <v>1.9893899204244031E-2</v>
      </c>
      <c r="E15" s="16">
        <v>3.1932773109243695E-2</v>
      </c>
      <c r="F15" s="16">
        <v>2.6397515527950312E-2</v>
      </c>
      <c r="G15" s="16">
        <v>3.4482758620689655E-2</v>
      </c>
      <c r="H15" s="16">
        <v>3.0690537084398978E-2</v>
      </c>
      <c r="I15" s="9">
        <v>0.28205590777107709</v>
      </c>
      <c r="J15" s="9">
        <f t="shared" si="1"/>
        <v>0.28205590777107709</v>
      </c>
      <c r="K15" s="9">
        <f t="shared" si="0"/>
        <v>0.32715609408410551</v>
      </c>
      <c r="L15" s="9">
        <f t="shared" si="0"/>
        <v>0.36472148541114058</v>
      </c>
      <c r="M15" s="9">
        <f t="shared" si="0"/>
        <v>0.29075630252100837</v>
      </c>
      <c r="N15" s="9">
        <f t="shared" si="0"/>
        <v>0.30201863354037267</v>
      </c>
      <c r="O15" s="9">
        <f t="shared" si="0"/>
        <v>0.32965517241379311</v>
      </c>
      <c r="P15" s="9">
        <f t="shared" si="0"/>
        <v>0.36317135549872126</v>
      </c>
    </row>
    <row r="16" spans="1:16" x14ac:dyDescent="0.3">
      <c r="A16" s="8" t="s">
        <v>1</v>
      </c>
      <c r="B16" s="16">
        <v>3.8468807449787812E-2</v>
      </c>
      <c r="C16" s="16">
        <v>3.6350677120456164E-2</v>
      </c>
      <c r="D16" s="16">
        <v>2.7851458885941646E-2</v>
      </c>
      <c r="E16" s="16">
        <v>4.3697478991596636E-2</v>
      </c>
      <c r="F16" s="16">
        <v>5.0465838509316768E-2</v>
      </c>
      <c r="G16" s="16">
        <v>8.4137931034482763E-2</v>
      </c>
      <c r="H16" s="16">
        <v>6.1381074168797956E-2</v>
      </c>
      <c r="I16" s="9">
        <v>0.3205247152208649</v>
      </c>
      <c r="J16" s="9">
        <f t="shared" si="1"/>
        <v>0.3205247152208649</v>
      </c>
      <c r="K16" s="9">
        <f t="shared" si="0"/>
        <v>0.36350677120456165</v>
      </c>
      <c r="L16" s="9">
        <f t="shared" si="0"/>
        <v>0.39257294429708223</v>
      </c>
      <c r="M16" s="9">
        <f t="shared" si="0"/>
        <v>0.33445378151260502</v>
      </c>
      <c r="N16" s="9">
        <f t="shared" si="0"/>
        <v>0.35248447204968947</v>
      </c>
      <c r="O16" s="9">
        <f t="shared" si="0"/>
        <v>0.41379310344827586</v>
      </c>
      <c r="P16" s="9">
        <f t="shared" si="0"/>
        <v>0.42455242966751922</v>
      </c>
    </row>
    <row r="17" spans="1:16" x14ac:dyDescent="0.3">
      <c r="A17" s="8" t="s">
        <v>17</v>
      </c>
      <c r="B17" s="16">
        <v>4.6942024752446895E-2</v>
      </c>
      <c r="C17" s="16">
        <v>4.6329294369208837E-2</v>
      </c>
      <c r="D17" s="16">
        <v>7.0291777188328908E-2</v>
      </c>
      <c r="E17" s="16">
        <v>8.4033613445378158E-2</v>
      </c>
      <c r="F17" s="16">
        <v>5.2018633540372672E-2</v>
      </c>
      <c r="G17" s="16">
        <v>4.9655172413793101E-2</v>
      </c>
      <c r="H17" s="16">
        <v>6.6496163682864456E-2</v>
      </c>
      <c r="I17" s="9">
        <v>0.36746673997331181</v>
      </c>
      <c r="J17" s="9">
        <f t="shared" si="1"/>
        <v>0.36746673997331181</v>
      </c>
      <c r="K17" s="9">
        <f t="shared" si="0"/>
        <v>0.4098360655737705</v>
      </c>
      <c r="L17" s="9">
        <f t="shared" si="0"/>
        <v>0.46286472148541113</v>
      </c>
      <c r="M17" s="9">
        <f t="shared" si="0"/>
        <v>0.41848739495798315</v>
      </c>
      <c r="N17" s="9">
        <f t="shared" si="0"/>
        <v>0.40450310559006214</v>
      </c>
      <c r="O17" s="9">
        <f t="shared" si="0"/>
        <v>0.46344827586206894</v>
      </c>
      <c r="P17" s="9">
        <f t="shared" si="0"/>
        <v>0.49104859335038364</v>
      </c>
    </row>
    <row r="18" spans="1:16" x14ac:dyDescent="0.3">
      <c r="A18" s="8" t="s">
        <v>13</v>
      </c>
      <c r="B18" s="16">
        <v>5.4687902685428585E-2</v>
      </c>
      <c r="C18" s="16">
        <v>5.6307911617961511E-2</v>
      </c>
      <c r="D18" s="16">
        <v>5.1724137931034482E-2</v>
      </c>
      <c r="E18" s="16">
        <v>2.8571428571428571E-2</v>
      </c>
      <c r="F18" s="16">
        <v>5.5900621118012424E-2</v>
      </c>
      <c r="G18" s="16">
        <v>5.3793103448275863E-2</v>
      </c>
      <c r="H18" s="16">
        <v>3.5805626598465472E-2</v>
      </c>
      <c r="I18" s="9">
        <v>0.42215464265874036</v>
      </c>
      <c r="J18" s="9">
        <f t="shared" si="1"/>
        <v>0.42215464265874036</v>
      </c>
      <c r="K18" s="9">
        <f t="shared" si="0"/>
        <v>0.46614397719173201</v>
      </c>
      <c r="L18" s="9">
        <f t="shared" si="0"/>
        <v>0.51458885941644561</v>
      </c>
      <c r="M18" s="9">
        <f t="shared" si="0"/>
        <v>0.44705882352941173</v>
      </c>
      <c r="N18" s="9">
        <f t="shared" si="0"/>
        <v>0.46040372670807456</v>
      </c>
      <c r="O18" s="9">
        <f t="shared" si="0"/>
        <v>0.51724137931034475</v>
      </c>
      <c r="P18" s="9">
        <f t="shared" si="0"/>
        <v>0.52685421994884907</v>
      </c>
    </row>
    <row r="19" spans="1:16" x14ac:dyDescent="0.3">
      <c r="A19" s="8" t="s">
        <v>21</v>
      </c>
      <c r="B19" s="16">
        <v>5.6795468732997727E-2</v>
      </c>
      <c r="C19" s="16">
        <v>2.2095509622238062E-2</v>
      </c>
      <c r="D19" s="16">
        <v>3.0503978779840849E-2</v>
      </c>
      <c r="E19" s="16">
        <v>4.7058823529411764E-2</v>
      </c>
      <c r="F19" s="16">
        <v>4.503105590062112E-2</v>
      </c>
      <c r="G19" s="16">
        <v>5.3793103448275863E-2</v>
      </c>
      <c r="H19" s="16">
        <v>4.6035805626598467E-2</v>
      </c>
      <c r="I19" s="9">
        <v>0.4789501113917381</v>
      </c>
      <c r="J19" s="9">
        <f t="shared" si="1"/>
        <v>0.4789501113917381</v>
      </c>
      <c r="K19" s="9">
        <f t="shared" si="1"/>
        <v>0.48823948681397006</v>
      </c>
      <c r="L19" s="9">
        <f t="shared" si="1"/>
        <v>0.54509283819628651</v>
      </c>
      <c r="M19" s="9">
        <f t="shared" si="1"/>
        <v>0.49411764705882349</v>
      </c>
      <c r="N19" s="9">
        <f t="shared" si="1"/>
        <v>0.50543478260869568</v>
      </c>
      <c r="O19" s="9">
        <f t="shared" si="1"/>
        <v>0.57103448275862057</v>
      </c>
      <c r="P19" s="9">
        <f t="shared" si="1"/>
        <v>0.57289002557544755</v>
      </c>
    </row>
    <row r="20" spans="1:16" x14ac:dyDescent="0.3">
      <c r="A20" s="8" t="s">
        <v>9</v>
      </c>
      <c r="B20" s="16">
        <v>5.7024551999037852E-2</v>
      </c>
      <c r="C20" s="16">
        <v>6.6286528866714184E-2</v>
      </c>
      <c r="D20" s="16">
        <v>7.6923076923076927E-2</v>
      </c>
      <c r="E20" s="16">
        <v>0.10252100840336134</v>
      </c>
      <c r="F20" s="16">
        <v>8.4627329192546577E-2</v>
      </c>
      <c r="G20" s="16">
        <v>7.1724137931034479E-2</v>
      </c>
      <c r="H20" s="16">
        <v>6.9053708439897693E-2</v>
      </c>
      <c r="I20" s="9">
        <v>0.53597466339077593</v>
      </c>
      <c r="J20" s="9">
        <f t="shared" ref="J20:P24" si="2">J19+B20</f>
        <v>0.53597466339077593</v>
      </c>
      <c r="K20" s="9">
        <f t="shared" si="2"/>
        <v>0.55452601568068427</v>
      </c>
      <c r="L20" s="9">
        <f t="shared" si="2"/>
        <v>0.62201591511936338</v>
      </c>
      <c r="M20" s="9">
        <f t="shared" si="2"/>
        <v>0.59663865546218486</v>
      </c>
      <c r="N20" s="9">
        <f t="shared" si="2"/>
        <v>0.59006211180124224</v>
      </c>
      <c r="O20" s="9">
        <f t="shared" si="2"/>
        <v>0.64275862068965506</v>
      </c>
      <c r="P20" s="9">
        <f t="shared" si="2"/>
        <v>0.64194373401534521</v>
      </c>
    </row>
    <row r="21" spans="1:16" x14ac:dyDescent="0.3">
      <c r="A21" s="8" t="s">
        <v>8</v>
      </c>
      <c r="B21" s="16">
        <v>5.7651667439822689E-2</v>
      </c>
      <c r="C21" s="16">
        <v>6.2722736992159661E-2</v>
      </c>
      <c r="D21" s="16">
        <v>5.8355437665782495E-2</v>
      </c>
      <c r="E21" s="16">
        <v>5.378151260504202E-2</v>
      </c>
      <c r="F21" s="16">
        <v>7.7639751552795025E-2</v>
      </c>
      <c r="G21" s="16">
        <v>5.1034482758620693E-2</v>
      </c>
      <c r="H21" s="16">
        <v>6.6496163682864456E-2</v>
      </c>
      <c r="I21" s="9">
        <v>0.59362633083059857</v>
      </c>
      <c r="J21" s="9">
        <f t="shared" si="2"/>
        <v>0.59362633083059857</v>
      </c>
      <c r="K21" s="9">
        <f t="shared" si="2"/>
        <v>0.61724875267284396</v>
      </c>
      <c r="L21" s="9">
        <f t="shared" si="2"/>
        <v>0.68037135278514582</v>
      </c>
      <c r="M21" s="9">
        <f t="shared" si="2"/>
        <v>0.65042016806722691</v>
      </c>
      <c r="N21" s="9">
        <f t="shared" si="2"/>
        <v>0.66770186335403725</v>
      </c>
      <c r="O21" s="9">
        <f t="shared" si="2"/>
        <v>0.69379310344827572</v>
      </c>
      <c r="P21" s="9">
        <f t="shared" si="2"/>
        <v>0.7084398976982097</v>
      </c>
    </row>
    <row r="22" spans="1:16" x14ac:dyDescent="0.3">
      <c r="A22" s="8" t="s">
        <v>11</v>
      </c>
      <c r="B22" s="16">
        <v>6.5557903659032468E-2</v>
      </c>
      <c r="C22" s="16">
        <v>7.1275837491090524E-2</v>
      </c>
      <c r="D22" s="16">
        <v>8.3554376657824933E-2</v>
      </c>
      <c r="E22" s="16">
        <v>6.386554621848739E-2</v>
      </c>
      <c r="F22" s="16">
        <v>6.9099378881987583E-2</v>
      </c>
      <c r="G22" s="16">
        <v>7.4482758620689649E-2</v>
      </c>
      <c r="H22" s="16">
        <v>7.4168797953964194E-2</v>
      </c>
      <c r="I22" s="9">
        <v>0.65918423448963104</v>
      </c>
      <c r="J22" s="9">
        <f t="shared" si="2"/>
        <v>0.65918423448963104</v>
      </c>
      <c r="K22" s="9">
        <f t="shared" si="2"/>
        <v>0.68852459016393452</v>
      </c>
      <c r="L22" s="9">
        <f t="shared" si="2"/>
        <v>0.76392572944297077</v>
      </c>
      <c r="M22" s="9">
        <f t="shared" si="2"/>
        <v>0.7142857142857143</v>
      </c>
      <c r="N22" s="9">
        <f t="shared" si="2"/>
        <v>0.73680124223602483</v>
      </c>
      <c r="O22" s="9">
        <f t="shared" si="2"/>
        <v>0.76827586206896537</v>
      </c>
      <c r="P22" s="9">
        <f t="shared" si="2"/>
        <v>0.78260869565217384</v>
      </c>
    </row>
    <row r="23" spans="1:16" x14ac:dyDescent="0.3">
      <c r="A23" s="8" t="s">
        <v>14</v>
      </c>
      <c r="B23" s="16">
        <v>7.7158107543139245E-2</v>
      </c>
      <c r="C23" s="16">
        <v>8.0541696364932289E-2</v>
      </c>
      <c r="D23" s="16">
        <v>5.8355437665782495E-2</v>
      </c>
      <c r="E23" s="16">
        <v>8.5714285714285715E-2</v>
      </c>
      <c r="F23" s="16">
        <v>5.8229813664596272E-2</v>
      </c>
      <c r="G23" s="16">
        <v>5.6551724137931032E-2</v>
      </c>
      <c r="H23" s="16">
        <v>9.2071611253196933E-2</v>
      </c>
      <c r="I23" s="9">
        <v>0.73634234203277027</v>
      </c>
      <c r="J23" s="9">
        <f t="shared" si="2"/>
        <v>0.73634234203277027</v>
      </c>
      <c r="K23" s="9">
        <f t="shared" si="2"/>
        <v>0.76906628652886677</v>
      </c>
      <c r="L23" s="9">
        <f t="shared" si="2"/>
        <v>0.82228116710875332</v>
      </c>
      <c r="M23" s="9">
        <f t="shared" si="2"/>
        <v>0.8</v>
      </c>
      <c r="N23" s="9">
        <f t="shared" si="2"/>
        <v>0.79503105590062106</v>
      </c>
      <c r="O23" s="9">
        <f t="shared" si="2"/>
        <v>0.82482758620689645</v>
      </c>
      <c r="P23" s="9">
        <f t="shared" si="2"/>
        <v>0.8746803069053708</v>
      </c>
    </row>
    <row r="24" spans="1:16" x14ac:dyDescent="0.3">
      <c r="A24" s="8" t="s">
        <v>0</v>
      </c>
      <c r="B24" s="16">
        <v>0.26365765796722962</v>
      </c>
      <c r="C24" s="16">
        <v>0.23093371347113328</v>
      </c>
      <c r="D24" s="16">
        <v>0.17771883289124668</v>
      </c>
      <c r="E24" s="16">
        <v>0.2</v>
      </c>
      <c r="F24" s="16">
        <v>0.20496894409937888</v>
      </c>
      <c r="G24" s="16">
        <v>0.17517241379310344</v>
      </c>
      <c r="H24" s="16">
        <v>0.12531969309462915</v>
      </c>
      <c r="I24" s="9">
        <v>0.99999999999999989</v>
      </c>
      <c r="J24" s="9">
        <f t="shared" si="2"/>
        <v>0.99999999999999989</v>
      </c>
      <c r="K24" s="9">
        <f t="shared" si="2"/>
        <v>1</v>
      </c>
      <c r="L24" s="9">
        <f t="shared" si="2"/>
        <v>1</v>
      </c>
      <c r="M24" s="9">
        <f t="shared" si="2"/>
        <v>1</v>
      </c>
      <c r="N24" s="9">
        <f t="shared" si="2"/>
        <v>1</v>
      </c>
      <c r="O24" s="9">
        <f t="shared" si="2"/>
        <v>0.99999999999999989</v>
      </c>
      <c r="P24" s="9">
        <f t="shared" si="2"/>
        <v>1</v>
      </c>
    </row>
    <row r="27" spans="1:16" ht="28.8" x14ac:dyDescent="0.3">
      <c r="B27" s="10" t="s">
        <v>23</v>
      </c>
      <c r="C27" s="11" t="s">
        <v>61</v>
      </c>
      <c r="D27" s="11" t="s">
        <v>62</v>
      </c>
      <c r="E27" s="11" t="s">
        <v>63</v>
      </c>
      <c r="F27" s="11" t="s">
        <v>64</v>
      </c>
      <c r="G27" s="11" t="s">
        <v>65</v>
      </c>
      <c r="H27" s="11" t="s">
        <v>66</v>
      </c>
      <c r="J27" s="8"/>
      <c r="K27" s="12" t="s">
        <v>67</v>
      </c>
      <c r="L27" s="12" t="s">
        <v>68</v>
      </c>
      <c r="M27" s="12" t="s">
        <v>69</v>
      </c>
      <c r="N27" s="12" t="s">
        <v>70</v>
      </c>
      <c r="O27" s="12" t="s">
        <v>71</v>
      </c>
      <c r="P27" s="12" t="s">
        <v>72</v>
      </c>
    </row>
    <row r="28" spans="1:16" x14ac:dyDescent="0.3">
      <c r="B28" s="8" t="s">
        <v>20</v>
      </c>
      <c r="C28" s="9">
        <f>C2-B2</f>
        <v>4.0388437047455192E-3</v>
      </c>
      <c r="D28" s="9">
        <f>D2-B2</f>
        <v>1.2057709599073447E-3</v>
      </c>
      <c r="E28" s="9">
        <f>E2-B2</f>
        <v>-8.0780486687398699E-3</v>
      </c>
      <c r="F28" s="9">
        <f>F2-B2</f>
        <v>9.0026966728750379E-3</v>
      </c>
      <c r="G28" s="9">
        <f>G2-B2</f>
        <v>5.715054779535992E-3</v>
      </c>
      <c r="H28" s="9">
        <f>H2-B2</f>
        <v>4.7096751164263703E-3</v>
      </c>
      <c r="J28" s="8" t="s">
        <v>20</v>
      </c>
      <c r="K28" s="8">
        <f>(J2-0) * ((K2+0))</f>
        <v>9.7880846306897925E-5</v>
      </c>
      <c r="L28" s="8">
        <f>(J2-0) * ((L2+0))</f>
        <v>7.499514679201471E-5</v>
      </c>
      <c r="M28" s="8">
        <f>(J2-0) * ((M2+0))</f>
        <v>0</v>
      </c>
      <c r="N28" s="8">
        <f>(J2-0) * ((N2+0))</f>
        <v>1.3797909216791703E-4</v>
      </c>
      <c r="O28" s="8">
        <f>(J2-0) * ((O2+0))</f>
        <v>1.1142136094813613E-4</v>
      </c>
      <c r="P28" s="8">
        <f>(J2-0) * ((P2+0))</f>
        <v>1.0329985509897531E-4</v>
      </c>
    </row>
    <row r="29" spans="1:16" x14ac:dyDescent="0.3">
      <c r="B29" s="8" t="s">
        <v>22</v>
      </c>
      <c r="C29" s="9">
        <f t="shared" ref="C29:C50" si="3">C3-B3</f>
        <v>-3.0383127434542925E-4</v>
      </c>
      <c r="D29" s="9">
        <f t="shared" ref="D29:D50" si="4">D3-B3</f>
        <v>1.2363227377917341E-2</v>
      </c>
      <c r="E29" s="9">
        <f t="shared" ref="E29:E50" si="5">E3-B3</f>
        <v>-8.8569317732762921E-3</v>
      </c>
      <c r="F29" s="9">
        <f t="shared" ref="F29:F50" si="6">F3-B3</f>
        <v>4.3418259906988638E-3</v>
      </c>
      <c r="G29" s="9">
        <f t="shared" ref="G29:G50" si="7">G3-B3</f>
        <v>6.3154820198271563E-3</v>
      </c>
      <c r="H29" s="9">
        <f t="shared" ref="H29:H50" si="8">H3-B3</f>
        <v>1.1603426282989694E-2</v>
      </c>
      <c r="J29" s="8" t="s">
        <v>22</v>
      </c>
      <c r="K29" s="8">
        <f>(J3-J2) * ((K3+K2))</f>
        <v>2.9039120568118994E-4</v>
      </c>
      <c r="L29" s="8">
        <f>(J3-J2) * ((L3+L2))</f>
        <v>3.5239781591284982E-4</v>
      </c>
      <c r="M29" s="8">
        <f>(J3-J2) * ((M3+M2))</f>
        <v>0</v>
      </c>
      <c r="N29" s="8">
        <f>(J3-J2) * ((N3+N2))</f>
        <v>4.194664892623089E-4</v>
      </c>
      <c r="O29" s="8">
        <f>(J3-J2) * ((O3+O2))</f>
        <v>3.7871018616767593E-4</v>
      </c>
      <c r="P29" s="8">
        <f>(J3-J2) * ((P3+P2))</f>
        <v>4.0773598956259148E-4</v>
      </c>
    </row>
    <row r="30" spans="1:16" x14ac:dyDescent="0.3">
      <c r="B30" s="8" t="s">
        <v>6</v>
      </c>
      <c r="C30" s="9">
        <f t="shared" si="3"/>
        <v>6.1265956009718455E-3</v>
      </c>
      <c r="D30" s="9">
        <f t="shared" si="4"/>
        <v>3.8606257409411884E-2</v>
      </c>
      <c r="E30" s="9">
        <f t="shared" si="5"/>
        <v>1.5453548049805975E-2</v>
      </c>
      <c r="F30" s="9">
        <f t="shared" si="6"/>
        <v>3.9628648199923119E-3</v>
      </c>
      <c r="G30" s="9">
        <f t="shared" si="7"/>
        <v>1.7226947064584303E-2</v>
      </c>
      <c r="H30" s="9">
        <f t="shared" si="8"/>
        <v>7.3424775346433904E-3</v>
      </c>
      <c r="J30" s="8" t="s">
        <v>6</v>
      </c>
      <c r="K30" s="8">
        <f t="shared" ref="K30:K50" si="9">(J4-J3) * ((K4+K3))</f>
        <v>7.9473973224370689E-4</v>
      </c>
      <c r="L30" s="8">
        <f t="shared" ref="L30:L50" si="10">(J4-J3) * ((L4+L3))</f>
        <v>1.4788061595993644E-3</v>
      </c>
      <c r="M30" s="8">
        <f t="shared" ref="M30:M50" si="11">(J4-J3) * ((M4+M3))</f>
        <v>3.747965863320742E-4</v>
      </c>
      <c r="N30" s="8">
        <f t="shared" ref="N30:N50" si="12">(J4-J3) * ((N4+N3))</f>
        <v>1.0184689845980279E-3</v>
      </c>
      <c r="O30" s="8">
        <f t="shared" ref="O30:O50" si="13">(J4-J3) * ((O4+O3))</f>
        <v>1.1579922115639257E-3</v>
      </c>
      <c r="P30" s="8">
        <f t="shared" ref="P30:P50" si="14">(J4-J3) * ((P4+P3))</f>
        <v>1.1406852627497913E-3</v>
      </c>
    </row>
    <row r="31" spans="1:16" x14ac:dyDescent="0.3">
      <c r="B31" s="8" t="s">
        <v>5</v>
      </c>
      <c r="C31" s="9">
        <f t="shared" si="3"/>
        <v>3.6493694962740249E-3</v>
      </c>
      <c r="D31" s="9">
        <f t="shared" si="4"/>
        <v>2.2597742560631073E-3</v>
      </c>
      <c r="E31" s="9">
        <f t="shared" si="5"/>
        <v>-7.9045036566935071E-3</v>
      </c>
      <c r="F31" s="9">
        <f t="shared" si="6"/>
        <v>-3.8855047527841177E-3</v>
      </c>
      <c r="G31" s="9">
        <f t="shared" si="7"/>
        <v>3.0024798263548862E-3</v>
      </c>
      <c r="H31" s="9">
        <f t="shared" si="8"/>
        <v>6.7100378120679115E-3</v>
      </c>
      <c r="J31" s="8" t="s">
        <v>5</v>
      </c>
      <c r="K31" s="8">
        <f t="shared" si="9"/>
        <v>1.6272994299161687E-3</v>
      </c>
      <c r="L31" s="8">
        <f t="shared" si="10"/>
        <v>2.9847286076524161E-3</v>
      </c>
      <c r="M31" s="8">
        <f t="shared" si="11"/>
        <v>1.0689188824336495E-3</v>
      </c>
      <c r="N31" s="8">
        <f t="shared" si="12"/>
        <v>1.747271250131927E-3</v>
      </c>
      <c r="O31" s="8">
        <f t="shared" si="13"/>
        <v>2.2493606898250093E-3</v>
      </c>
      <c r="P31" s="8">
        <f t="shared" si="14"/>
        <v>2.1271128262475639E-3</v>
      </c>
    </row>
    <row r="32" spans="1:16" x14ac:dyDescent="0.3">
      <c r="B32" s="8" t="s">
        <v>2</v>
      </c>
      <c r="C32" s="9">
        <f t="shared" si="3"/>
        <v>6.5173209502316747E-3</v>
      </c>
      <c r="D32" s="9">
        <f t="shared" si="4"/>
        <v>1.2174013411063049E-2</v>
      </c>
      <c r="E32" s="9">
        <f t="shared" si="5"/>
        <v>2.5013101300860881E-2</v>
      </c>
      <c r="F32" s="9">
        <f t="shared" si="6"/>
        <v>1.0946605137178014E-2</v>
      </c>
      <c r="G32" s="9">
        <f t="shared" si="7"/>
        <v>1.6099742854033872E-2</v>
      </c>
      <c r="H32" s="9">
        <f t="shared" si="8"/>
        <v>8.571742148504282E-3</v>
      </c>
      <c r="J32" s="8" t="s">
        <v>2</v>
      </c>
      <c r="K32" s="8">
        <f t="shared" si="9"/>
        <v>2.4360262222291296E-3</v>
      </c>
      <c r="L32" s="8">
        <f t="shared" si="10"/>
        <v>3.9239320204218931E-3</v>
      </c>
      <c r="M32" s="8">
        <f t="shared" si="11"/>
        <v>1.9718582758086489E-3</v>
      </c>
      <c r="N32" s="8">
        <f t="shared" si="12"/>
        <v>2.5083105824125458E-3</v>
      </c>
      <c r="O32" s="8">
        <f t="shared" si="13"/>
        <v>3.2365673768445409E-3</v>
      </c>
      <c r="P32" s="8">
        <f t="shared" si="14"/>
        <v>3.0441416356214181E-3</v>
      </c>
    </row>
    <row r="33" spans="2:16" x14ac:dyDescent="0.3">
      <c r="B33" s="8" t="s">
        <v>10</v>
      </c>
      <c r="C33" s="9">
        <f t="shared" si="3"/>
        <v>-9.3411661196283191E-3</v>
      </c>
      <c r="D33" s="9">
        <f t="shared" si="4"/>
        <v>6.7337263873524719E-4</v>
      </c>
      <c r="E33" s="9">
        <f t="shared" si="5"/>
        <v>-1.1171577542928929E-2</v>
      </c>
      <c r="F33" s="9">
        <f t="shared" si="6"/>
        <v>-1.5899187924722259E-3</v>
      </c>
      <c r="G33" s="9">
        <f t="shared" si="7"/>
        <v>1.416078209027026E-3</v>
      </c>
      <c r="H33" s="9">
        <f t="shared" si="8"/>
        <v>2.3026449493972791E-2</v>
      </c>
      <c r="J33" s="8" t="s">
        <v>10</v>
      </c>
      <c r="K33" s="8">
        <f t="shared" si="9"/>
        <v>3.1375549452356088E-3</v>
      </c>
      <c r="L33" s="8">
        <f t="shared" si="10"/>
        <v>4.9838143102087906E-3</v>
      </c>
      <c r="M33" s="8">
        <f t="shared" si="11"/>
        <v>2.9472909724685709E-3</v>
      </c>
      <c r="N33" s="8">
        <f t="shared" si="12"/>
        <v>3.4315868437764887E-3</v>
      </c>
      <c r="O33" s="8">
        <f t="shared" si="13"/>
        <v>4.3439874825743664E-3</v>
      </c>
      <c r="P33" s="8">
        <f t="shared" si="14"/>
        <v>4.3934772260401066E-3</v>
      </c>
    </row>
    <row r="34" spans="2:16" x14ac:dyDescent="0.3">
      <c r="B34" s="8" t="s">
        <v>16</v>
      </c>
      <c r="C34" s="9">
        <f t="shared" si="3"/>
        <v>1.4173080008224627E-2</v>
      </c>
      <c r="D34" s="9">
        <f t="shared" si="4"/>
        <v>-6.1632209459641027E-3</v>
      </c>
      <c r="E34" s="9">
        <f t="shared" si="5"/>
        <v>1.0966591333885917E-3</v>
      </c>
      <c r="F34" s="9">
        <f t="shared" si="6"/>
        <v>5.6454351655405854E-3</v>
      </c>
      <c r="G34" s="9">
        <f t="shared" si="7"/>
        <v>-6.242518999593355E-5</v>
      </c>
      <c r="H34" s="9">
        <f t="shared" si="8"/>
        <v>-5.4068118202102375E-3</v>
      </c>
      <c r="J34" s="8" t="s">
        <v>16</v>
      </c>
      <c r="K34" s="8">
        <f t="shared" si="9"/>
        <v>4.5409042560654225E-3</v>
      </c>
      <c r="L34" s="8">
        <f t="shared" si="10"/>
        <v>6.467823455127703E-3</v>
      </c>
      <c r="M34" s="8">
        <f t="shared" si="11"/>
        <v>4.0109062885329734E-3</v>
      </c>
      <c r="N34" s="8">
        <f t="shared" si="12"/>
        <v>4.865782817894208E-3</v>
      </c>
      <c r="O34" s="8">
        <f t="shared" si="13"/>
        <v>5.8678296197158548E-3</v>
      </c>
      <c r="P34" s="8">
        <f t="shared" si="14"/>
        <v>6.2627761707528106E-3</v>
      </c>
    </row>
    <row r="35" spans="2:16" x14ac:dyDescent="0.3">
      <c r="B35" s="8" t="s">
        <v>7</v>
      </c>
      <c r="C35" s="9">
        <f t="shared" si="3"/>
        <v>1.2308914930823117E-2</v>
      </c>
      <c r="D35" s="9">
        <f t="shared" si="4"/>
        <v>2.1150332809525635E-2</v>
      </c>
      <c r="E35" s="9">
        <f t="shared" si="5"/>
        <v>-5.8095227507356066E-3</v>
      </c>
      <c r="F35" s="9">
        <f t="shared" si="6"/>
        <v>-5.5355000981963283E-3</v>
      </c>
      <c r="G35" s="9">
        <f t="shared" si="7"/>
        <v>-4.6852109570526164E-3</v>
      </c>
      <c r="H35" s="9">
        <f t="shared" si="8"/>
        <v>-2.1558873835452498E-3</v>
      </c>
      <c r="J35" s="8" t="s">
        <v>7</v>
      </c>
      <c r="K35" s="8">
        <f t="shared" si="9"/>
        <v>6.5285669302377414E-3</v>
      </c>
      <c r="L35" s="8">
        <f t="shared" si="10"/>
        <v>8.3686107131397021E-3</v>
      </c>
      <c r="M35" s="8">
        <f t="shared" si="11"/>
        <v>5.2454485221747069E-3</v>
      </c>
      <c r="N35" s="8">
        <f t="shared" si="12"/>
        <v>6.2861924436742409E-3</v>
      </c>
      <c r="O35" s="8">
        <f t="shared" si="13"/>
        <v>7.2683933620358854E-3</v>
      </c>
      <c r="P35" s="8">
        <f t="shared" si="14"/>
        <v>7.6351519131843569E-3</v>
      </c>
    </row>
    <row r="36" spans="2:16" x14ac:dyDescent="0.3">
      <c r="B36" s="8" t="s">
        <v>3</v>
      </c>
      <c r="C36" s="9">
        <f t="shared" si="3"/>
        <v>2.1889236714192097E-2</v>
      </c>
      <c r="D36" s="9">
        <f t="shared" si="4"/>
        <v>2.0039278969231033E-2</v>
      </c>
      <c r="E36" s="9">
        <f t="shared" si="5"/>
        <v>2.501219651821349E-2</v>
      </c>
      <c r="F36" s="9">
        <f t="shared" si="6"/>
        <v>1.9750961589459378E-2</v>
      </c>
      <c r="G36" s="9">
        <f t="shared" si="7"/>
        <v>2.3169252444032094E-2</v>
      </c>
      <c r="H36" s="9">
        <f t="shared" si="8"/>
        <v>2.4866051103525872E-2</v>
      </c>
      <c r="J36" s="8" t="s">
        <v>3</v>
      </c>
      <c r="K36" s="8">
        <f t="shared" si="9"/>
        <v>8.7603286009228995E-3</v>
      </c>
      <c r="L36" s="8">
        <f t="shared" si="10"/>
        <v>1.085665550614923E-2</v>
      </c>
      <c r="M36" s="8">
        <f t="shared" si="11"/>
        <v>7.058373063157538E-3</v>
      </c>
      <c r="N36" s="8">
        <f t="shared" si="12"/>
        <v>8.0319118681103658E-3</v>
      </c>
      <c r="O36" s="8">
        <f t="shared" si="13"/>
        <v>9.1636466185236361E-3</v>
      </c>
      <c r="P36" s="8">
        <f t="shared" si="14"/>
        <v>9.6486971497105629E-3</v>
      </c>
    </row>
    <row r="37" spans="2:16" x14ac:dyDescent="0.3">
      <c r="B37" s="8" t="s">
        <v>15</v>
      </c>
      <c r="C37" s="9">
        <f t="shared" si="3"/>
        <v>-2.3502751144296834E-3</v>
      </c>
      <c r="D37" s="9">
        <f t="shared" si="4"/>
        <v>-1.1866072636136059E-3</v>
      </c>
      <c r="E37" s="9">
        <f t="shared" si="5"/>
        <v>1.4770576718566054E-3</v>
      </c>
      <c r="F37" s="9">
        <f t="shared" si="6"/>
        <v>4.9936817127773196E-3</v>
      </c>
      <c r="G37" s="9">
        <f t="shared" si="7"/>
        <v>-4.4226815341706326E-3</v>
      </c>
      <c r="H37" s="9">
        <f t="shared" si="8"/>
        <v>1.8424212085756397E-3</v>
      </c>
      <c r="J37" s="8" t="s">
        <v>15</v>
      </c>
      <c r="K37" s="8">
        <f t="shared" si="9"/>
        <v>1.0352538940409967E-2</v>
      </c>
      <c r="L37" s="8">
        <f t="shared" si="10"/>
        <v>1.243308410198137E-2</v>
      </c>
      <c r="M37" s="8">
        <f t="shared" si="11"/>
        <v>8.8151240772239691E-3</v>
      </c>
      <c r="N37" s="8">
        <f t="shared" si="12"/>
        <v>9.7474929700072724E-3</v>
      </c>
      <c r="O37" s="8">
        <f t="shared" si="13"/>
        <v>1.073714847814654E-2</v>
      </c>
      <c r="P37" s="8">
        <f t="shared" si="14"/>
        <v>1.1411276102328097E-2</v>
      </c>
    </row>
    <row r="38" spans="2:16" x14ac:dyDescent="0.3">
      <c r="B38" s="8" t="s">
        <v>12</v>
      </c>
      <c r="C38" s="9">
        <f t="shared" si="3"/>
        <v>9.183087644592039E-4</v>
      </c>
      <c r="D38" s="9">
        <f t="shared" si="4"/>
        <v>1.3720545729205079E-2</v>
      </c>
      <c r="E38" s="9">
        <f t="shared" si="5"/>
        <v>4.6909130128006127E-4</v>
      </c>
      <c r="F38" s="9">
        <f t="shared" si="6"/>
        <v>4.7621128577287272E-3</v>
      </c>
      <c r="G38" s="9">
        <f t="shared" si="7"/>
        <v>-1.2927168702644189E-3</v>
      </c>
      <c r="H38" s="9">
        <f t="shared" si="8"/>
        <v>8.5070891090988435E-3</v>
      </c>
      <c r="J38" s="8" t="s">
        <v>12</v>
      </c>
      <c r="K38" s="8">
        <f t="shared" si="9"/>
        <v>1.1956089146487547E-2</v>
      </c>
      <c r="L38" s="8">
        <f t="shared" si="10"/>
        <v>1.4470527579521249E-2</v>
      </c>
      <c r="M38" s="8">
        <f t="shared" si="11"/>
        <v>1.0436956598009542E-2</v>
      </c>
      <c r="N38" s="8">
        <f t="shared" si="12"/>
        <v>1.1602142554603539E-2</v>
      </c>
      <c r="O38" s="8">
        <f t="shared" si="13"/>
        <v>1.2251057090907147E-2</v>
      </c>
      <c r="P38" s="8">
        <f t="shared" si="14"/>
        <v>1.3351277407985532E-2</v>
      </c>
    </row>
    <row r="39" spans="2:16" x14ac:dyDescent="0.3">
      <c r="B39" s="8" t="s">
        <v>18</v>
      </c>
      <c r="C39" s="9">
        <f t="shared" si="3"/>
        <v>-4.1282706764271641E-3</v>
      </c>
      <c r="D39" s="9">
        <f t="shared" si="4"/>
        <v>-9.2558450375057957E-4</v>
      </c>
      <c r="E39" s="9">
        <f t="shared" si="5"/>
        <v>-6.3108685908602226E-3</v>
      </c>
      <c r="F39" s="9">
        <f t="shared" si="6"/>
        <v>-1.2375903300396212E-2</v>
      </c>
      <c r="G39" s="9">
        <f t="shared" si="7"/>
        <v>-1.3499876867744502E-3</v>
      </c>
      <c r="H39" s="9">
        <f t="shared" si="8"/>
        <v>7.7718402148906421E-4</v>
      </c>
      <c r="J39" s="8" t="s">
        <v>18</v>
      </c>
      <c r="K39" s="8">
        <f t="shared" si="9"/>
        <v>1.3132651330570668E-2</v>
      </c>
      <c r="L39" s="8">
        <f t="shared" si="10"/>
        <v>1.6049804524980876E-2</v>
      </c>
      <c r="M39" s="8">
        <f t="shared" si="11"/>
        <v>1.1544737820217851E-2</v>
      </c>
      <c r="N39" s="8">
        <f t="shared" si="12"/>
        <v>1.266867811734391E-2</v>
      </c>
      <c r="O39" s="8">
        <f t="shared" si="13"/>
        <v>1.3442369068545458E-2</v>
      </c>
      <c r="P39" s="8">
        <f t="shared" si="14"/>
        <v>1.4840904527952319E-2</v>
      </c>
    </row>
    <row r="40" spans="2:16" x14ac:dyDescent="0.3">
      <c r="B40" s="8" t="s">
        <v>4</v>
      </c>
      <c r="C40" s="9">
        <f t="shared" si="3"/>
        <v>2.5406199593236804E-3</v>
      </c>
      <c r="D40" s="9">
        <f t="shared" si="4"/>
        <v>-1.7398653783376218E-2</v>
      </c>
      <c r="E40" s="9">
        <f t="shared" si="5"/>
        <v>-9.8757507229478049E-3</v>
      </c>
      <c r="F40" s="9">
        <f t="shared" si="6"/>
        <v>-1.2707318132520328E-2</v>
      </c>
      <c r="G40" s="9">
        <f t="shared" si="7"/>
        <v>-1.4268680308575159E-2</v>
      </c>
      <c r="H40" s="9">
        <f t="shared" si="8"/>
        <v>-6.2221153557574481E-3</v>
      </c>
      <c r="J40" s="8" t="s">
        <v>4</v>
      </c>
      <c r="K40" s="8">
        <f t="shared" si="9"/>
        <v>1.546176114324665E-2</v>
      </c>
      <c r="L40" s="8">
        <f t="shared" si="10"/>
        <v>1.8153990530992068E-2</v>
      </c>
      <c r="M40" s="8">
        <f t="shared" si="11"/>
        <v>1.336365895257644E-2</v>
      </c>
      <c r="N40" s="8">
        <f t="shared" si="12"/>
        <v>1.4335614597143021E-2</v>
      </c>
      <c r="O40" s="8">
        <f t="shared" si="13"/>
        <v>1.5420629461569401E-2</v>
      </c>
      <c r="P40" s="8">
        <f t="shared" si="14"/>
        <v>1.7196888234859091E-2</v>
      </c>
    </row>
    <row r="41" spans="2:16" x14ac:dyDescent="0.3">
      <c r="B41" s="8" t="s">
        <v>19</v>
      </c>
      <c r="C41" s="9">
        <f t="shared" si="3"/>
        <v>-1.093856063138679E-2</v>
      </c>
      <c r="D41" s="9">
        <f t="shared" si="4"/>
        <v>-1.3852929424291727E-2</v>
      </c>
      <c r="E41" s="9">
        <f t="shared" si="5"/>
        <v>-1.8140555192920627E-3</v>
      </c>
      <c r="F41" s="9">
        <f t="shared" si="6"/>
        <v>-7.3493131005854459E-3</v>
      </c>
      <c r="G41" s="9">
        <f t="shared" si="7"/>
        <v>7.3592999215389698E-4</v>
      </c>
      <c r="H41" s="9">
        <f t="shared" si="8"/>
        <v>-3.0562915441367799E-3</v>
      </c>
      <c r="J41" s="8" t="s">
        <v>19</v>
      </c>
      <c r="K41" s="8">
        <f t="shared" si="9"/>
        <v>2.1311254572261358E-2</v>
      </c>
      <c r="L41" s="8">
        <f t="shared" si="10"/>
        <v>2.3945030923430546E-2</v>
      </c>
      <c r="M41" s="8">
        <f t="shared" si="11"/>
        <v>1.8546576405934774E-2</v>
      </c>
      <c r="N41" s="8">
        <f t="shared" si="12"/>
        <v>1.9493509704682145E-2</v>
      </c>
      <c r="O41" s="8">
        <f t="shared" si="13"/>
        <v>2.1085949474105792E-2</v>
      </c>
      <c r="P41" s="8">
        <f t="shared" si="14"/>
        <v>2.3476054698111835E-2</v>
      </c>
    </row>
    <row r="42" spans="2:16" x14ac:dyDescent="0.3">
      <c r="B42" s="8" t="s">
        <v>1</v>
      </c>
      <c r="C42" s="9">
        <f t="shared" si="3"/>
        <v>-2.1181303293316481E-3</v>
      </c>
      <c r="D42" s="9">
        <f t="shared" si="4"/>
        <v>-1.0617348563846166E-2</v>
      </c>
      <c r="E42" s="9">
        <f t="shared" si="5"/>
        <v>5.2286715418088242E-3</v>
      </c>
      <c r="F42" s="9">
        <f t="shared" si="6"/>
        <v>1.1997031059528956E-2</v>
      </c>
      <c r="G42" s="9">
        <f t="shared" si="7"/>
        <v>4.5669123584694951E-2</v>
      </c>
      <c r="H42" s="9">
        <f t="shared" si="8"/>
        <v>2.2912266719010144E-2</v>
      </c>
      <c r="J42" s="8" t="s">
        <v>1</v>
      </c>
      <c r="K42" s="8">
        <f t="shared" si="9"/>
        <v>2.6568976777508475E-2</v>
      </c>
      <c r="L42" s="8">
        <f t="shared" si="10"/>
        <v>2.9132213599242493E-2</v>
      </c>
      <c r="M42" s="8">
        <f t="shared" si="11"/>
        <v>2.4051086338354732E-2</v>
      </c>
      <c r="N42" s="8">
        <f t="shared" si="12"/>
        <v>2.517795394423224E-2</v>
      </c>
      <c r="O42" s="8">
        <f t="shared" si="13"/>
        <v>2.8599568573014662E-2</v>
      </c>
      <c r="P42" s="8">
        <f t="shared" si="14"/>
        <v>3.0302794615178125E-2</v>
      </c>
    </row>
    <row r="43" spans="2:16" x14ac:dyDescent="0.3">
      <c r="B43" s="8" t="s">
        <v>17</v>
      </c>
      <c r="C43" s="9">
        <f t="shared" si="3"/>
        <v>-6.1273038323805817E-4</v>
      </c>
      <c r="D43" s="9">
        <f t="shared" si="4"/>
        <v>2.3349752435882012E-2</v>
      </c>
      <c r="E43" s="9">
        <f t="shared" si="5"/>
        <v>3.7091588692931263E-2</v>
      </c>
      <c r="F43" s="9">
        <f t="shared" si="6"/>
        <v>5.0766087879257765E-3</v>
      </c>
      <c r="G43" s="9">
        <f t="shared" si="7"/>
        <v>2.7131476613462061E-3</v>
      </c>
      <c r="H43" s="9">
        <f t="shared" si="8"/>
        <v>1.9554138930417561E-2</v>
      </c>
      <c r="J43" s="8" t="s">
        <v>17</v>
      </c>
      <c r="K43" s="8">
        <f t="shared" si="9"/>
        <v>3.6302278586175976E-2</v>
      </c>
      <c r="L43" s="8">
        <f t="shared" si="10"/>
        <v>4.0155976081337211E-2</v>
      </c>
      <c r="M43" s="8">
        <f t="shared" si="11"/>
        <v>3.5344583343018848E-2</v>
      </c>
      <c r="N43" s="8">
        <f t="shared" si="12"/>
        <v>3.5534529606860051E-2</v>
      </c>
      <c r="O43" s="8">
        <f t="shared" si="13"/>
        <v>4.1179486541456874E-2</v>
      </c>
      <c r="P43" s="8">
        <f t="shared" si="14"/>
        <v>4.2980165885872106E-2</v>
      </c>
    </row>
    <row r="44" spans="2:16" x14ac:dyDescent="0.3">
      <c r="B44" s="8" t="s">
        <v>13</v>
      </c>
      <c r="C44" s="9">
        <f t="shared" si="3"/>
        <v>1.6200089325329251E-3</v>
      </c>
      <c r="D44" s="9">
        <f t="shared" si="4"/>
        <v>-2.9637647543941034E-3</v>
      </c>
      <c r="E44" s="9">
        <f t="shared" si="5"/>
        <v>-2.6116474114000015E-2</v>
      </c>
      <c r="F44" s="9">
        <f t="shared" si="6"/>
        <v>1.2127184325838383E-3</v>
      </c>
      <c r="G44" s="9">
        <f t="shared" si="7"/>
        <v>-8.9479923715272275E-4</v>
      </c>
      <c r="H44" s="9">
        <f t="shared" si="8"/>
        <v>-1.8882276086963114E-2</v>
      </c>
      <c r="J44" s="8" t="s">
        <v>13</v>
      </c>
      <c r="K44" s="8">
        <f t="shared" si="9"/>
        <v>4.7905511333137342E-2</v>
      </c>
      <c r="L44" s="8">
        <f t="shared" si="10"/>
        <v>5.3454886311884414E-2</v>
      </c>
      <c r="M44" s="8">
        <f t="shared" si="11"/>
        <v>4.7334907366379339E-2</v>
      </c>
      <c r="N44" s="8">
        <f t="shared" si="12"/>
        <v>4.7299940676682778E-2</v>
      </c>
      <c r="O44" s="8">
        <f t="shared" si="13"/>
        <v>5.3631860426675448E-2</v>
      </c>
      <c r="P44" s="8">
        <f t="shared" si="14"/>
        <v>5.5666969996932394E-2</v>
      </c>
    </row>
    <row r="45" spans="2:16" x14ac:dyDescent="0.3">
      <c r="B45" s="8" t="s">
        <v>21</v>
      </c>
      <c r="C45" s="9">
        <f t="shared" si="3"/>
        <v>-3.4699959110759668E-2</v>
      </c>
      <c r="D45" s="9">
        <f t="shared" si="4"/>
        <v>-2.6291489953156878E-2</v>
      </c>
      <c r="E45" s="9">
        <f t="shared" si="5"/>
        <v>-9.7366452035859627E-3</v>
      </c>
      <c r="F45" s="9">
        <f t="shared" si="6"/>
        <v>-1.1764412832376607E-2</v>
      </c>
      <c r="G45" s="9">
        <f t="shared" si="7"/>
        <v>-3.002365284721864E-3</v>
      </c>
      <c r="H45" s="9">
        <f t="shared" si="8"/>
        <v>-1.075966310639926E-2</v>
      </c>
      <c r="J45" s="8" t="s">
        <v>21</v>
      </c>
      <c r="K45" s="8">
        <f t="shared" si="9"/>
        <v>5.4204656189225917E-2</v>
      </c>
      <c r="L45" s="8">
        <f t="shared" si="10"/>
        <v>6.0185118723693885E-2</v>
      </c>
      <c r="M45" s="8">
        <f t="shared" si="11"/>
        <v>5.345455880752728E-2</v>
      </c>
      <c r="N45" s="8">
        <f t="shared" si="12"/>
        <v>5.4855250857025764E-2</v>
      </c>
      <c r="O45" s="8">
        <f t="shared" si="13"/>
        <v>6.1809137697014079E-2</v>
      </c>
      <c r="P45" s="8">
        <f t="shared" si="14"/>
        <v>6.2460489910969377E-2</v>
      </c>
    </row>
    <row r="46" spans="2:16" x14ac:dyDescent="0.3">
      <c r="B46" s="8" t="s">
        <v>9</v>
      </c>
      <c r="C46" s="9">
        <f t="shared" si="3"/>
        <v>9.2619768676763317E-3</v>
      </c>
      <c r="D46" s="9">
        <f t="shared" si="4"/>
        <v>1.9898524924039075E-2</v>
      </c>
      <c r="E46" s="9">
        <f t="shared" si="5"/>
        <v>4.5496456404323489E-2</v>
      </c>
      <c r="F46" s="9">
        <f t="shared" si="6"/>
        <v>2.7602777193508725E-2</v>
      </c>
      <c r="G46" s="9">
        <f t="shared" si="7"/>
        <v>1.4699585931996627E-2</v>
      </c>
      <c r="H46" s="9">
        <f t="shared" si="8"/>
        <v>1.2029156440859841E-2</v>
      </c>
      <c r="J46" s="8" t="s">
        <v>9</v>
      </c>
      <c r="K46" s="8">
        <f t="shared" si="9"/>
        <v>5.9463235619809228E-2</v>
      </c>
      <c r="L46" s="8">
        <f t="shared" si="10"/>
        <v>6.6553853791980491E-2</v>
      </c>
      <c r="M46" s="8">
        <f t="shared" si="11"/>
        <v>6.2199889491387481E-2</v>
      </c>
      <c r="N46" s="8">
        <f t="shared" si="12"/>
        <v>6.2470219620063959E-2</v>
      </c>
      <c r="O46" s="8">
        <f t="shared" si="13"/>
        <v>6.9216007943659702E-2</v>
      </c>
      <c r="P46" s="8">
        <f t="shared" si="14"/>
        <v>6.9275350893971785E-2</v>
      </c>
    </row>
    <row r="47" spans="2:16" x14ac:dyDescent="0.3">
      <c r="B47" s="8" t="s">
        <v>8</v>
      </c>
      <c r="C47" s="9">
        <f t="shared" si="3"/>
        <v>5.0710695523369723E-3</v>
      </c>
      <c r="D47" s="9">
        <f t="shared" si="4"/>
        <v>7.0377022595980582E-4</v>
      </c>
      <c r="E47" s="9">
        <f t="shared" si="5"/>
        <v>-3.8701548347806689E-3</v>
      </c>
      <c r="F47" s="9">
        <f t="shared" si="6"/>
        <v>1.9988084112972336E-2</v>
      </c>
      <c r="G47" s="9">
        <f t="shared" si="7"/>
        <v>-6.6171846812019958E-3</v>
      </c>
      <c r="H47" s="9">
        <f t="shared" si="8"/>
        <v>8.8444962430417676E-3</v>
      </c>
      <c r="J47" s="8" t="s">
        <v>8</v>
      </c>
      <c r="K47" s="8">
        <f t="shared" si="9"/>
        <v>6.7554769259492817E-2</v>
      </c>
      <c r="L47" s="8">
        <f t="shared" si="10"/>
        <v>7.508479764708996E-2</v>
      </c>
      <c r="M47" s="8">
        <f t="shared" si="11"/>
        <v>7.1895020572014121E-2</v>
      </c>
      <c r="N47" s="8">
        <f t="shared" si="12"/>
        <v>7.2512190413441507E-2</v>
      </c>
      <c r="O47" s="8">
        <f t="shared" si="13"/>
        <v>7.7054435516121553E-2</v>
      </c>
      <c r="P47" s="8">
        <f t="shared" si="14"/>
        <v>7.7851868051729806E-2</v>
      </c>
    </row>
    <row r="48" spans="2:16" x14ac:dyDescent="0.3">
      <c r="B48" s="8" t="s">
        <v>11</v>
      </c>
      <c r="C48" s="9">
        <f t="shared" si="3"/>
        <v>5.7179338320580558E-3</v>
      </c>
      <c r="D48" s="9">
        <f t="shared" si="4"/>
        <v>1.7996472998792465E-2</v>
      </c>
      <c r="E48" s="9">
        <f t="shared" si="5"/>
        <v>-1.6923574405450781E-3</v>
      </c>
      <c r="F48" s="9">
        <f t="shared" si="6"/>
        <v>3.541475222955115E-3</v>
      </c>
      <c r="G48" s="9">
        <f t="shared" si="7"/>
        <v>8.9248549616571804E-3</v>
      </c>
      <c r="H48" s="9">
        <f t="shared" si="8"/>
        <v>8.6108942949317258E-3</v>
      </c>
      <c r="J48" s="8" t="s">
        <v>11</v>
      </c>
      <c r="K48" s="8">
        <f t="shared" si="9"/>
        <v>8.5603763010226291E-2</v>
      </c>
      <c r="L48" s="8">
        <f t="shared" si="10"/>
        <v>9.4685088971732556E-2</v>
      </c>
      <c r="M48" s="8">
        <f t="shared" si="11"/>
        <v>8.9467256758209018E-2</v>
      </c>
      <c r="N48" s="8">
        <f t="shared" si="12"/>
        <v>9.2076279285085202E-2</v>
      </c>
      <c r="O48" s="8">
        <f t="shared" si="13"/>
        <v>9.5850176384240565E-2</v>
      </c>
      <c r="P48" s="8">
        <f t="shared" si="14"/>
        <v>9.7750020033800331E-2</v>
      </c>
    </row>
    <row r="49" spans="2:16" x14ac:dyDescent="0.3">
      <c r="B49" s="8" t="s">
        <v>14</v>
      </c>
      <c r="C49" s="9">
        <f t="shared" si="3"/>
        <v>3.3835888217930432E-3</v>
      </c>
      <c r="D49" s="9">
        <f t="shared" si="4"/>
        <v>-1.8802669877356751E-2</v>
      </c>
      <c r="E49" s="9">
        <f t="shared" si="5"/>
        <v>8.5561781711464696E-3</v>
      </c>
      <c r="F49" s="9">
        <f t="shared" si="6"/>
        <v>-1.8928293878542973E-2</v>
      </c>
      <c r="G49" s="9">
        <f t="shared" si="7"/>
        <v>-2.0606383405208213E-2</v>
      </c>
      <c r="H49" s="9">
        <f t="shared" si="8"/>
        <v>1.4913503710057688E-2</v>
      </c>
      <c r="J49" s="8" t="s">
        <v>14</v>
      </c>
      <c r="K49" s="8">
        <f t="shared" si="9"/>
        <v>0.11246495361776175</v>
      </c>
      <c r="L49" s="8">
        <f t="shared" si="10"/>
        <v>0.12238872230980706</v>
      </c>
      <c r="M49" s="8">
        <f t="shared" si="11"/>
        <v>0.11683941999389655</v>
      </c>
      <c r="N49" s="8">
        <f t="shared" si="12"/>
        <v>0.11819328119768144</v>
      </c>
      <c r="O49" s="8">
        <f t="shared" si="13"/>
        <v>0.1229208471894149</v>
      </c>
      <c r="P49" s="8">
        <f t="shared" si="14"/>
        <v>0.12787328308939697</v>
      </c>
    </row>
    <row r="50" spans="2:16" x14ac:dyDescent="0.3">
      <c r="B50" s="8" t="s">
        <v>0</v>
      </c>
      <c r="C50" s="9">
        <f t="shared" si="3"/>
        <v>-3.2723944496096335E-2</v>
      </c>
      <c r="D50" s="9">
        <f t="shared" si="4"/>
        <v>-8.5938825075982939E-2</v>
      </c>
      <c r="E50" s="9">
        <f t="shared" si="5"/>
        <v>-6.3657657967229608E-2</v>
      </c>
      <c r="F50" s="9">
        <f t="shared" si="6"/>
        <v>-5.8688713867850739E-2</v>
      </c>
      <c r="G50" s="9">
        <f t="shared" si="7"/>
        <v>-8.8485244174126176E-2</v>
      </c>
      <c r="H50" s="9">
        <f t="shared" si="8"/>
        <v>-0.13833796487260047</v>
      </c>
      <c r="J50" s="8" t="s">
        <v>0</v>
      </c>
      <c r="K50" s="8">
        <f t="shared" si="9"/>
        <v>0.46642787389498502</v>
      </c>
      <c r="L50" s="8">
        <f t="shared" si="10"/>
        <v>0.4804583846776837</v>
      </c>
      <c r="M50" s="8">
        <f t="shared" si="11"/>
        <v>0.47458378434101334</v>
      </c>
      <c r="N50" s="8">
        <f t="shared" si="12"/>
        <v>0.473273684177201</v>
      </c>
      <c r="O50" s="8">
        <f t="shared" si="13"/>
        <v>0.48112976757330311</v>
      </c>
      <c r="P50" s="8">
        <f t="shared" si="14"/>
        <v>0.49427381915595731</v>
      </c>
    </row>
    <row r="51" spans="2:16" x14ac:dyDescent="0.3">
      <c r="J51" s="13" t="s">
        <v>73</v>
      </c>
      <c r="K51" s="12">
        <f>SUM(K28:K50)</f>
        <v>1.0569240055901377</v>
      </c>
      <c r="L51" s="12">
        <f t="shared" ref="L51:P51" si="15">SUM(L28:L50)</f>
        <v>1.1466432435103617</v>
      </c>
      <c r="M51" s="12">
        <f t="shared" si="15"/>
        <v>1.0605551534566715</v>
      </c>
      <c r="N51" s="12">
        <f t="shared" si="15"/>
        <v>1.0776877380940819</v>
      </c>
      <c r="O51" s="12">
        <f t="shared" si="15"/>
        <v>1.1381063503263742</v>
      </c>
      <c r="P51" s="12">
        <f t="shared" si="15"/>
        <v>1.1734742406340133</v>
      </c>
    </row>
    <row r="52" spans="2:16" x14ac:dyDescent="0.3">
      <c r="J52" s="14" t="s">
        <v>74</v>
      </c>
      <c r="K52" s="15">
        <f>1-K51</f>
        <v>-5.6924005590137661E-2</v>
      </c>
      <c r="L52" s="15">
        <f t="shared" ref="L52:P52" si="16">1-L51</f>
        <v>-0.14664324351036173</v>
      </c>
      <c r="M52" s="15">
        <f t="shared" si="16"/>
        <v>-6.0555153456671507E-2</v>
      </c>
      <c r="N52" s="15">
        <f t="shared" si="16"/>
        <v>-7.7687738094081915E-2</v>
      </c>
      <c r="O52" s="15">
        <f t="shared" si="16"/>
        <v>-0.13810635032637419</v>
      </c>
      <c r="P52" s="15">
        <f t="shared" si="16"/>
        <v>-0.17347424063401329</v>
      </c>
    </row>
  </sheetData>
  <sortState xmlns:xlrd2="http://schemas.microsoft.com/office/spreadsheetml/2017/richdata2" ref="A2:P25">
    <sortCondition ref="B1:B2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A860-9565-4C9C-B333-24CA2CB1792A}">
  <dimension ref="A1:P47"/>
  <sheetViews>
    <sheetView zoomScale="81" workbookViewId="0">
      <selection activeCell="N30" sqref="N30"/>
    </sheetView>
  </sheetViews>
  <sheetFormatPr defaultRowHeight="14.4" x14ac:dyDescent="0.3"/>
  <cols>
    <col min="11" max="11" width="12" bestFit="1" customWidth="1"/>
    <col min="16" max="16" width="12" bestFit="1" customWidth="1"/>
  </cols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8" t="s">
        <v>49</v>
      </c>
      <c r="B2" s="16">
        <v>1.2250326564541029E-2</v>
      </c>
      <c r="C2" s="16">
        <v>1.3628620102214651E-2</v>
      </c>
      <c r="D2" s="16">
        <v>1.1730205278592375E-2</v>
      </c>
      <c r="E2" s="16">
        <v>1.0582010582010581E-2</v>
      </c>
      <c r="F2" s="16">
        <v>1.0067114093959731E-2</v>
      </c>
      <c r="G2" s="16">
        <v>9.0909090909090905E-3</v>
      </c>
      <c r="H2" s="16">
        <v>6.1349693251533744E-3</v>
      </c>
      <c r="I2" s="9">
        <v>1.2250326564541029E-2</v>
      </c>
      <c r="J2" s="16">
        <v>1.2250326564541029E-2</v>
      </c>
      <c r="K2" s="16">
        <v>1.3628620102214651E-2</v>
      </c>
      <c r="L2" s="16">
        <v>1.1730205278592375E-2</v>
      </c>
      <c r="M2" s="16">
        <v>1.0582010582010581E-2</v>
      </c>
      <c r="N2" s="16">
        <v>1.0067114093959731E-2</v>
      </c>
      <c r="O2" s="16">
        <v>9.0909090909090905E-3</v>
      </c>
      <c r="P2" s="16">
        <v>6.1349693251533744E-3</v>
      </c>
    </row>
    <row r="3" spans="1:16" x14ac:dyDescent="0.3">
      <c r="A3" s="8" t="s">
        <v>44</v>
      </c>
      <c r="B3" s="16">
        <v>1.2492578078612992E-2</v>
      </c>
      <c r="C3" s="16">
        <v>1.7035775127768314E-3</v>
      </c>
      <c r="D3" s="16">
        <v>2.9325513196480938E-3</v>
      </c>
      <c r="E3" s="16">
        <v>2.6455026455026454E-3</v>
      </c>
      <c r="F3" s="16">
        <v>0</v>
      </c>
      <c r="G3" s="16">
        <v>1.4545454545454545E-2</v>
      </c>
      <c r="H3" s="16">
        <v>6.1349693251533744E-3</v>
      </c>
      <c r="I3" s="9">
        <v>2.4742904643154019E-2</v>
      </c>
      <c r="J3" s="9">
        <f>J2+B3</f>
        <v>2.4742904643154019E-2</v>
      </c>
      <c r="K3" s="9">
        <f t="shared" ref="K3:P18" si="0">K2+C3</f>
        <v>1.5332197614991482E-2</v>
      </c>
      <c r="L3" s="9">
        <f t="shared" si="0"/>
        <v>1.466275659824047E-2</v>
      </c>
      <c r="M3" s="9">
        <f t="shared" si="0"/>
        <v>1.3227513227513227E-2</v>
      </c>
      <c r="N3" s="9">
        <f t="shared" si="0"/>
        <v>1.0067114093959731E-2</v>
      </c>
      <c r="O3" s="9">
        <f t="shared" si="0"/>
        <v>2.3636363636363636E-2</v>
      </c>
      <c r="P3" s="9">
        <f t="shared" si="0"/>
        <v>1.2269938650306749E-2</v>
      </c>
    </row>
    <row r="4" spans="1:16" x14ac:dyDescent="0.3">
      <c r="A4" s="8" t="s">
        <v>36</v>
      </c>
      <c r="B4" s="16">
        <v>1.7950362189763685E-2</v>
      </c>
      <c r="C4" s="16">
        <v>5.1107325383304937E-3</v>
      </c>
      <c r="D4" s="16">
        <v>5.8651026392961877E-3</v>
      </c>
      <c r="E4" s="16">
        <v>5.2910052910052907E-3</v>
      </c>
      <c r="F4" s="16">
        <v>1.1744966442953021E-2</v>
      </c>
      <c r="G4" s="16">
        <v>2.5454545454545455E-2</v>
      </c>
      <c r="H4" s="16">
        <v>5.5214723926380369E-2</v>
      </c>
      <c r="I4" s="9">
        <v>4.2693266832917701E-2</v>
      </c>
      <c r="J4" s="9">
        <f t="shared" ref="J4:P19" si="1">J3+B4</f>
        <v>4.2693266832917701E-2</v>
      </c>
      <c r="K4" s="9">
        <f t="shared" si="0"/>
        <v>2.0442930153321975E-2</v>
      </c>
      <c r="L4" s="9">
        <f t="shared" si="0"/>
        <v>2.0527859237536659E-2</v>
      </c>
      <c r="M4" s="9">
        <f t="shared" si="0"/>
        <v>1.8518518518518517E-2</v>
      </c>
      <c r="N4" s="9">
        <f t="shared" si="0"/>
        <v>2.1812080536912751E-2</v>
      </c>
      <c r="O4" s="9">
        <f t="shared" si="0"/>
        <v>4.9090909090909088E-2</v>
      </c>
      <c r="P4" s="9">
        <f t="shared" si="0"/>
        <v>6.7484662576687116E-2</v>
      </c>
    </row>
    <row r="5" spans="1:16" x14ac:dyDescent="0.3">
      <c r="A5" s="8" t="s">
        <v>46</v>
      </c>
      <c r="B5" s="16">
        <v>1.83398646241539E-2</v>
      </c>
      <c r="C5" s="16">
        <v>2.5553662691652469E-2</v>
      </c>
      <c r="D5" s="16">
        <v>1.466275659824047E-2</v>
      </c>
      <c r="E5" s="16">
        <v>2.9100529100529099E-2</v>
      </c>
      <c r="F5" s="16">
        <v>2.8523489932885907E-2</v>
      </c>
      <c r="G5" s="16">
        <v>1.8181818181818181E-2</v>
      </c>
      <c r="H5" s="16">
        <v>1.5337423312883436E-2</v>
      </c>
      <c r="I5" s="9">
        <v>6.10331314570716E-2</v>
      </c>
      <c r="J5" s="9">
        <f t="shared" si="1"/>
        <v>6.10331314570716E-2</v>
      </c>
      <c r="K5" s="9">
        <f t="shared" si="0"/>
        <v>4.599659284497444E-2</v>
      </c>
      <c r="L5" s="9">
        <f t="shared" si="0"/>
        <v>3.519061583577713E-2</v>
      </c>
      <c r="M5" s="9">
        <f t="shared" si="0"/>
        <v>4.7619047619047616E-2</v>
      </c>
      <c r="N5" s="9">
        <f t="shared" si="0"/>
        <v>5.0335570469798654E-2</v>
      </c>
      <c r="O5" s="9">
        <f t="shared" si="0"/>
        <v>6.7272727272727262E-2</v>
      </c>
      <c r="P5" s="9">
        <f t="shared" si="0"/>
        <v>8.2822085889570546E-2</v>
      </c>
    </row>
    <row r="6" spans="1:16" x14ac:dyDescent="0.3">
      <c r="A6" s="8" t="s">
        <v>32</v>
      </c>
      <c r="B6" s="16">
        <v>1.8976368602303763E-2</v>
      </c>
      <c r="C6" s="16">
        <v>1.5332197614991482E-2</v>
      </c>
      <c r="D6" s="16">
        <v>5.8651026392961877E-3</v>
      </c>
      <c r="E6" s="16">
        <v>1.8518518518518517E-2</v>
      </c>
      <c r="F6" s="16">
        <v>2.1812080536912751E-2</v>
      </c>
      <c r="G6" s="16">
        <v>2.181818181818182E-2</v>
      </c>
      <c r="H6" s="16">
        <v>1.5337423312883436E-2</v>
      </c>
      <c r="I6" s="9">
        <v>8.0009500059375363E-2</v>
      </c>
      <c r="J6" s="9">
        <f t="shared" si="1"/>
        <v>8.0009500059375363E-2</v>
      </c>
      <c r="K6" s="9">
        <f t="shared" si="0"/>
        <v>6.1328790459965921E-2</v>
      </c>
      <c r="L6" s="9">
        <f t="shared" si="0"/>
        <v>4.1055718475073319E-2</v>
      </c>
      <c r="M6" s="9">
        <f t="shared" si="0"/>
        <v>6.6137566137566134E-2</v>
      </c>
      <c r="N6" s="9">
        <f t="shared" si="0"/>
        <v>7.2147651006711402E-2</v>
      </c>
      <c r="O6" s="9">
        <f t="shared" si="0"/>
        <v>8.9090909090909082E-2</v>
      </c>
      <c r="P6" s="9">
        <f t="shared" si="0"/>
        <v>9.8159509202453976E-2</v>
      </c>
    </row>
    <row r="7" spans="1:16" x14ac:dyDescent="0.3">
      <c r="A7" s="8" t="s">
        <v>41</v>
      </c>
      <c r="B7" s="16">
        <v>1.9669872936705853E-2</v>
      </c>
      <c r="C7" s="16">
        <v>2.2146507666098807E-2</v>
      </c>
      <c r="D7" s="16">
        <v>2.9325513196480938E-3</v>
      </c>
      <c r="E7" s="16">
        <v>7.9365079365079361E-3</v>
      </c>
      <c r="F7" s="16">
        <v>1.0067114093959731E-2</v>
      </c>
      <c r="G7" s="16">
        <v>2.9090909090909091E-2</v>
      </c>
      <c r="H7" s="16">
        <v>2.4539877300613498E-2</v>
      </c>
      <c r="I7" s="9">
        <v>9.967937299608122E-2</v>
      </c>
      <c r="J7" s="9">
        <f t="shared" si="1"/>
        <v>9.967937299608122E-2</v>
      </c>
      <c r="K7" s="9">
        <f t="shared" si="0"/>
        <v>8.3475298126064731E-2</v>
      </c>
      <c r="L7" s="9">
        <f t="shared" si="0"/>
        <v>4.398826979472141E-2</v>
      </c>
      <c r="M7" s="9">
        <f t="shared" si="0"/>
        <v>7.407407407407407E-2</v>
      </c>
      <c r="N7" s="9">
        <f t="shared" si="0"/>
        <v>8.2214765100671133E-2</v>
      </c>
      <c r="O7" s="9">
        <f t="shared" si="0"/>
        <v>0.11818181818181817</v>
      </c>
      <c r="P7" s="9">
        <f t="shared" si="0"/>
        <v>0.12269938650306747</v>
      </c>
    </row>
    <row r="8" spans="1:16" x14ac:dyDescent="0.3">
      <c r="A8" s="8" t="s">
        <v>34</v>
      </c>
      <c r="B8" s="16">
        <v>2.2054387839924E-2</v>
      </c>
      <c r="C8" s="16">
        <v>2.2146507666098807E-2</v>
      </c>
      <c r="D8" s="16">
        <v>1.7595307917888565E-2</v>
      </c>
      <c r="E8" s="16">
        <v>5.2910052910052907E-3</v>
      </c>
      <c r="F8" s="16">
        <v>3.3557046979865772E-2</v>
      </c>
      <c r="G8" s="16">
        <v>0.02</v>
      </c>
      <c r="H8" s="16">
        <v>3.9877300613496931E-2</v>
      </c>
      <c r="I8" s="9">
        <v>0.12173376083600522</v>
      </c>
      <c r="J8" s="9">
        <f t="shared" si="1"/>
        <v>0.12173376083600522</v>
      </c>
      <c r="K8" s="9">
        <f t="shared" si="0"/>
        <v>0.10562180579216354</v>
      </c>
      <c r="L8" s="9">
        <f t="shared" si="0"/>
        <v>6.1583577712609971E-2</v>
      </c>
      <c r="M8" s="9">
        <f t="shared" si="0"/>
        <v>7.9365079365079361E-2</v>
      </c>
      <c r="N8" s="9">
        <f t="shared" si="0"/>
        <v>0.11577181208053691</v>
      </c>
      <c r="O8" s="9">
        <f t="shared" si="0"/>
        <v>0.13818181818181816</v>
      </c>
      <c r="P8" s="9">
        <f t="shared" si="0"/>
        <v>0.16257668711656439</v>
      </c>
    </row>
    <row r="9" spans="1:16" x14ac:dyDescent="0.3">
      <c r="A9" s="8" t="s">
        <v>40</v>
      </c>
      <c r="B9" s="16">
        <v>2.2187388671179194E-2</v>
      </c>
      <c r="C9" s="16">
        <v>2.2146507666098807E-2</v>
      </c>
      <c r="D9" s="16">
        <v>2.0527859237536656E-2</v>
      </c>
      <c r="E9" s="16">
        <v>7.9365079365079361E-3</v>
      </c>
      <c r="F9" s="16">
        <v>6.7114093959731542E-3</v>
      </c>
      <c r="G9" s="16">
        <v>1.4545454545454545E-2</v>
      </c>
      <c r="H9" s="16">
        <v>3.0674846625766871E-2</v>
      </c>
      <c r="I9" s="9">
        <v>0.1439211495071844</v>
      </c>
      <c r="J9" s="9">
        <f t="shared" si="1"/>
        <v>0.1439211495071844</v>
      </c>
      <c r="K9" s="9">
        <f t="shared" si="0"/>
        <v>0.12776831345826234</v>
      </c>
      <c r="L9" s="9">
        <f t="shared" si="0"/>
        <v>8.2111436950146624E-2</v>
      </c>
      <c r="M9" s="9">
        <f t="shared" si="0"/>
        <v>8.7301587301587297E-2</v>
      </c>
      <c r="N9" s="9">
        <f t="shared" si="0"/>
        <v>0.12248322147651007</v>
      </c>
      <c r="O9" s="9">
        <f t="shared" si="0"/>
        <v>0.15272727272727271</v>
      </c>
      <c r="P9" s="9">
        <f t="shared" si="0"/>
        <v>0.19325153374233126</v>
      </c>
    </row>
    <row r="10" spans="1:16" x14ac:dyDescent="0.3">
      <c r="A10" s="8" t="s">
        <v>45</v>
      </c>
      <c r="B10" s="16">
        <v>2.2291889324308277E-2</v>
      </c>
      <c r="C10" s="16">
        <v>2.0442930153321975E-2</v>
      </c>
      <c r="D10" s="16">
        <v>1.1730205278592375E-2</v>
      </c>
      <c r="E10" s="16">
        <v>2.3809523809523808E-2</v>
      </c>
      <c r="F10" s="16">
        <v>3.1879194630872486E-2</v>
      </c>
      <c r="G10" s="16">
        <v>1.2727272727272728E-2</v>
      </c>
      <c r="H10" s="16">
        <v>3.0674846625766872E-3</v>
      </c>
      <c r="I10" s="9">
        <v>0.16621303883149269</v>
      </c>
      <c r="J10" s="9">
        <f t="shared" si="1"/>
        <v>0.16621303883149269</v>
      </c>
      <c r="K10" s="9">
        <f t="shared" si="0"/>
        <v>0.1482112436115843</v>
      </c>
      <c r="L10" s="9">
        <f t="shared" si="0"/>
        <v>9.3841642228739003E-2</v>
      </c>
      <c r="M10" s="9">
        <f t="shared" si="0"/>
        <v>0.1111111111111111</v>
      </c>
      <c r="N10" s="9">
        <f t="shared" si="0"/>
        <v>0.15436241610738255</v>
      </c>
      <c r="O10" s="9">
        <f t="shared" si="0"/>
        <v>0.16545454545454544</v>
      </c>
      <c r="P10" s="9">
        <f t="shared" si="0"/>
        <v>0.19631901840490795</v>
      </c>
    </row>
    <row r="11" spans="1:16" x14ac:dyDescent="0.3">
      <c r="A11" s="8" t="s">
        <v>35</v>
      </c>
      <c r="B11" s="16">
        <v>2.3298895618097615E-2</v>
      </c>
      <c r="C11" s="16">
        <v>2.2146507666098807E-2</v>
      </c>
      <c r="D11" s="16">
        <v>2.6392961876832845E-2</v>
      </c>
      <c r="E11" s="16">
        <v>7.9365079365079361E-3</v>
      </c>
      <c r="F11" s="16">
        <v>3.3557046979865771E-3</v>
      </c>
      <c r="G11" s="16">
        <v>9.0909090909090905E-3</v>
      </c>
      <c r="H11" s="16">
        <v>2.7607361963190184E-2</v>
      </c>
      <c r="I11" s="9">
        <v>0.1895119344495903</v>
      </c>
      <c r="J11" s="9">
        <f t="shared" si="1"/>
        <v>0.1895119344495903</v>
      </c>
      <c r="K11" s="9">
        <f t="shared" si="0"/>
        <v>0.1703577512776831</v>
      </c>
      <c r="L11" s="9">
        <f t="shared" si="0"/>
        <v>0.12023460410557185</v>
      </c>
      <c r="M11" s="9">
        <f t="shared" si="0"/>
        <v>0.11904761904761904</v>
      </c>
      <c r="N11" s="9">
        <f t="shared" si="0"/>
        <v>0.15771812080536912</v>
      </c>
      <c r="O11" s="9">
        <f t="shared" si="0"/>
        <v>0.17454545454545453</v>
      </c>
      <c r="P11" s="9">
        <f t="shared" si="0"/>
        <v>0.22392638036809814</v>
      </c>
    </row>
    <row r="12" spans="1:16" x14ac:dyDescent="0.3">
      <c r="A12" s="8" t="s">
        <v>37</v>
      </c>
      <c r="B12" s="16">
        <v>2.4828405177532358E-2</v>
      </c>
      <c r="C12" s="16">
        <v>3.4071550255536626E-2</v>
      </c>
      <c r="D12" s="16">
        <v>1.1730205278592375E-2</v>
      </c>
      <c r="E12" s="16">
        <v>2.3809523809523808E-2</v>
      </c>
      <c r="F12" s="16">
        <v>1.5100671140939598E-2</v>
      </c>
      <c r="G12" s="16">
        <v>9.0909090909090905E-3</v>
      </c>
      <c r="H12" s="16">
        <v>4.2944785276073622E-2</v>
      </c>
      <c r="I12" s="9">
        <v>0.21434033962712265</v>
      </c>
      <c r="J12" s="9">
        <f t="shared" si="1"/>
        <v>0.21434033962712265</v>
      </c>
      <c r="K12" s="9">
        <f t="shared" si="0"/>
        <v>0.20442930153321973</v>
      </c>
      <c r="L12" s="9">
        <f t="shared" si="0"/>
        <v>0.13196480938416422</v>
      </c>
      <c r="M12" s="9">
        <f t="shared" si="0"/>
        <v>0.14285714285714285</v>
      </c>
      <c r="N12" s="9">
        <f t="shared" si="0"/>
        <v>0.17281879194630873</v>
      </c>
      <c r="O12" s="9">
        <f t="shared" si="0"/>
        <v>0.18363636363636363</v>
      </c>
      <c r="P12" s="9">
        <f t="shared" si="0"/>
        <v>0.26687116564417179</v>
      </c>
    </row>
    <row r="13" spans="1:16" x14ac:dyDescent="0.3">
      <c r="A13" s="8" t="s">
        <v>47</v>
      </c>
      <c r="B13" s="16">
        <v>2.5441159007243794E-2</v>
      </c>
      <c r="C13" s="16">
        <v>1.192504258943782E-2</v>
      </c>
      <c r="D13" s="16">
        <v>1.1730205278592375E-2</v>
      </c>
      <c r="E13" s="16">
        <v>7.9365079365079361E-3</v>
      </c>
      <c r="F13" s="16">
        <v>8.389261744966443E-3</v>
      </c>
      <c r="G13" s="16">
        <v>1.090909090909091E-2</v>
      </c>
      <c r="H13" s="16">
        <v>1.2269938650306749E-2</v>
      </c>
      <c r="I13" s="9">
        <v>0.23978149863436643</v>
      </c>
      <c r="J13" s="9">
        <f t="shared" si="1"/>
        <v>0.23978149863436643</v>
      </c>
      <c r="K13" s="9">
        <f t="shared" si="0"/>
        <v>0.21635434412265755</v>
      </c>
      <c r="L13" s="9">
        <f t="shared" si="0"/>
        <v>0.14369501466275658</v>
      </c>
      <c r="M13" s="9">
        <f t="shared" si="0"/>
        <v>0.15079365079365079</v>
      </c>
      <c r="N13" s="9">
        <f t="shared" si="0"/>
        <v>0.18120805369127516</v>
      </c>
      <c r="O13" s="9">
        <f t="shared" si="0"/>
        <v>0.19454545454545452</v>
      </c>
      <c r="P13" s="9">
        <f t="shared" si="0"/>
        <v>0.27914110429447853</v>
      </c>
    </row>
    <row r="14" spans="1:16" x14ac:dyDescent="0.3">
      <c r="A14" s="8" t="s">
        <v>50</v>
      </c>
      <c r="B14" s="16">
        <v>3.486521790761192E-2</v>
      </c>
      <c r="C14" s="16">
        <v>3.2367972742759793E-2</v>
      </c>
      <c r="D14" s="16">
        <v>3.2258064516129031E-2</v>
      </c>
      <c r="E14" s="16">
        <v>4.2328042328042326E-2</v>
      </c>
      <c r="F14" s="16">
        <v>4.1946308724832217E-2</v>
      </c>
      <c r="G14" s="16">
        <v>2.7272727272727271E-2</v>
      </c>
      <c r="H14" s="16">
        <v>3.0674846625766871E-2</v>
      </c>
      <c r="I14" s="9">
        <v>0.27464671654197836</v>
      </c>
      <c r="J14" s="9">
        <f t="shared" si="1"/>
        <v>0.27464671654197836</v>
      </c>
      <c r="K14" s="9">
        <f t="shared" si="0"/>
        <v>0.24872231686541735</v>
      </c>
      <c r="L14" s="9">
        <f t="shared" si="0"/>
        <v>0.17595307917888561</v>
      </c>
      <c r="M14" s="9">
        <f t="shared" si="0"/>
        <v>0.19312169312169311</v>
      </c>
      <c r="N14" s="9">
        <f t="shared" si="0"/>
        <v>0.22315436241610737</v>
      </c>
      <c r="O14" s="9">
        <f t="shared" si="0"/>
        <v>0.2218181818181818</v>
      </c>
      <c r="P14" s="9">
        <f t="shared" si="0"/>
        <v>0.30981595092024539</v>
      </c>
    </row>
    <row r="15" spans="1:16" x14ac:dyDescent="0.3">
      <c r="A15" s="8" t="s">
        <v>48</v>
      </c>
      <c r="B15" s="16">
        <v>3.6261726635791476E-2</v>
      </c>
      <c r="C15" s="16">
        <v>4.770017035775128E-2</v>
      </c>
      <c r="D15" s="16">
        <v>4.398826979472141E-2</v>
      </c>
      <c r="E15" s="16">
        <v>5.2910052910052907E-2</v>
      </c>
      <c r="F15" s="16">
        <v>3.8590604026845637E-2</v>
      </c>
      <c r="G15" s="16">
        <v>0.04</v>
      </c>
      <c r="H15" s="16">
        <v>4.9079754601226995E-2</v>
      </c>
      <c r="I15" s="9">
        <v>0.31090844317776983</v>
      </c>
      <c r="J15" s="9">
        <f t="shared" si="1"/>
        <v>0.31090844317776983</v>
      </c>
      <c r="K15" s="9">
        <f t="shared" si="0"/>
        <v>0.29642248722316861</v>
      </c>
      <c r="L15" s="9">
        <f t="shared" si="0"/>
        <v>0.21994134897360701</v>
      </c>
      <c r="M15" s="9">
        <f t="shared" si="0"/>
        <v>0.24603174603174602</v>
      </c>
      <c r="N15" s="9">
        <f t="shared" si="0"/>
        <v>0.26174496644295298</v>
      </c>
      <c r="O15" s="9">
        <f t="shared" si="0"/>
        <v>0.26181818181818178</v>
      </c>
      <c r="P15" s="9">
        <f t="shared" si="0"/>
        <v>0.35889570552147237</v>
      </c>
    </row>
    <row r="16" spans="1:16" x14ac:dyDescent="0.3">
      <c r="A16" s="8" t="s">
        <v>38</v>
      </c>
      <c r="B16" s="16">
        <v>4.8958555990974942E-2</v>
      </c>
      <c r="C16" s="16">
        <v>3.5775127768313458E-2</v>
      </c>
      <c r="D16" s="16">
        <v>3.8123167155425221E-2</v>
      </c>
      <c r="E16" s="16">
        <v>3.7037037037037035E-2</v>
      </c>
      <c r="F16" s="16">
        <v>4.3624161073825503E-2</v>
      </c>
      <c r="G16" s="16">
        <v>5.4545454545454543E-2</v>
      </c>
      <c r="H16" s="16">
        <v>4.2944785276073622E-2</v>
      </c>
      <c r="I16" s="9">
        <v>0.35986699916874476</v>
      </c>
      <c r="J16" s="9">
        <f t="shared" si="1"/>
        <v>0.35986699916874476</v>
      </c>
      <c r="K16" s="9">
        <f t="shared" si="0"/>
        <v>0.33219761499148204</v>
      </c>
      <c r="L16" s="9">
        <f t="shared" si="0"/>
        <v>0.25806451612903225</v>
      </c>
      <c r="M16" s="9">
        <f t="shared" si="0"/>
        <v>0.28306878306878303</v>
      </c>
      <c r="N16" s="9">
        <f t="shared" si="0"/>
        <v>0.30536912751677847</v>
      </c>
      <c r="O16" s="9">
        <f t="shared" si="0"/>
        <v>0.31636363636363635</v>
      </c>
      <c r="P16" s="9">
        <f t="shared" si="0"/>
        <v>0.40184049079754602</v>
      </c>
    </row>
    <row r="17" spans="1:16" x14ac:dyDescent="0.3">
      <c r="A17" s="8" t="s">
        <v>51</v>
      </c>
      <c r="B17" s="16">
        <v>4.9082056762854764E-2</v>
      </c>
      <c r="C17" s="16">
        <v>3.9182282793867124E-2</v>
      </c>
      <c r="D17" s="16">
        <v>2.3460410557184751E-2</v>
      </c>
      <c r="E17" s="16">
        <v>6.0846560846560843E-2</v>
      </c>
      <c r="F17" s="16">
        <v>6.7114093959731544E-2</v>
      </c>
      <c r="G17" s="16">
        <v>4.7272727272727272E-2</v>
      </c>
      <c r="H17" s="16">
        <v>2.4539877300613498E-2</v>
      </c>
      <c r="I17" s="9">
        <v>0.40894905593159953</v>
      </c>
      <c r="J17" s="9">
        <f t="shared" si="1"/>
        <v>0.40894905593159953</v>
      </c>
      <c r="K17" s="9">
        <f t="shared" si="0"/>
        <v>0.37137989778534919</v>
      </c>
      <c r="L17" s="9">
        <f t="shared" si="0"/>
        <v>0.28152492668621698</v>
      </c>
      <c r="M17" s="9">
        <f t="shared" si="0"/>
        <v>0.34391534391534384</v>
      </c>
      <c r="N17" s="9">
        <f t="shared" si="0"/>
        <v>0.37248322147651003</v>
      </c>
      <c r="O17" s="9">
        <f t="shared" si="0"/>
        <v>0.36363636363636365</v>
      </c>
      <c r="P17" s="9">
        <f t="shared" si="0"/>
        <v>0.42638036809815955</v>
      </c>
    </row>
    <row r="18" spans="1:16" x14ac:dyDescent="0.3">
      <c r="A18" s="8" t="s">
        <v>39</v>
      </c>
      <c r="B18" s="16">
        <v>5.8168863555397222E-2</v>
      </c>
      <c r="C18" s="16">
        <v>4.770017035775128E-2</v>
      </c>
      <c r="D18" s="16">
        <v>4.1055718475073312E-2</v>
      </c>
      <c r="E18" s="16">
        <v>2.9100529100529099E-2</v>
      </c>
      <c r="F18" s="16">
        <v>5.5369127516778527E-2</v>
      </c>
      <c r="G18" s="16">
        <v>0.10909090909090909</v>
      </c>
      <c r="H18" s="16">
        <v>9.815950920245399E-2</v>
      </c>
      <c r="I18" s="9">
        <v>0.46711791948699677</v>
      </c>
      <c r="J18" s="9">
        <f t="shared" si="1"/>
        <v>0.46711791948699677</v>
      </c>
      <c r="K18" s="9">
        <f t="shared" si="0"/>
        <v>0.41908006814310045</v>
      </c>
      <c r="L18" s="9">
        <f t="shared" si="0"/>
        <v>0.32258064516129031</v>
      </c>
      <c r="M18" s="9">
        <f t="shared" si="0"/>
        <v>0.37301587301587291</v>
      </c>
      <c r="N18" s="9">
        <f t="shared" si="0"/>
        <v>0.42785234899328856</v>
      </c>
      <c r="O18" s="9">
        <f t="shared" si="0"/>
        <v>0.47272727272727272</v>
      </c>
      <c r="P18" s="9">
        <f t="shared" si="0"/>
        <v>0.52453987730061358</v>
      </c>
    </row>
    <row r="19" spans="1:16" x14ac:dyDescent="0.3">
      <c r="A19" s="8" t="s">
        <v>43</v>
      </c>
      <c r="B19" s="16">
        <v>6.3574397339983379E-2</v>
      </c>
      <c r="C19" s="16">
        <v>7.4957410562180582E-2</v>
      </c>
      <c r="D19" s="16">
        <v>0.13196480938416422</v>
      </c>
      <c r="E19" s="16">
        <v>0.1693121693121693</v>
      </c>
      <c r="F19" s="16">
        <v>7.2147651006711416E-2</v>
      </c>
      <c r="G19" s="16">
        <v>4.7272727272727272E-2</v>
      </c>
      <c r="H19" s="16">
        <v>7.3619631901840496E-2</v>
      </c>
      <c r="I19" s="9">
        <v>0.53069231682698015</v>
      </c>
      <c r="J19" s="9">
        <f t="shared" si="1"/>
        <v>0.53069231682698015</v>
      </c>
      <c r="K19" s="9">
        <f t="shared" si="1"/>
        <v>0.49403747870528103</v>
      </c>
      <c r="L19" s="9">
        <f t="shared" si="1"/>
        <v>0.45454545454545453</v>
      </c>
      <c r="M19" s="9">
        <f t="shared" si="1"/>
        <v>0.54232804232804221</v>
      </c>
      <c r="N19" s="9">
        <f t="shared" si="1"/>
        <v>0.5</v>
      </c>
      <c r="O19" s="9">
        <f t="shared" si="1"/>
        <v>0.52</v>
      </c>
      <c r="P19" s="9">
        <f t="shared" si="1"/>
        <v>0.59815950920245409</v>
      </c>
    </row>
    <row r="20" spans="1:16" x14ac:dyDescent="0.3">
      <c r="A20" s="8" t="s">
        <v>33</v>
      </c>
      <c r="B20" s="16">
        <v>7.189169932312077E-2</v>
      </c>
      <c r="C20" s="16">
        <v>9.1993185689948895E-2</v>
      </c>
      <c r="D20" s="16">
        <v>9.0909090909090912E-2</v>
      </c>
      <c r="E20" s="16">
        <v>7.9365079365079361E-2</v>
      </c>
      <c r="F20" s="16">
        <v>0.10067114093959731</v>
      </c>
      <c r="G20" s="16">
        <v>8.9090909090909096E-2</v>
      </c>
      <c r="H20" s="16">
        <v>8.2822085889570546E-2</v>
      </c>
      <c r="I20" s="9">
        <v>0.60258401615010093</v>
      </c>
      <c r="J20" s="9">
        <f t="shared" ref="J20:P22" si="2">J19+B20</f>
        <v>0.60258401615010093</v>
      </c>
      <c r="K20" s="9">
        <f t="shared" si="2"/>
        <v>0.58603066439522988</v>
      </c>
      <c r="L20" s="9">
        <f t="shared" si="2"/>
        <v>0.54545454545454541</v>
      </c>
      <c r="M20" s="9">
        <f t="shared" si="2"/>
        <v>0.62169312169312163</v>
      </c>
      <c r="N20" s="9">
        <f t="shared" si="2"/>
        <v>0.60067114093959728</v>
      </c>
      <c r="O20" s="9">
        <f t="shared" si="2"/>
        <v>0.60909090909090913</v>
      </c>
      <c r="P20" s="9">
        <f t="shared" si="2"/>
        <v>0.68098159509202461</v>
      </c>
    </row>
    <row r="21" spans="1:16" x14ac:dyDescent="0.3">
      <c r="A21" s="8" t="s">
        <v>42</v>
      </c>
      <c r="B21" s="16">
        <v>0.11239995249970312</v>
      </c>
      <c r="C21" s="16">
        <v>0.11073253833049404</v>
      </c>
      <c r="D21" s="16">
        <v>0.10850439882697947</v>
      </c>
      <c r="E21" s="16">
        <v>7.9365079365079361E-2</v>
      </c>
      <c r="F21" s="16">
        <v>0.15771812080536912</v>
      </c>
      <c r="G21" s="16">
        <v>0.2290909090909091</v>
      </c>
      <c r="H21" s="16">
        <v>0.1411042944785276</v>
      </c>
      <c r="I21" s="9">
        <v>0.71498396864980407</v>
      </c>
      <c r="J21" s="9">
        <f t="shared" si="2"/>
        <v>0.71498396864980407</v>
      </c>
      <c r="K21" s="9">
        <f t="shared" si="2"/>
        <v>0.6967632027257239</v>
      </c>
      <c r="L21" s="9">
        <f t="shared" si="2"/>
        <v>0.6539589442815249</v>
      </c>
      <c r="M21" s="9">
        <f t="shared" si="2"/>
        <v>0.70105820105820094</v>
      </c>
      <c r="N21" s="9">
        <f t="shared" si="2"/>
        <v>0.75838926174496635</v>
      </c>
      <c r="O21" s="9">
        <f t="shared" si="2"/>
        <v>0.83818181818181825</v>
      </c>
      <c r="P21" s="9">
        <f t="shared" si="2"/>
        <v>0.82208588957055218</v>
      </c>
    </row>
    <row r="22" spans="1:16" x14ac:dyDescent="0.3">
      <c r="A22" s="8" t="s">
        <v>31</v>
      </c>
      <c r="B22" s="16">
        <v>0.28501603135019593</v>
      </c>
      <c r="C22" s="16">
        <v>0.30323679727427599</v>
      </c>
      <c r="D22" s="16">
        <v>0.3460410557184751</v>
      </c>
      <c r="E22" s="16">
        <v>0.29894179894179895</v>
      </c>
      <c r="F22" s="16">
        <v>0.24161073825503357</v>
      </c>
      <c r="G22" s="16">
        <v>0.16181818181818181</v>
      </c>
      <c r="H22" s="16">
        <v>0.17791411042944785</v>
      </c>
      <c r="I22" s="9">
        <v>1</v>
      </c>
      <c r="J22" s="9">
        <f t="shared" si="2"/>
        <v>1</v>
      </c>
      <c r="K22" s="9">
        <f t="shared" si="2"/>
        <v>0.99999999999999989</v>
      </c>
      <c r="L22" s="9">
        <f t="shared" si="2"/>
        <v>1</v>
      </c>
      <c r="M22" s="9">
        <f t="shared" si="2"/>
        <v>0.99999999999999989</v>
      </c>
      <c r="N22" s="9">
        <f t="shared" si="2"/>
        <v>0.99999999999999989</v>
      </c>
      <c r="O22" s="9">
        <f t="shared" si="2"/>
        <v>1</v>
      </c>
      <c r="P22" s="9">
        <f t="shared" si="2"/>
        <v>1</v>
      </c>
    </row>
    <row r="24" spans="1:16" ht="28.8" x14ac:dyDescent="0.3">
      <c r="B24" s="1" t="s">
        <v>23</v>
      </c>
      <c r="C24" s="3" t="s">
        <v>61</v>
      </c>
      <c r="D24" s="3" t="s">
        <v>62</v>
      </c>
      <c r="E24" s="3" t="s">
        <v>63</v>
      </c>
      <c r="F24" s="3" t="s">
        <v>64</v>
      </c>
      <c r="G24" s="3" t="s">
        <v>65</v>
      </c>
      <c r="H24" s="3" t="s">
        <v>66</v>
      </c>
      <c r="J24" s="8"/>
      <c r="K24" s="12" t="s">
        <v>67</v>
      </c>
      <c r="L24" s="12" t="s">
        <v>68</v>
      </c>
      <c r="M24" s="12" t="s">
        <v>69</v>
      </c>
      <c r="N24" s="12" t="s">
        <v>70</v>
      </c>
      <c r="O24" s="12" t="s">
        <v>71</v>
      </c>
      <c r="P24" s="12" t="s">
        <v>72</v>
      </c>
    </row>
    <row r="25" spans="1:16" x14ac:dyDescent="0.3">
      <c r="B25" s="8" t="s">
        <v>49</v>
      </c>
      <c r="C25" s="9">
        <f>C2-B2</f>
        <v>1.3782935376736218E-3</v>
      </c>
      <c r="D25" s="9">
        <f>D2-B2</f>
        <v>-5.2012128594865377E-4</v>
      </c>
      <c r="E25" s="9">
        <f>E2-B2</f>
        <v>-1.6683159825304477E-3</v>
      </c>
      <c r="F25" s="9">
        <f>F2-B2</f>
        <v>-2.1832124705812982E-3</v>
      </c>
      <c r="G25" s="9">
        <f>G2-B2</f>
        <v>-3.1594174736319387E-3</v>
      </c>
      <c r="H25" s="9">
        <f>H2-B2</f>
        <v>-6.1153572393876547E-3</v>
      </c>
      <c r="J25" s="8" t="s">
        <v>49</v>
      </c>
      <c r="K25" s="8">
        <f>(J2-0) * ((K2+0))</f>
        <v>1.6695504687619801E-4</v>
      </c>
      <c r="L25" s="8">
        <f>(J2-0) * ((L2+0))</f>
        <v>1.4369884533185957E-4</v>
      </c>
      <c r="M25" s="8">
        <f>(J2-0) * ((M2+0))</f>
        <v>1.296330853390585E-4</v>
      </c>
      <c r="N25" s="8">
        <f>(J2-0) * ((N2+0))</f>
        <v>1.2332543521350028E-4</v>
      </c>
      <c r="O25" s="8">
        <f>(J2-0) * ((O2+0))</f>
        <v>1.1136660513219117E-4</v>
      </c>
      <c r="P25" s="8">
        <f>(J2-0) * ((P2+0))</f>
        <v>7.5155377696570737E-5</v>
      </c>
    </row>
    <row r="26" spans="1:16" x14ac:dyDescent="0.3">
      <c r="B26" s="8" t="s">
        <v>44</v>
      </c>
      <c r="C26" s="9">
        <f t="shared" ref="C26:C45" si="3">C3-B3</f>
        <v>-1.0789000565836161E-2</v>
      </c>
      <c r="D26" s="9">
        <f t="shared" ref="D26:D45" si="4">D3-B3</f>
        <v>-9.5600267589648971E-3</v>
      </c>
      <c r="E26" s="9">
        <f t="shared" ref="E26:E45" si="5">E3-B3</f>
        <v>-9.8470754331103465E-3</v>
      </c>
      <c r="F26" s="9">
        <f t="shared" ref="F26:F45" si="6">F3-B3</f>
        <v>-1.2492578078612992E-2</v>
      </c>
      <c r="G26" s="9">
        <f t="shared" ref="G26:G45" si="7">G3-B3</f>
        <v>2.0528764668415536E-3</v>
      </c>
      <c r="H26" s="9">
        <f t="shared" ref="H26:H45" si="8">H3-B3</f>
        <v>-6.3576087534596174E-3</v>
      </c>
      <c r="J26" s="8" t="s">
        <v>44</v>
      </c>
      <c r="K26" s="8">
        <f>(J3-J2) * ((K3+K2))</f>
        <v>3.6179527655267604E-4</v>
      </c>
      <c r="L26" s="8">
        <f>(J3-J2) * ((L3+L2))</f>
        <v>3.2971613697219034E-4</v>
      </c>
      <c r="M26" s="8">
        <f>(J3-J2) * ((M3+M2))</f>
        <v>2.974423352050712E-4</v>
      </c>
      <c r="N26" s="8">
        <f>(J3-J2) * ((N3+N2))</f>
        <v>2.5152841769019444E-4</v>
      </c>
      <c r="O26" s="8">
        <f>(J3-J2) * ((O3+O2))</f>
        <v>4.0884800984551607E-4</v>
      </c>
      <c r="P26" s="8">
        <f>(J3-J2) * ((P3+P2))</f>
        <v>2.2992474991312254E-4</v>
      </c>
    </row>
    <row r="27" spans="1:16" x14ac:dyDescent="0.3">
      <c r="B27" s="8" t="s">
        <v>36</v>
      </c>
      <c r="C27" s="9">
        <f t="shared" si="3"/>
        <v>-1.283962965143319E-2</v>
      </c>
      <c r="D27" s="9">
        <f t="shared" si="4"/>
        <v>-1.2085259550467497E-2</v>
      </c>
      <c r="E27" s="9">
        <f t="shared" si="5"/>
        <v>-1.2659356898758394E-2</v>
      </c>
      <c r="F27" s="9">
        <f t="shared" si="6"/>
        <v>-6.2053957468106644E-3</v>
      </c>
      <c r="G27" s="9">
        <f t="shared" si="7"/>
        <v>7.5041832647817705E-3</v>
      </c>
      <c r="H27" s="9">
        <f t="shared" si="8"/>
        <v>3.726436173661668E-2</v>
      </c>
      <c r="J27" s="8" t="s">
        <v>36</v>
      </c>
      <c r="K27" s="8">
        <f t="shared" ref="K27:K45" si="9">(J4-J3) * ((K4+K3))</f>
        <v>6.4217650082629867E-4</v>
      </c>
      <c r="L27" s="8">
        <f t="shared" ref="L27:L45" si="10">(J4-J3) * ((L4+L3))</f>
        <v>6.3168429993303282E-4</v>
      </c>
      <c r="M27" s="8">
        <f t="shared" ref="M27:M45" si="11">(J4-J3) * ((M4+M3))</f>
        <v>5.6985276792900568E-4</v>
      </c>
      <c r="N27" s="8">
        <f t="shared" ref="N27:N45" si="12">(J4-J3) * ((N4+N3))</f>
        <v>5.7224308994213073E-4</v>
      </c>
      <c r="O27" s="8">
        <f t="shared" ref="O27:O45" si="13">(J4-J3) * ((O4+O3))</f>
        <v>1.3054808865282676E-3</v>
      </c>
      <c r="P27" s="8">
        <f t="shared" ref="P27:P45" si="14">(J4-J3) * ((P4+P3))</f>
        <v>1.4316239783247107E-3</v>
      </c>
    </row>
    <row r="28" spans="1:16" x14ac:dyDescent="0.3">
      <c r="B28" s="8" t="s">
        <v>46</v>
      </c>
      <c r="C28" s="9">
        <f t="shared" si="3"/>
        <v>7.2137980674985697E-3</v>
      </c>
      <c r="D28" s="9">
        <f t="shared" si="4"/>
        <v>-3.6771080259134295E-3</v>
      </c>
      <c r="E28" s="9">
        <f t="shared" si="5"/>
        <v>1.0760664476375199E-2</v>
      </c>
      <c r="F28" s="9">
        <f t="shared" si="6"/>
        <v>1.0183625308732007E-2</v>
      </c>
      <c r="G28" s="9">
        <f t="shared" si="7"/>
        <v>-1.5804644233571863E-4</v>
      </c>
      <c r="H28" s="9">
        <f t="shared" si="8"/>
        <v>-3.0024413112704641E-3</v>
      </c>
      <c r="J28" s="8" t="s">
        <v>46</v>
      </c>
      <c r="K28" s="8">
        <f t="shared" si="9"/>
        <v>1.2184918574821158E-3</v>
      </c>
      <c r="L28" s="8">
        <f t="shared" si="10"/>
        <v>1.0218692899088685E-3</v>
      </c>
      <c r="M28" s="8">
        <f t="shared" si="11"/>
        <v>1.212954009533988E-3</v>
      </c>
      <c r="N28" s="8">
        <f t="shared" si="12"/>
        <v>1.3231781524137879E-3</v>
      </c>
      <c r="O28" s="8">
        <f t="shared" si="13"/>
        <v>2.1340933380833626E-3</v>
      </c>
      <c r="P28" s="8">
        <f t="shared" si="14"/>
        <v>2.7566054189679173E-3</v>
      </c>
    </row>
    <row r="29" spans="1:16" x14ac:dyDescent="0.3">
      <c r="B29" s="8" t="s">
        <v>32</v>
      </c>
      <c r="C29" s="9">
        <f t="shared" si="3"/>
        <v>-3.6441709873122809E-3</v>
      </c>
      <c r="D29" s="9">
        <f t="shared" si="4"/>
        <v>-1.3111265963007575E-2</v>
      </c>
      <c r="E29" s="9">
        <f t="shared" si="5"/>
        <v>-4.5785008378524533E-4</v>
      </c>
      <c r="F29" s="9">
        <f t="shared" si="6"/>
        <v>2.8357119346089886E-3</v>
      </c>
      <c r="G29" s="9">
        <f t="shared" si="7"/>
        <v>2.8418132158780571E-3</v>
      </c>
      <c r="H29" s="9">
        <f t="shared" si="8"/>
        <v>-3.6389452894203273E-3</v>
      </c>
      <c r="J29" s="8" t="s">
        <v>32</v>
      </c>
      <c r="K29" s="8">
        <f t="shared" si="9"/>
        <v>2.0366460339780869E-3</v>
      </c>
      <c r="L29" s="8">
        <f t="shared" si="10"/>
        <v>1.4468785444571787E-3</v>
      </c>
      <c r="M29" s="8">
        <f t="shared" si="11"/>
        <v>2.1586874335954016E-3</v>
      </c>
      <c r="N29" s="8">
        <f t="shared" si="12"/>
        <v>2.3242867583358633E-3</v>
      </c>
      <c r="O29" s="8">
        <f t="shared" si="13"/>
        <v>2.9672139996329517E-3</v>
      </c>
      <c r="P29" s="8">
        <f t="shared" si="14"/>
        <v>3.4343734586991469E-3</v>
      </c>
    </row>
    <row r="30" spans="1:16" x14ac:dyDescent="0.3">
      <c r="B30" s="8" t="s">
        <v>41</v>
      </c>
      <c r="C30" s="9">
        <f t="shared" si="3"/>
        <v>2.4766347293929541E-3</v>
      </c>
      <c r="D30" s="9">
        <f t="shared" si="4"/>
        <v>-1.6737321617057759E-2</v>
      </c>
      <c r="E30" s="9">
        <f t="shared" si="5"/>
        <v>-1.1733365000197917E-2</v>
      </c>
      <c r="F30" s="9">
        <f t="shared" si="6"/>
        <v>-9.6027588427461223E-3</v>
      </c>
      <c r="G30" s="9">
        <f t="shared" si="7"/>
        <v>9.4210361542032377E-3</v>
      </c>
      <c r="H30" s="9">
        <f t="shared" si="8"/>
        <v>4.8700043639076443E-3</v>
      </c>
      <c r="J30" s="8" t="s">
        <v>41</v>
      </c>
      <c r="K30" s="8">
        <f t="shared" si="9"/>
        <v>2.848278023202722E-3</v>
      </c>
      <c r="L30" s="8">
        <f t="shared" si="10"/>
        <v>1.6728044432975657E-3</v>
      </c>
      <c r="M30" s="8">
        <f t="shared" si="11"/>
        <v>2.7579451472100804E-3</v>
      </c>
      <c r="N30" s="8">
        <f t="shared" si="12"/>
        <v>3.0362891110351322E-3</v>
      </c>
      <c r="O30" s="8">
        <f t="shared" si="13"/>
        <v>4.0770282086990319E-3</v>
      </c>
      <c r="P30" s="8">
        <f t="shared" si="14"/>
        <v>4.3442664154687777E-3</v>
      </c>
    </row>
    <row r="31" spans="1:16" x14ac:dyDescent="0.3">
      <c r="B31" s="8" t="s">
        <v>34</v>
      </c>
      <c r="C31" s="9">
        <f t="shared" si="3"/>
        <v>9.2119826174807268E-5</v>
      </c>
      <c r="D31" s="9">
        <f t="shared" si="4"/>
        <v>-4.4590799220354353E-3</v>
      </c>
      <c r="E31" s="9">
        <f t="shared" si="5"/>
        <v>-1.6763382548918709E-2</v>
      </c>
      <c r="F31" s="9">
        <f t="shared" si="6"/>
        <v>1.1502659139941772E-2</v>
      </c>
      <c r="G31" s="9">
        <f t="shared" si="7"/>
        <v>-2.0543878399239997E-3</v>
      </c>
      <c r="H31" s="9">
        <f t="shared" si="8"/>
        <v>1.7822912773572931E-2</v>
      </c>
      <c r="J31" s="8" t="s">
        <v>34</v>
      </c>
      <c r="K31" s="8">
        <f t="shared" si="9"/>
        <v>4.1704208692190181E-3</v>
      </c>
      <c r="L31" s="8">
        <f t="shared" si="10"/>
        <v>2.3283224699040001E-3</v>
      </c>
      <c r="M31" s="8">
        <f t="shared" si="11"/>
        <v>3.3840065997766981E-3</v>
      </c>
      <c r="N31" s="8">
        <f t="shared" si="12"/>
        <v>4.3664727602534094E-3</v>
      </c>
      <c r="O31" s="8">
        <f t="shared" si="13"/>
        <v>5.6539430644168796E-3</v>
      </c>
      <c r="P31" s="8">
        <f t="shared" si="14"/>
        <v>6.2915891690580724E-3</v>
      </c>
    </row>
    <row r="32" spans="1:16" x14ac:dyDescent="0.3">
      <c r="B32" s="8" t="s">
        <v>40</v>
      </c>
      <c r="C32" s="9">
        <f t="shared" si="3"/>
        <v>-4.0881005080387056E-5</v>
      </c>
      <c r="D32" s="9">
        <f t="shared" si="4"/>
        <v>-1.6595294336425384E-3</v>
      </c>
      <c r="E32" s="9">
        <f t="shared" si="5"/>
        <v>-1.4250880734671258E-2</v>
      </c>
      <c r="F32" s="9">
        <f t="shared" si="6"/>
        <v>-1.5475979275206039E-2</v>
      </c>
      <c r="G32" s="9">
        <f t="shared" si="7"/>
        <v>-7.641934125724649E-3</v>
      </c>
      <c r="H32" s="9">
        <f t="shared" si="8"/>
        <v>8.4874579545876766E-3</v>
      </c>
      <c r="J32" s="8" t="s">
        <v>40</v>
      </c>
      <c r="K32" s="8">
        <f t="shared" si="9"/>
        <v>5.1783172878220578E-3</v>
      </c>
      <c r="L32" s="8">
        <f t="shared" si="10"/>
        <v>3.1882171404333721E-3</v>
      </c>
      <c r="M32" s="8">
        <f t="shared" si="11"/>
        <v>3.6978981118631973E-3</v>
      </c>
      <c r="N32" s="8">
        <f t="shared" si="12"/>
        <v>5.2862570323950406E-3</v>
      </c>
      <c r="O32" s="8">
        <f t="shared" si="13"/>
        <v>6.4545130679793984E-3</v>
      </c>
      <c r="P32" s="8">
        <f t="shared" si="14"/>
        <v>7.8948990363705059E-3</v>
      </c>
    </row>
    <row r="33" spans="2:16" x14ac:dyDescent="0.3">
      <c r="B33" s="8" t="s">
        <v>45</v>
      </c>
      <c r="C33" s="9">
        <f t="shared" si="3"/>
        <v>-1.8489591709863022E-3</v>
      </c>
      <c r="D33" s="9">
        <f t="shared" si="4"/>
        <v>-1.0561684045715902E-2</v>
      </c>
      <c r="E33" s="9">
        <f t="shared" si="5"/>
        <v>1.5176344852155313E-3</v>
      </c>
      <c r="F33" s="9">
        <f t="shared" si="6"/>
        <v>9.5873053065642089E-3</v>
      </c>
      <c r="G33" s="9">
        <f t="shared" si="7"/>
        <v>-9.5646165970355492E-3</v>
      </c>
      <c r="H33" s="9">
        <f t="shared" si="8"/>
        <v>-1.922440466173159E-2</v>
      </c>
      <c r="J33" s="8" t="s">
        <v>45</v>
      </c>
      <c r="K33" s="8">
        <f t="shared" si="9"/>
        <v>6.1521057419726436E-3</v>
      </c>
      <c r="L33" s="8">
        <f t="shared" si="10"/>
        <v>3.9223265673269713E-3</v>
      </c>
      <c r="M33" s="8">
        <f t="shared" si="11"/>
        <v>4.4229939135532305E-3</v>
      </c>
      <c r="N33" s="8">
        <f t="shared" si="12"/>
        <v>6.171412312937696E-3</v>
      </c>
      <c r="O33" s="8">
        <f t="shared" si="13"/>
        <v>7.0928738759162705E-3</v>
      </c>
      <c r="P33" s="8">
        <f t="shared" si="14"/>
        <v>8.6842636324759252E-3</v>
      </c>
    </row>
    <row r="34" spans="2:16" x14ac:dyDescent="0.3">
      <c r="B34" s="8" t="s">
        <v>35</v>
      </c>
      <c r="C34" s="9">
        <f t="shared" si="3"/>
        <v>-1.1523879519988074E-3</v>
      </c>
      <c r="D34" s="9">
        <f t="shared" si="4"/>
        <v>3.0940662587352306E-3</v>
      </c>
      <c r="E34" s="9">
        <f t="shared" si="5"/>
        <v>-1.5362387681589679E-2</v>
      </c>
      <c r="F34" s="9">
        <f t="shared" si="6"/>
        <v>-1.9943190920111039E-2</v>
      </c>
      <c r="G34" s="9">
        <f t="shared" si="7"/>
        <v>-1.4207986527188524E-2</v>
      </c>
      <c r="H34" s="9">
        <f t="shared" si="8"/>
        <v>4.3084663450925695E-3</v>
      </c>
      <c r="J34" s="8" t="s">
        <v>35</v>
      </c>
      <c r="K34" s="8">
        <f t="shared" si="9"/>
        <v>7.4223057590873135E-3</v>
      </c>
      <c r="L34" s="8">
        <f t="shared" si="10"/>
        <v>4.9877401176572607E-3</v>
      </c>
      <c r="M34" s="8">
        <f t="shared" si="11"/>
        <v>5.3624442295621489E-3</v>
      </c>
      <c r="N34" s="8">
        <f t="shared" si="12"/>
        <v>7.2711318539700606E-3</v>
      </c>
      <c r="O34" s="8">
        <f t="shared" si="13"/>
        <v>7.9216245101531892E-3</v>
      </c>
      <c r="P34" s="8">
        <f t="shared" si="14"/>
        <v>9.7912536799980767E-3</v>
      </c>
    </row>
    <row r="35" spans="2:16" x14ac:dyDescent="0.3">
      <c r="B35" s="8" t="s">
        <v>37</v>
      </c>
      <c r="C35" s="9">
        <f t="shared" si="3"/>
        <v>9.2431450780042675E-3</v>
      </c>
      <c r="D35" s="9">
        <f t="shared" si="4"/>
        <v>-1.3098199898939983E-2</v>
      </c>
      <c r="E35" s="9">
        <f t="shared" si="5"/>
        <v>-1.01888136800855E-3</v>
      </c>
      <c r="F35" s="9">
        <f t="shared" si="6"/>
        <v>-9.7277340365927601E-3</v>
      </c>
      <c r="G35" s="9">
        <f t="shared" si="7"/>
        <v>-1.5737496086623268E-2</v>
      </c>
      <c r="H35" s="9">
        <f t="shared" si="8"/>
        <v>1.8116380098541263E-2</v>
      </c>
      <c r="J35" s="8" t="s">
        <v>37</v>
      </c>
      <c r="K35" s="8">
        <f t="shared" si="9"/>
        <v>9.3053648024823098E-3</v>
      </c>
      <c r="L35" s="8">
        <f t="shared" si="10"/>
        <v>6.2617092236591848E-3</v>
      </c>
      <c r="M35" s="8">
        <f t="shared" si="11"/>
        <v>6.502677546496566E-3</v>
      </c>
      <c r="N35" s="8">
        <f t="shared" si="12"/>
        <v>8.2067043959293158E-3</v>
      </c>
      <c r="O35" s="8">
        <f t="shared" si="13"/>
        <v>8.8930833090434033E-3</v>
      </c>
      <c r="P35" s="8">
        <f t="shared" si="14"/>
        <v>1.2185720332531213E-2</v>
      </c>
    </row>
    <row r="36" spans="2:16" x14ac:dyDescent="0.3">
      <c r="B36" s="8" t="s">
        <v>47</v>
      </c>
      <c r="C36" s="9">
        <f t="shared" si="3"/>
        <v>-1.3516116417805974E-2</v>
      </c>
      <c r="D36" s="9">
        <f t="shared" si="4"/>
        <v>-1.3710953728651418E-2</v>
      </c>
      <c r="E36" s="9">
        <f t="shared" si="5"/>
        <v>-1.7504651070735858E-2</v>
      </c>
      <c r="F36" s="9">
        <f t="shared" si="6"/>
        <v>-1.7051897262277349E-2</v>
      </c>
      <c r="G36" s="9">
        <f t="shared" si="7"/>
        <v>-1.4532068098152884E-2</v>
      </c>
      <c r="H36" s="9">
        <f t="shared" si="8"/>
        <v>-1.3171220356937045E-2</v>
      </c>
      <c r="J36" s="8" t="s">
        <v>47</v>
      </c>
      <c r="K36" s="8">
        <f t="shared" si="9"/>
        <v>1.0705223636778897E-2</v>
      </c>
      <c r="L36" s="8">
        <f t="shared" si="10"/>
        <v>7.0131054154865544E-3</v>
      </c>
      <c r="M36" s="8">
        <f t="shared" si="11"/>
        <v>7.4708165338731721E-3</v>
      </c>
      <c r="N36" s="8">
        <f t="shared" si="12"/>
        <v>9.0068532726987217E-3</v>
      </c>
      <c r="O36" s="8">
        <f t="shared" si="13"/>
        <v>9.6213837700121936E-3</v>
      </c>
      <c r="P36" s="8">
        <f t="shared" si="14"/>
        <v>1.3891184979415314E-2</v>
      </c>
    </row>
    <row r="37" spans="2:16" x14ac:dyDescent="0.3">
      <c r="B37" s="8" t="s">
        <v>50</v>
      </c>
      <c r="C37" s="9">
        <f t="shared" si="3"/>
        <v>-2.4972451648521271E-3</v>
      </c>
      <c r="D37" s="9">
        <f t="shared" si="4"/>
        <v>-2.6071533914828887E-3</v>
      </c>
      <c r="E37" s="9">
        <f t="shared" si="5"/>
        <v>7.4628244204304056E-3</v>
      </c>
      <c r="F37" s="9">
        <f t="shared" si="6"/>
        <v>7.0810908172202966E-3</v>
      </c>
      <c r="G37" s="9">
        <f t="shared" si="7"/>
        <v>-7.5924906348846487E-3</v>
      </c>
      <c r="H37" s="9">
        <f t="shared" si="8"/>
        <v>-4.1903712818450491E-3</v>
      </c>
      <c r="J37" s="8" t="s">
        <v>50</v>
      </c>
      <c r="K37" s="8">
        <f t="shared" si="9"/>
        <v>1.6214999129093792E-2</v>
      </c>
      <c r="L37" s="8">
        <f t="shared" si="10"/>
        <v>1.1144600445541643E-2</v>
      </c>
      <c r="M37" s="8">
        <f t="shared" si="11"/>
        <v>1.1990683407379766E-2</v>
      </c>
      <c r="N37" s="8">
        <f t="shared" si="12"/>
        <v>1.4098183751232342E-2</v>
      </c>
      <c r="O37" s="8">
        <f t="shared" si="13"/>
        <v>1.4516608910623877E-2</v>
      </c>
      <c r="P37" s="8">
        <f t="shared" si="14"/>
        <v>2.0534116068286781E-2</v>
      </c>
    </row>
    <row r="38" spans="2:16" x14ac:dyDescent="0.3">
      <c r="B38" s="8" t="s">
        <v>48</v>
      </c>
      <c r="C38" s="9">
        <f t="shared" si="3"/>
        <v>1.1438443721959804E-2</v>
      </c>
      <c r="D38" s="9">
        <f t="shared" si="4"/>
        <v>7.7265431589299341E-3</v>
      </c>
      <c r="E38" s="9">
        <f t="shared" si="5"/>
        <v>1.6648326274261431E-2</v>
      </c>
      <c r="F38" s="9">
        <f t="shared" si="6"/>
        <v>2.3288773910541613E-3</v>
      </c>
      <c r="G38" s="9">
        <f t="shared" si="7"/>
        <v>3.7382733642085247E-3</v>
      </c>
      <c r="H38" s="9">
        <f t="shared" si="8"/>
        <v>1.2818027965435519E-2</v>
      </c>
      <c r="J38" s="8" t="s">
        <v>48</v>
      </c>
      <c r="K38" s="8">
        <f t="shared" si="9"/>
        <v>1.97678918627824E-2</v>
      </c>
      <c r="L38" s="8">
        <f t="shared" si="10"/>
        <v>1.4355815530298674E-2</v>
      </c>
      <c r="M38" s="8">
        <f t="shared" si="11"/>
        <v>1.5924461961749691E-2</v>
      </c>
      <c r="N38" s="8">
        <f t="shared" si="12"/>
        <v>1.7583286908965996E-2</v>
      </c>
      <c r="O38" s="8">
        <f t="shared" si="13"/>
        <v>1.7537489609310054E-2</v>
      </c>
      <c r="P38" s="8">
        <f t="shared" si="14"/>
        <v>2.4248639284056867E-2</v>
      </c>
    </row>
    <row r="39" spans="2:16" x14ac:dyDescent="0.3">
      <c r="B39" s="8" t="s">
        <v>38</v>
      </c>
      <c r="C39" s="9">
        <f t="shared" si="3"/>
        <v>-1.3183428222661484E-2</v>
      </c>
      <c r="D39" s="9">
        <f t="shared" si="4"/>
        <v>-1.0835388835549721E-2</v>
      </c>
      <c r="E39" s="9">
        <f t="shared" si="5"/>
        <v>-1.1921518953937907E-2</v>
      </c>
      <c r="F39" s="9">
        <f t="shared" si="6"/>
        <v>-5.334394917149439E-3</v>
      </c>
      <c r="G39" s="9">
        <f t="shared" si="7"/>
        <v>5.586898554479601E-3</v>
      </c>
      <c r="H39" s="9">
        <f t="shared" si="8"/>
        <v>-6.0137707149013203E-3</v>
      </c>
      <c r="J39" s="8" t="s">
        <v>38</v>
      </c>
      <c r="K39" s="8">
        <f t="shared" si="9"/>
        <v>3.0776332471328358E-2</v>
      </c>
      <c r="L39" s="8">
        <f t="shared" si="10"/>
        <v>2.3402476910641973E-2</v>
      </c>
      <c r="M39" s="8">
        <f t="shared" si="11"/>
        <v>2.5903997878822711E-2</v>
      </c>
      <c r="N39" s="8">
        <f t="shared" si="12"/>
        <v>2.776508712239853E-2</v>
      </c>
      <c r="O39" s="8">
        <f t="shared" si="13"/>
        <v>2.830694691841823E-2</v>
      </c>
      <c r="P39" s="8">
        <f t="shared" si="14"/>
        <v>3.7244545661845957E-2</v>
      </c>
    </row>
    <row r="40" spans="2:16" x14ac:dyDescent="0.3">
      <c r="B40" s="8" t="s">
        <v>51</v>
      </c>
      <c r="C40" s="9">
        <f t="shared" si="3"/>
        <v>-9.8997739689876407E-3</v>
      </c>
      <c r="D40" s="9">
        <f t="shared" si="4"/>
        <v>-2.5621646205670014E-2</v>
      </c>
      <c r="E40" s="9">
        <f t="shared" si="5"/>
        <v>1.1764504083706079E-2</v>
      </c>
      <c r="F40" s="9">
        <f t="shared" si="6"/>
        <v>1.803203719687678E-2</v>
      </c>
      <c r="G40" s="9">
        <f t="shared" si="7"/>
        <v>-1.8093294901274926E-3</v>
      </c>
      <c r="H40" s="9">
        <f t="shared" si="8"/>
        <v>-2.4542179462241267E-2</v>
      </c>
      <c r="J40" s="8" t="s">
        <v>51</v>
      </c>
      <c r="K40" s="8">
        <f t="shared" si="9"/>
        <v>3.4533031419180606E-2</v>
      </c>
      <c r="L40" s="8">
        <f t="shared" si="10"/>
        <v>2.6484159660895238E-2</v>
      </c>
      <c r="M40" s="8">
        <f t="shared" si="11"/>
        <v>3.0773670510043854E-2</v>
      </c>
      <c r="N40" s="8">
        <f t="shared" si="12"/>
        <v>3.3270387470123022E-2</v>
      </c>
      <c r="O40" s="8">
        <f t="shared" si="13"/>
        <v>3.3375798598741235E-2</v>
      </c>
      <c r="P40" s="8">
        <f t="shared" si="14"/>
        <v>4.0650783208499353E-2</v>
      </c>
    </row>
    <row r="41" spans="2:16" x14ac:dyDescent="0.3">
      <c r="B41" s="8" t="s">
        <v>39</v>
      </c>
      <c r="C41" s="9">
        <f t="shared" si="3"/>
        <v>-1.0468693197645942E-2</v>
      </c>
      <c r="D41" s="9">
        <f t="shared" si="4"/>
        <v>-1.711314508032391E-2</v>
      </c>
      <c r="E41" s="9">
        <f t="shared" si="5"/>
        <v>-2.9068334454868124E-2</v>
      </c>
      <c r="F41" s="9">
        <f t="shared" si="6"/>
        <v>-2.7997360386186956E-3</v>
      </c>
      <c r="G41" s="9">
        <f t="shared" si="7"/>
        <v>5.0922045535511863E-2</v>
      </c>
      <c r="H41" s="9">
        <f t="shared" si="8"/>
        <v>3.9990645647056768E-2</v>
      </c>
      <c r="J41" s="8" t="s">
        <v>39</v>
      </c>
      <c r="K41" s="8">
        <f t="shared" si="9"/>
        <v>4.5980157904095945E-2</v>
      </c>
      <c r="L41" s="8">
        <f t="shared" si="10"/>
        <v>3.5140134581852875E-2</v>
      </c>
      <c r="M41" s="8">
        <f t="shared" si="11"/>
        <v>4.1703074136276851E-2</v>
      </c>
      <c r="N41" s="8">
        <f t="shared" si="12"/>
        <v>4.6554610597188725E-2</v>
      </c>
      <c r="O41" s="8">
        <f t="shared" si="13"/>
        <v>4.8650322246332242E-2</v>
      </c>
      <c r="P41" s="8">
        <f t="shared" si="14"/>
        <v>5.5313950006666092E-2</v>
      </c>
    </row>
    <row r="42" spans="2:16" x14ac:dyDescent="0.3">
      <c r="B42" s="8" t="s">
        <v>43</v>
      </c>
      <c r="C42" s="9">
        <f t="shared" si="3"/>
        <v>1.1383013222197202E-2</v>
      </c>
      <c r="D42" s="9">
        <f t="shared" si="4"/>
        <v>6.8390412044180837E-2</v>
      </c>
      <c r="E42" s="9">
        <f t="shared" si="5"/>
        <v>0.10573777197218592</v>
      </c>
      <c r="F42" s="9">
        <f t="shared" si="6"/>
        <v>8.5732536667280368E-3</v>
      </c>
      <c r="G42" s="9">
        <f t="shared" si="7"/>
        <v>-1.6301670067256108E-2</v>
      </c>
      <c r="H42" s="9">
        <f t="shared" si="8"/>
        <v>1.0045234561857116E-2</v>
      </c>
      <c r="J42" s="8" t="s">
        <v>43</v>
      </c>
      <c r="K42" s="8">
        <f t="shared" si="9"/>
        <v>5.8050897741449892E-2</v>
      </c>
      <c r="L42" s="8">
        <f t="shared" si="10"/>
        <v>4.9405323446028139E-2</v>
      </c>
      <c r="M42" s="8">
        <f t="shared" si="11"/>
        <v>5.8192437776810171E-2</v>
      </c>
      <c r="N42" s="8">
        <f t="shared" si="12"/>
        <v>5.8987653907736255E-2</v>
      </c>
      <c r="O42" s="8">
        <f t="shared" si="13"/>
        <v>6.3112038086601679E-2</v>
      </c>
      <c r="P42" s="8">
        <f t="shared" si="14"/>
        <v>7.1374936890901602E-2</v>
      </c>
    </row>
    <row r="43" spans="2:16" x14ac:dyDescent="0.3">
      <c r="B43" s="8" t="s">
        <v>33</v>
      </c>
      <c r="C43" s="9">
        <f t="shared" si="3"/>
        <v>2.0101486366828125E-2</v>
      </c>
      <c r="D43" s="9">
        <f t="shared" si="4"/>
        <v>1.9017391585970142E-2</v>
      </c>
      <c r="E43" s="9">
        <f t="shared" si="5"/>
        <v>7.4733800419585911E-3</v>
      </c>
      <c r="F43" s="9">
        <f t="shared" si="6"/>
        <v>2.8779441616476539E-2</v>
      </c>
      <c r="G43" s="9">
        <f t="shared" si="7"/>
        <v>1.7199209767788326E-2</v>
      </c>
      <c r="H43" s="9">
        <f t="shared" si="8"/>
        <v>1.0930386566449776E-2</v>
      </c>
      <c r="J43" s="8" t="s">
        <v>33</v>
      </c>
      <c r="K43" s="8">
        <f t="shared" si="9"/>
        <v>7.7647934192263318E-2</v>
      </c>
      <c r="L43" s="8">
        <f t="shared" si="10"/>
        <v>7.1891699323120783E-2</v>
      </c>
      <c r="M43" s="8">
        <f t="shared" si="11"/>
        <v>8.3683459529558565E-2</v>
      </c>
      <c r="N43" s="8">
        <f t="shared" si="12"/>
        <v>7.9129118718065827E-2</v>
      </c>
      <c r="O43" s="8">
        <f t="shared" si="13"/>
        <v>8.1172264144832737E-2</v>
      </c>
      <c r="P43" s="8">
        <f t="shared" si="14"/>
        <v>9.1959627661783339E-2</v>
      </c>
    </row>
    <row r="44" spans="2:16" x14ac:dyDescent="0.3">
      <c r="B44" s="8" t="s">
        <v>42</v>
      </c>
      <c r="C44" s="9">
        <f t="shared" si="3"/>
        <v>-1.6674141692090833E-3</v>
      </c>
      <c r="D44" s="9">
        <f t="shared" si="4"/>
        <v>-3.8955536727236506E-3</v>
      </c>
      <c r="E44" s="9">
        <f t="shared" si="5"/>
        <v>-3.3034873134623763E-2</v>
      </c>
      <c r="F44" s="9">
        <f t="shared" si="6"/>
        <v>4.5318168305665998E-2</v>
      </c>
      <c r="G44" s="9">
        <f t="shared" si="7"/>
        <v>0.11669095659120597</v>
      </c>
      <c r="H44" s="9">
        <f t="shared" si="8"/>
        <v>2.8704341978824474E-2</v>
      </c>
      <c r="J44" s="8" t="s">
        <v>42</v>
      </c>
      <c r="K44" s="8">
        <f t="shared" si="9"/>
        <v>0.14418596973130571</v>
      </c>
      <c r="L44" s="8">
        <f t="shared" si="10"/>
        <v>0.13481401927383746</v>
      </c>
      <c r="M44" s="8">
        <f t="shared" si="11"/>
        <v>0.14867718584616815</v>
      </c>
      <c r="N44" s="8">
        <f t="shared" si="12"/>
        <v>0.15275832470597236</v>
      </c>
      <c r="O44" s="8">
        <f t="shared" si="13"/>
        <v>0.16267338579957036</v>
      </c>
      <c r="P44" s="8">
        <f t="shared" si="14"/>
        <v>0.16894471387992191</v>
      </c>
    </row>
    <row r="45" spans="2:16" x14ac:dyDescent="0.3">
      <c r="B45" s="8" t="s">
        <v>31</v>
      </c>
      <c r="C45" s="9">
        <f t="shared" si="3"/>
        <v>1.8220765924080062E-2</v>
      </c>
      <c r="D45" s="9">
        <f t="shared" si="4"/>
        <v>6.1025024368279168E-2</v>
      </c>
      <c r="E45" s="9">
        <f t="shared" si="5"/>
        <v>1.3925767591603022E-2</v>
      </c>
      <c r="F45" s="9">
        <f t="shared" si="6"/>
        <v>-4.3405293095162362E-2</v>
      </c>
      <c r="G45" s="9">
        <f t="shared" si="7"/>
        <v>-0.12319784953201413</v>
      </c>
      <c r="H45" s="9">
        <f t="shared" si="8"/>
        <v>-0.10710192092074808</v>
      </c>
      <c r="J45" s="8" t="s">
        <v>31</v>
      </c>
      <c r="K45" s="8">
        <f t="shared" si="9"/>
        <v>0.48360471418193374</v>
      </c>
      <c r="L45" s="8">
        <f t="shared" si="10"/>
        <v>0.47140481431528003</v>
      </c>
      <c r="M45" s="8">
        <f t="shared" si="11"/>
        <v>0.48482885756131211</v>
      </c>
      <c r="N45" s="8">
        <f t="shared" si="12"/>
        <v>0.50116912895135124</v>
      </c>
      <c r="O45" s="8">
        <f t="shared" si="13"/>
        <v>0.52391128671826925</v>
      </c>
      <c r="P45" s="8">
        <f t="shared" si="14"/>
        <v>0.51932368902459014</v>
      </c>
    </row>
    <row r="46" spans="2:16" x14ac:dyDescent="0.3">
      <c r="J46" s="13" t="s">
        <v>73</v>
      </c>
      <c r="K46" s="12">
        <f>SUM(K25:K45)</f>
        <v>0.96097000946971411</v>
      </c>
      <c r="L46" s="12">
        <f t="shared" ref="L46:P46" si="15">SUM(L25:L45)</f>
        <v>0.87099111598186485</v>
      </c>
      <c r="M46" s="12">
        <f t="shared" si="15"/>
        <v>0.93964518032205946</v>
      </c>
      <c r="N46" s="12">
        <f t="shared" si="15"/>
        <v>0.97925546472584912</v>
      </c>
      <c r="O46" s="12">
        <f t="shared" si="15"/>
        <v>1.0298975936781423</v>
      </c>
      <c r="P46" s="12">
        <f t="shared" si="15"/>
        <v>1.1006058619154713</v>
      </c>
    </row>
    <row r="47" spans="2:16" x14ac:dyDescent="0.3">
      <c r="J47" s="14" t="s">
        <v>74</v>
      </c>
      <c r="K47" s="15">
        <f>1-K46</f>
        <v>3.9029990530285885E-2</v>
      </c>
      <c r="L47" s="15">
        <f t="shared" ref="L47:P47" si="16">1-L46</f>
        <v>0.12900888401813515</v>
      </c>
      <c r="M47" s="15">
        <f t="shared" si="16"/>
        <v>6.0354819677940541E-2</v>
      </c>
      <c r="N47" s="15">
        <f t="shared" si="16"/>
        <v>2.0744535274150877E-2</v>
      </c>
      <c r="O47" s="15">
        <f t="shared" si="16"/>
        <v>-2.9897593678142265E-2</v>
      </c>
      <c r="P47" s="15">
        <f t="shared" si="16"/>
        <v>-0.10060586191547127</v>
      </c>
    </row>
  </sheetData>
  <sortState xmlns:xlrd2="http://schemas.microsoft.com/office/spreadsheetml/2017/richdata2" ref="A2:P23">
    <sortCondition ref="B1:B2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DA39-C734-40D4-A7E1-74904445EB78}">
  <dimension ref="A1:P23"/>
  <sheetViews>
    <sheetView zoomScale="96" workbookViewId="0">
      <selection activeCell="K13" sqref="K13:P21"/>
    </sheetView>
  </sheetViews>
  <sheetFormatPr defaultRowHeight="14.4" x14ac:dyDescent="0.3"/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9" t="s">
        <v>57</v>
      </c>
      <c r="B2" s="16">
        <v>2.1223049953036831E-2</v>
      </c>
      <c r="C2" s="16">
        <v>4.6583850931677016E-2</v>
      </c>
      <c r="D2" s="16">
        <v>4.642857142857143E-2</v>
      </c>
      <c r="E2" s="16">
        <v>1.2500000000000001E-2</v>
      </c>
      <c r="F2" s="16">
        <v>5.637982195845697E-2</v>
      </c>
      <c r="G2" s="16">
        <v>1.9230769230769232E-2</v>
      </c>
      <c r="H2" s="16">
        <v>3.7735849056603772E-2</v>
      </c>
      <c r="I2" s="9">
        <v>2.1223049953036831E-2</v>
      </c>
      <c r="J2" s="16">
        <v>2.1223049953036831E-2</v>
      </c>
      <c r="K2" s="16">
        <v>4.6583850931677016E-2</v>
      </c>
      <c r="L2" s="16">
        <v>4.642857142857143E-2</v>
      </c>
      <c r="M2" s="16">
        <v>1.2500000000000001E-2</v>
      </c>
      <c r="N2" s="16">
        <v>5.637982195845697E-2</v>
      </c>
      <c r="O2" s="16">
        <v>1.9230769230769232E-2</v>
      </c>
      <c r="P2" s="16">
        <v>3.7735849056603772E-2</v>
      </c>
    </row>
    <row r="3" spans="1:16" x14ac:dyDescent="0.3">
      <c r="A3" s="9" t="s">
        <v>54</v>
      </c>
      <c r="B3" s="16">
        <v>2.8400169210803679E-2</v>
      </c>
      <c r="C3" s="16">
        <v>3.4161490683229816E-2</v>
      </c>
      <c r="D3" s="16">
        <v>4.642857142857143E-2</v>
      </c>
      <c r="E3" s="16">
        <v>0.05</v>
      </c>
      <c r="F3" s="16">
        <v>0.10089020771513353</v>
      </c>
      <c r="G3" s="16">
        <v>4.807692307692308E-2</v>
      </c>
      <c r="H3" s="16">
        <v>1.8867924528301886E-2</v>
      </c>
      <c r="I3" s="9">
        <v>4.9623219163840507E-2</v>
      </c>
      <c r="J3" s="9">
        <f t="shared" ref="J3:P10" si="0">J2+B3</f>
        <v>4.9623219163840507E-2</v>
      </c>
      <c r="K3" s="9">
        <f t="shared" si="0"/>
        <v>8.0745341614906832E-2</v>
      </c>
      <c r="L3" s="9">
        <f t="shared" si="0"/>
        <v>9.285714285714286E-2</v>
      </c>
      <c r="M3" s="9">
        <f t="shared" si="0"/>
        <v>6.25E-2</v>
      </c>
      <c r="N3" s="9">
        <f t="shared" si="0"/>
        <v>0.15727002967359049</v>
      </c>
      <c r="O3" s="9">
        <f t="shared" si="0"/>
        <v>6.7307692307692318E-2</v>
      </c>
      <c r="P3" s="9">
        <f t="shared" si="0"/>
        <v>5.6603773584905662E-2</v>
      </c>
    </row>
    <row r="4" spans="1:16" x14ac:dyDescent="0.3">
      <c r="A4" s="9" t="s">
        <v>55</v>
      </c>
      <c r="B4" s="16">
        <v>3.2501380215241876E-2</v>
      </c>
      <c r="C4" s="16">
        <v>5.2795031055900624E-2</v>
      </c>
      <c r="D4" s="16">
        <v>1.4285714285714285E-2</v>
      </c>
      <c r="E4" s="16">
        <v>7.4999999999999997E-2</v>
      </c>
      <c r="F4" s="16">
        <v>5.3412462908011868E-2</v>
      </c>
      <c r="G4" s="16">
        <v>2.8846153846153848E-2</v>
      </c>
      <c r="H4" s="16">
        <v>7.5471698113207544E-2</v>
      </c>
      <c r="I4" s="9">
        <v>8.2124599379082383E-2</v>
      </c>
      <c r="J4" s="9">
        <f t="shared" si="0"/>
        <v>8.2124599379082383E-2</v>
      </c>
      <c r="K4" s="9">
        <f t="shared" si="0"/>
        <v>0.13354037267080746</v>
      </c>
      <c r="L4" s="9">
        <f t="shared" si="0"/>
        <v>0.10714285714285715</v>
      </c>
      <c r="M4" s="9">
        <f t="shared" si="0"/>
        <v>0.13750000000000001</v>
      </c>
      <c r="N4" s="9">
        <f t="shared" si="0"/>
        <v>0.21068249258160238</v>
      </c>
      <c r="O4" s="9">
        <f t="shared" si="0"/>
        <v>9.6153846153846173E-2</v>
      </c>
      <c r="P4" s="9">
        <f t="shared" si="0"/>
        <v>0.13207547169811321</v>
      </c>
    </row>
    <row r="5" spans="1:16" x14ac:dyDescent="0.3">
      <c r="A5" s="9" t="s">
        <v>59</v>
      </c>
      <c r="B5" s="16">
        <v>4.9823977744477346E-2</v>
      </c>
      <c r="C5" s="16">
        <v>6.2111801242236024E-2</v>
      </c>
      <c r="D5" s="16">
        <v>0.1</v>
      </c>
      <c r="E5" s="16">
        <v>5.8333333333333334E-2</v>
      </c>
      <c r="F5" s="16">
        <v>4.7477744807121663E-2</v>
      </c>
      <c r="G5" s="16">
        <v>9.1346153846153841E-2</v>
      </c>
      <c r="H5" s="16">
        <v>6.6037735849056603E-2</v>
      </c>
      <c r="I5" s="9">
        <v>0.13194857712355973</v>
      </c>
      <c r="J5" s="9">
        <f t="shared" si="0"/>
        <v>0.13194857712355973</v>
      </c>
      <c r="K5" s="9">
        <f t="shared" si="0"/>
        <v>0.19565217391304349</v>
      </c>
      <c r="L5" s="9">
        <f t="shared" si="0"/>
        <v>0.20714285714285716</v>
      </c>
      <c r="M5" s="9">
        <f t="shared" si="0"/>
        <v>0.19583333333333336</v>
      </c>
      <c r="N5" s="9">
        <f t="shared" si="0"/>
        <v>0.25816023738872407</v>
      </c>
      <c r="O5" s="9">
        <f t="shared" si="0"/>
        <v>0.1875</v>
      </c>
      <c r="P5" s="9">
        <f t="shared" si="0"/>
        <v>0.19811320754716982</v>
      </c>
    </row>
    <row r="6" spans="1:16" x14ac:dyDescent="0.3">
      <c r="A6" s="9" t="s">
        <v>53</v>
      </c>
      <c r="B6" s="16">
        <v>6.0707960794717179E-2</v>
      </c>
      <c r="C6" s="16">
        <v>0.10869565217391304</v>
      </c>
      <c r="D6" s="16">
        <v>3.5714285714285712E-2</v>
      </c>
      <c r="E6" s="16">
        <v>0.1125</v>
      </c>
      <c r="F6" s="16">
        <v>0.11869436201780416</v>
      </c>
      <c r="G6" s="16">
        <v>0.11538461538461539</v>
      </c>
      <c r="H6" s="16">
        <v>0.13207547169811321</v>
      </c>
      <c r="I6" s="9">
        <v>0.19265653791827692</v>
      </c>
      <c r="J6" s="9">
        <f t="shared" si="0"/>
        <v>0.19265653791827692</v>
      </c>
      <c r="K6" s="9">
        <f t="shared" si="0"/>
        <v>0.30434782608695654</v>
      </c>
      <c r="L6" s="9">
        <f t="shared" si="0"/>
        <v>0.24285714285714288</v>
      </c>
      <c r="M6" s="9">
        <f t="shared" si="0"/>
        <v>0.30833333333333335</v>
      </c>
      <c r="N6" s="9">
        <f t="shared" si="0"/>
        <v>0.37685459940652821</v>
      </c>
      <c r="O6" s="9">
        <f t="shared" si="0"/>
        <v>0.30288461538461542</v>
      </c>
      <c r="P6" s="9">
        <f t="shared" si="0"/>
        <v>0.33018867924528306</v>
      </c>
    </row>
    <row r="7" spans="1:16" x14ac:dyDescent="0.3">
      <c r="A7" s="9" t="s">
        <v>56</v>
      </c>
      <c r="B7" s="16">
        <v>6.8810003513275167E-2</v>
      </c>
      <c r="C7" s="16">
        <v>4.6583850931677016E-2</v>
      </c>
      <c r="D7" s="16">
        <v>7.857142857142857E-2</v>
      </c>
      <c r="E7" s="16">
        <v>6.6666666666666666E-2</v>
      </c>
      <c r="F7" s="16">
        <v>8.9020771513353122E-2</v>
      </c>
      <c r="G7" s="16">
        <v>9.1346153846153841E-2</v>
      </c>
      <c r="H7" s="16">
        <v>0.11320754716981132</v>
      </c>
      <c r="I7" s="9">
        <v>0.26146654143155207</v>
      </c>
      <c r="J7" s="9">
        <f t="shared" si="0"/>
        <v>0.26146654143155207</v>
      </c>
      <c r="K7" s="9">
        <f t="shared" si="0"/>
        <v>0.35093167701863354</v>
      </c>
      <c r="L7" s="9">
        <f t="shared" si="0"/>
        <v>0.32142857142857145</v>
      </c>
      <c r="M7" s="9">
        <f t="shared" si="0"/>
        <v>0.375</v>
      </c>
      <c r="N7" s="9">
        <f t="shared" si="0"/>
        <v>0.46587537091988135</v>
      </c>
      <c r="O7" s="9">
        <f t="shared" si="0"/>
        <v>0.39423076923076927</v>
      </c>
      <c r="P7" s="9">
        <f t="shared" si="0"/>
        <v>0.44339622641509435</v>
      </c>
    </row>
    <row r="8" spans="1:16" x14ac:dyDescent="0.3">
      <c r="A8" s="9" t="s">
        <v>58</v>
      </c>
      <c r="B8" s="16">
        <v>8.1837801406744057E-2</v>
      </c>
      <c r="C8" s="16">
        <v>0.14285714285714285</v>
      </c>
      <c r="D8" s="16">
        <v>0.1</v>
      </c>
      <c r="E8" s="16">
        <v>0.13750000000000001</v>
      </c>
      <c r="F8" s="16">
        <v>0.11275964391691394</v>
      </c>
      <c r="G8" s="16">
        <v>7.6923076923076927E-2</v>
      </c>
      <c r="H8" s="16">
        <v>0.11320754716981132</v>
      </c>
      <c r="I8" s="9">
        <v>0.34330434283829614</v>
      </c>
      <c r="J8" s="9">
        <f t="shared" si="0"/>
        <v>0.34330434283829614</v>
      </c>
      <c r="K8" s="9">
        <f t="shared" si="0"/>
        <v>0.49378881987577639</v>
      </c>
      <c r="L8" s="9">
        <f t="shared" si="0"/>
        <v>0.42142857142857149</v>
      </c>
      <c r="M8" s="9">
        <f t="shared" si="0"/>
        <v>0.51249999999999996</v>
      </c>
      <c r="N8" s="9">
        <f t="shared" si="0"/>
        <v>0.57863501483679525</v>
      </c>
      <c r="O8" s="9">
        <f t="shared" si="0"/>
        <v>0.4711538461538462</v>
      </c>
      <c r="P8" s="9">
        <f t="shared" si="0"/>
        <v>0.55660377358490565</v>
      </c>
    </row>
    <row r="9" spans="1:16" x14ac:dyDescent="0.3">
      <c r="A9" s="9" t="s">
        <v>60</v>
      </c>
      <c r="B9" s="16">
        <v>8.374500792279399E-2</v>
      </c>
      <c r="C9" s="16">
        <v>9.9378881987577633E-2</v>
      </c>
      <c r="D9" s="16">
        <v>0.14642857142857144</v>
      </c>
      <c r="E9" s="16">
        <v>4.583333333333333E-2</v>
      </c>
      <c r="F9" s="16">
        <v>9.4955489614243327E-2</v>
      </c>
      <c r="G9" s="16">
        <v>6.25E-2</v>
      </c>
      <c r="H9" s="16">
        <v>9.4339622641509441E-2</v>
      </c>
      <c r="I9" s="9">
        <v>0.42704935076109013</v>
      </c>
      <c r="J9" s="9">
        <f t="shared" si="0"/>
        <v>0.42704935076109013</v>
      </c>
      <c r="K9" s="9">
        <f t="shared" si="0"/>
        <v>0.59316770186335399</v>
      </c>
      <c r="L9" s="9">
        <f t="shared" si="0"/>
        <v>0.56785714285714295</v>
      </c>
      <c r="M9" s="9">
        <f t="shared" si="0"/>
        <v>0.55833333333333324</v>
      </c>
      <c r="N9" s="9">
        <f t="shared" si="0"/>
        <v>0.67359050445103863</v>
      </c>
      <c r="O9" s="9">
        <f t="shared" si="0"/>
        <v>0.53365384615384626</v>
      </c>
      <c r="P9" s="9">
        <f t="shared" si="0"/>
        <v>0.65094339622641506</v>
      </c>
    </row>
    <row r="10" spans="1:16" x14ac:dyDescent="0.3">
      <c r="A10" s="9" t="s">
        <v>52</v>
      </c>
      <c r="B10" s="16">
        <v>0.57295064923890993</v>
      </c>
      <c r="C10" s="16">
        <v>0.40683229813664595</v>
      </c>
      <c r="D10" s="16">
        <v>0.43214285714285716</v>
      </c>
      <c r="E10" s="16">
        <v>0.44166666666666665</v>
      </c>
      <c r="F10" s="16">
        <v>0.32640949554896143</v>
      </c>
      <c r="G10" s="16">
        <v>0.46634615384615385</v>
      </c>
      <c r="H10" s="16">
        <v>0.34905660377358488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0.99999999999999989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" t="s">
        <v>23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66</v>
      </c>
      <c r="J12" s="8"/>
      <c r="K12" s="12" t="s">
        <v>67</v>
      </c>
      <c r="L12" s="12" t="s">
        <v>68</v>
      </c>
      <c r="M12" s="12" t="s">
        <v>69</v>
      </c>
      <c r="N12" s="12" t="s">
        <v>70</v>
      </c>
      <c r="O12" s="12" t="s">
        <v>71</v>
      </c>
      <c r="P12" s="12" t="s">
        <v>72</v>
      </c>
    </row>
    <row r="13" spans="1:16" x14ac:dyDescent="0.3">
      <c r="B13" s="9" t="s">
        <v>57</v>
      </c>
      <c r="C13" s="9">
        <f>C2-B2</f>
        <v>2.5360800978640186E-2</v>
      </c>
      <c r="D13" s="9">
        <f>D2-B2</f>
        <v>2.5205521475534599E-2</v>
      </c>
      <c r="E13" s="9">
        <f>E2-B2</f>
        <v>-8.7230499530368301E-3</v>
      </c>
      <c r="F13" s="9">
        <f>F2-B2</f>
        <v>3.5156772005420139E-2</v>
      </c>
      <c r="G13" s="9">
        <f>G2-B2</f>
        <v>-1.9922807222675989E-3</v>
      </c>
      <c r="H13" s="9">
        <f>H2-B2</f>
        <v>1.6512799103566941E-2</v>
      </c>
      <c r="J13" s="9" t="s">
        <v>57</v>
      </c>
      <c r="K13" s="8">
        <f>($J2-0) * ((K2+0))</f>
        <v>9.8865139532780272E-4</v>
      </c>
      <c r="L13" s="8">
        <f t="shared" ref="L13:P13" si="1">($J2-0) * ((L2+0))</f>
        <v>9.8535589067670994E-4</v>
      </c>
      <c r="M13" s="8">
        <f t="shared" si="1"/>
        <v>2.6528812441296037E-4</v>
      </c>
      <c r="N13" s="8">
        <f t="shared" si="1"/>
        <v>1.1965517777676551E-3</v>
      </c>
      <c r="O13" s="8">
        <f t="shared" si="1"/>
        <v>4.0813557601993906E-4</v>
      </c>
      <c r="P13" s="8">
        <f t="shared" si="1"/>
        <v>8.0086980954855965E-4</v>
      </c>
    </row>
    <row r="14" spans="1:16" x14ac:dyDescent="0.3">
      <c r="B14" s="9" t="s">
        <v>54</v>
      </c>
      <c r="C14" s="9">
        <f t="shared" ref="C14:C21" si="2">C3-B3</f>
        <v>5.7613214724261362E-3</v>
      </c>
      <c r="D14" s="9">
        <f t="shared" ref="D14:D21" si="3">D3-B3</f>
        <v>1.8028402217767751E-2</v>
      </c>
      <c r="E14" s="9">
        <f t="shared" ref="E14:E21" si="4">E3-B3</f>
        <v>2.1599830789196323E-2</v>
      </c>
      <c r="F14" s="9">
        <f t="shared" ref="F14:F21" si="5">F3-B3</f>
        <v>7.2490038504329848E-2</v>
      </c>
      <c r="G14" s="9">
        <f t="shared" ref="G14:G21" si="6">G3-B3</f>
        <v>1.96767538661194E-2</v>
      </c>
      <c r="H14" s="9">
        <f t="shared" ref="H14:H21" si="7">H3-B3</f>
        <v>-9.5322446825017934E-3</v>
      </c>
      <c r="J14" s="9" t="s">
        <v>54</v>
      </c>
      <c r="K14" s="8">
        <f>($J3-$J2) * ((K3+K2))</f>
        <v>3.6161706137979835E-3</v>
      </c>
      <c r="L14" s="8">
        <f t="shared" ref="L14:P14" si="8">($J3-$J2) * ((L3+L2))</f>
        <v>3.9557378543619405E-3</v>
      </c>
      <c r="M14" s="8">
        <f t="shared" si="8"/>
        <v>2.1300126908102754E-3</v>
      </c>
      <c r="N14" s="8">
        <f t="shared" si="8"/>
        <v>6.0676919382132485E-3</v>
      </c>
      <c r="O14" s="8">
        <f t="shared" si="8"/>
        <v>2.4577069509349337E-3</v>
      </c>
      <c r="P14" s="8">
        <f t="shared" si="8"/>
        <v>2.6792612463022339E-3</v>
      </c>
    </row>
    <row r="15" spans="1:16" x14ac:dyDescent="0.3">
      <c r="B15" s="9" t="s">
        <v>55</v>
      </c>
      <c r="C15" s="9">
        <f t="shared" si="2"/>
        <v>2.0293650840658747E-2</v>
      </c>
      <c r="D15" s="9">
        <f t="shared" si="3"/>
        <v>-1.8215665929527593E-2</v>
      </c>
      <c r="E15" s="9">
        <f t="shared" si="4"/>
        <v>4.2498619784758121E-2</v>
      </c>
      <c r="F15" s="9">
        <f t="shared" si="5"/>
        <v>2.0911082692769992E-2</v>
      </c>
      <c r="G15" s="9">
        <f t="shared" si="6"/>
        <v>-3.6552263690880285E-3</v>
      </c>
      <c r="H15" s="9">
        <f t="shared" si="7"/>
        <v>4.2970317897965668E-2</v>
      </c>
      <c r="J15" s="9" t="s">
        <v>55</v>
      </c>
      <c r="K15" s="8">
        <f t="shared" ref="K15:P21" si="9">($J4-$J3) * ((K4+K3))</f>
        <v>6.9645814746946881E-3</v>
      </c>
      <c r="L15" s="8">
        <f t="shared" si="9"/>
        <v>6.5002760430483758E-3</v>
      </c>
      <c r="M15" s="8">
        <f t="shared" si="9"/>
        <v>6.5002760430483758E-3</v>
      </c>
      <c r="N15" s="8">
        <f t="shared" si="9"/>
        <v>1.1958964826973272E-2</v>
      </c>
      <c r="O15" s="8">
        <f t="shared" si="9"/>
        <v>5.312725612106846E-3</v>
      </c>
      <c r="P15" s="8">
        <f t="shared" si="9"/>
        <v>6.1323358896682792E-3</v>
      </c>
    </row>
    <row r="16" spans="1:16" x14ac:dyDescent="0.3">
      <c r="B16" s="9" t="s">
        <v>59</v>
      </c>
      <c r="C16" s="9">
        <f t="shared" si="2"/>
        <v>1.2287823497758678E-2</v>
      </c>
      <c r="D16" s="9">
        <f t="shared" si="3"/>
        <v>5.0176022255522659E-2</v>
      </c>
      <c r="E16" s="9">
        <f t="shared" si="4"/>
        <v>8.509355588855988E-3</v>
      </c>
      <c r="F16" s="9">
        <f t="shared" si="5"/>
        <v>-2.3462329373556828E-3</v>
      </c>
      <c r="G16" s="9">
        <f t="shared" si="6"/>
        <v>4.1522176101676495E-2</v>
      </c>
      <c r="H16" s="9">
        <f t="shared" si="7"/>
        <v>1.6213758104579257E-2</v>
      </c>
      <c r="J16" s="9" t="s">
        <v>59</v>
      </c>
      <c r="K16" s="8">
        <f t="shared" si="9"/>
        <v>1.6401682114641613E-2</v>
      </c>
      <c r="L16" s="8">
        <f t="shared" si="9"/>
        <v>1.5658964433978594E-2</v>
      </c>
      <c r="M16" s="8">
        <f t="shared" si="9"/>
        <v>1.660799258149245E-2</v>
      </c>
      <c r="N16" s="8">
        <f t="shared" si="9"/>
        <v>2.3359609743701548E-2</v>
      </c>
      <c r="O16" s="8">
        <f t="shared" si="9"/>
        <v>1.4132762917904631E-2</v>
      </c>
      <c r="P16" s="8">
        <f t="shared" si="9"/>
        <v>1.6451313406195354E-2</v>
      </c>
    </row>
    <row r="17" spans="2:16" x14ac:dyDescent="0.3">
      <c r="B17" s="9" t="s">
        <v>53</v>
      </c>
      <c r="C17" s="9">
        <f t="shared" si="2"/>
        <v>4.7987691379195861E-2</v>
      </c>
      <c r="D17" s="9">
        <f t="shared" si="3"/>
        <v>-2.4993675080431467E-2</v>
      </c>
      <c r="E17" s="9">
        <f t="shared" si="4"/>
        <v>5.1792039205282824E-2</v>
      </c>
      <c r="F17" s="9">
        <f t="shared" si="5"/>
        <v>5.7986401223086979E-2</v>
      </c>
      <c r="G17" s="9">
        <f t="shared" si="6"/>
        <v>5.4676654589898212E-2</v>
      </c>
      <c r="H17" s="9">
        <f t="shared" si="7"/>
        <v>7.136751090339602E-2</v>
      </c>
      <c r="J17" s="9" t="s">
        <v>53</v>
      </c>
      <c r="K17" s="8">
        <f t="shared" si="9"/>
        <v>3.0353980397358593E-2</v>
      </c>
      <c r="L17" s="8">
        <f t="shared" si="9"/>
        <v>2.7318582357622738E-2</v>
      </c>
      <c r="M17" s="8">
        <f t="shared" si="9"/>
        <v>3.0606930234003248E-2</v>
      </c>
      <c r="N17" s="8">
        <f t="shared" si="9"/>
        <v>3.8550455816229907E-2</v>
      </c>
      <c r="O17" s="8">
        <f t="shared" si="9"/>
        <v>2.9770250005101698E-2</v>
      </c>
      <c r="P17" s="8">
        <f t="shared" si="9"/>
        <v>3.207213023117135E-2</v>
      </c>
    </row>
    <row r="18" spans="2:16" x14ac:dyDescent="0.3">
      <c r="B18" s="9" t="s">
        <v>56</v>
      </c>
      <c r="C18" s="9">
        <f t="shared" si="2"/>
        <v>-2.2226152581598151E-2</v>
      </c>
      <c r="D18" s="9">
        <f t="shared" si="3"/>
        <v>9.7614250581534029E-3</v>
      </c>
      <c r="E18" s="9">
        <f t="shared" si="4"/>
        <v>-2.1433368466085012E-3</v>
      </c>
      <c r="F18" s="9">
        <f t="shared" si="5"/>
        <v>2.0210768000077955E-2</v>
      </c>
      <c r="G18" s="9">
        <f t="shared" si="6"/>
        <v>2.2536150332878674E-2</v>
      </c>
      <c r="H18" s="9">
        <f t="shared" si="7"/>
        <v>4.4397543656536156E-2</v>
      </c>
      <c r="J18" s="9" t="s">
        <v>56</v>
      </c>
      <c r="K18" s="8">
        <f t="shared" si="9"/>
        <v>4.5089784910872843E-2</v>
      </c>
      <c r="L18" s="8">
        <f t="shared" si="9"/>
        <v>3.8828501982490979E-2</v>
      </c>
      <c r="M18" s="8">
        <f t="shared" si="9"/>
        <v>4.7020169067404687E-2</v>
      </c>
      <c r="N18" s="8">
        <f t="shared" si="9"/>
        <v>5.7988252218902504E-2</v>
      </c>
      <c r="O18" s="8">
        <f t="shared" si="9"/>
        <v>4.7968512064542779E-2</v>
      </c>
      <c r="P18" s="8">
        <f t="shared" si="9"/>
        <v>5.3230380076307197E-2</v>
      </c>
    </row>
    <row r="19" spans="2:16" x14ac:dyDescent="0.3">
      <c r="B19" s="9" t="s">
        <v>58</v>
      </c>
      <c r="C19" s="9">
        <f t="shared" si="2"/>
        <v>6.1019341450398792E-2</v>
      </c>
      <c r="D19" s="9">
        <f t="shared" si="3"/>
        <v>1.8162198593255949E-2</v>
      </c>
      <c r="E19" s="9">
        <f t="shared" si="4"/>
        <v>5.5662198593255954E-2</v>
      </c>
      <c r="F19" s="9">
        <f t="shared" si="5"/>
        <v>3.0921842510169884E-2</v>
      </c>
      <c r="G19" s="9">
        <f t="shared" si="6"/>
        <v>-4.9147244836671294E-3</v>
      </c>
      <c r="H19" s="9">
        <f t="shared" si="7"/>
        <v>3.1369745763067267E-2</v>
      </c>
      <c r="J19" s="9" t="s">
        <v>58</v>
      </c>
      <c r="K19" s="8">
        <f t="shared" si="9"/>
        <v>6.9130068269050896E-2</v>
      </c>
      <c r="L19" s="8">
        <f t="shared" si="9"/>
        <v>6.0793795330724168E-2</v>
      </c>
      <c r="M19" s="8">
        <f t="shared" si="9"/>
        <v>7.2631048748485361E-2</v>
      </c>
      <c r="N19" s="8">
        <f t="shared" si="9"/>
        <v>8.548043351683654E-2</v>
      </c>
      <c r="O19" s="8">
        <f t="shared" si="9"/>
        <v>7.0821174294297753E-2</v>
      </c>
      <c r="P19" s="8">
        <f t="shared" si="9"/>
        <v>8.1837801406744071E-2</v>
      </c>
    </row>
    <row r="20" spans="2:16" x14ac:dyDescent="0.3">
      <c r="B20" s="9" t="s">
        <v>60</v>
      </c>
      <c r="C20" s="9">
        <f t="shared" si="2"/>
        <v>1.5633874064783643E-2</v>
      </c>
      <c r="D20" s="9">
        <f t="shared" si="3"/>
        <v>6.2683563505777445E-2</v>
      </c>
      <c r="E20" s="9">
        <f t="shared" si="4"/>
        <v>-3.791167458946066E-2</v>
      </c>
      <c r="F20" s="9">
        <f t="shared" si="5"/>
        <v>1.1210481691449337E-2</v>
      </c>
      <c r="G20" s="9">
        <f t="shared" si="6"/>
        <v>-2.124500792279399E-2</v>
      </c>
      <c r="H20" s="9">
        <f t="shared" si="7"/>
        <v>1.059461471871545E-2</v>
      </c>
      <c r="J20" s="9" t="s">
        <v>60</v>
      </c>
      <c r="K20" s="8">
        <f t="shared" si="9"/>
        <v>9.1027182524776068E-2</v>
      </c>
      <c r="L20" s="8">
        <f t="shared" si="9"/>
        <v>8.2847739980764071E-2</v>
      </c>
      <c r="M20" s="8">
        <f t="shared" si="9"/>
        <v>8.9676945983991896E-2</v>
      </c>
      <c r="N20" s="8">
        <f t="shared" si="9"/>
        <v>0.10486763603388445</v>
      </c>
      <c r="O20" s="8">
        <f t="shared" si="9"/>
        <v>8.4147628153192058E-2</v>
      </c>
      <c r="P20" s="8">
        <f t="shared" si="9"/>
        <v>0.10112604730299651</v>
      </c>
    </row>
    <row r="21" spans="2:16" x14ac:dyDescent="0.3">
      <c r="B21" s="9" t="s">
        <v>52</v>
      </c>
      <c r="C21" s="9">
        <f t="shared" si="2"/>
        <v>-0.16611835110226397</v>
      </c>
      <c r="D21" s="9">
        <f t="shared" si="3"/>
        <v>-0.14080779209605276</v>
      </c>
      <c r="E21" s="9">
        <f t="shared" si="4"/>
        <v>-0.13128398257224327</v>
      </c>
      <c r="F21" s="9">
        <f t="shared" si="5"/>
        <v>-0.2465411536899485</v>
      </c>
      <c r="G21" s="9">
        <f t="shared" si="6"/>
        <v>-0.10660449539275607</v>
      </c>
      <c r="H21" s="9">
        <f t="shared" si="7"/>
        <v>-0.22389404546532504</v>
      </c>
      <c r="J21" s="9" t="s">
        <v>52</v>
      </c>
      <c r="K21" s="8">
        <f t="shared" si="9"/>
        <v>0.91280646912907049</v>
      </c>
      <c r="L21" s="8">
        <f t="shared" si="9"/>
        <v>0.89830476791386227</v>
      </c>
      <c r="M21" s="8">
        <f t="shared" si="9"/>
        <v>0.89284809506396767</v>
      </c>
      <c r="N21" s="8">
        <f t="shared" si="9"/>
        <v>0.95888476608529716</v>
      </c>
      <c r="O21" s="8">
        <f t="shared" si="9"/>
        <v>0.87870796686159736</v>
      </c>
      <c r="P21" s="8">
        <f t="shared" si="9"/>
        <v>0.94590909072461526</v>
      </c>
    </row>
    <row r="22" spans="2:16" x14ac:dyDescent="0.3">
      <c r="J22" s="13" t="s">
        <v>73</v>
      </c>
      <c r="K22" s="12">
        <f>SUM(K13:K21)</f>
        <v>1.1763785708295909</v>
      </c>
      <c r="L22" s="12">
        <f t="shared" ref="L22:P22" si="10">SUM(L13:L21)</f>
        <v>1.1351937217875299</v>
      </c>
      <c r="M22" s="12">
        <f t="shared" si="10"/>
        <v>1.1582867585376169</v>
      </c>
      <c r="N22" s="12">
        <f t="shared" si="10"/>
        <v>1.2883543619578064</v>
      </c>
      <c r="O22" s="12">
        <f t="shared" si="10"/>
        <v>1.133726862435698</v>
      </c>
      <c r="P22" s="12">
        <f t="shared" si="10"/>
        <v>1.240239230093549</v>
      </c>
    </row>
    <row r="23" spans="2:16" x14ac:dyDescent="0.3">
      <c r="J23" s="14" t="s">
        <v>74</v>
      </c>
      <c r="K23" s="15">
        <f>1-K22</f>
        <v>-0.17637857082959085</v>
      </c>
      <c r="L23" s="15">
        <f t="shared" ref="L23:P23" si="11">1-L22</f>
        <v>-0.13519372178752986</v>
      </c>
      <c r="M23" s="15">
        <f t="shared" si="11"/>
        <v>-0.15828675853761687</v>
      </c>
      <c r="N23" s="15">
        <f t="shared" si="11"/>
        <v>-0.28835436195780639</v>
      </c>
      <c r="O23" s="15">
        <f t="shared" si="11"/>
        <v>-0.13372686243569798</v>
      </c>
      <c r="P23" s="15">
        <f t="shared" si="11"/>
        <v>-0.24023923009354897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MANHUAÇU</vt:lpstr>
      <vt:lpstr>PONTE NOVA</vt:lpstr>
      <vt:lpstr>VIÇOSA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2025-04-20T18:51:44Z</dcterms:created>
  <dcterms:modified xsi:type="dcterms:W3CDTF">2025-05-03T21:24:45Z</dcterms:modified>
</cp:coreProperties>
</file>