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96cd45e3dcc699/Área de Trabalho/Dissertação/Planilhas/Distribuição_territorial/Análises_objetivo_03/analises_finais_consolidado/"/>
    </mc:Choice>
  </mc:AlternateContent>
  <xr:revisionPtr revIDLastSave="72" documentId="8_{58BF1782-F4A9-4473-A738-7100D56DBF6C}" xr6:coauthVersionLast="47" xr6:coauthVersionMax="47" xr10:uidLastSave="{07BCB385-5C1A-42C1-9530-493F2C3EA217}"/>
  <bookViews>
    <workbookView xWindow="-108" yWindow="-108" windowWidth="23256" windowHeight="12456" firstSheet="4" activeTab="8" xr2:uid="{527A2006-39EA-4F0B-B064-CF2FBDAC0A5A}"/>
  </bookViews>
  <sheets>
    <sheet name="ALÉM PARAÍBA" sheetId="1" r:id="rId1"/>
    <sheet name="CARANGOLA" sheetId="2" r:id="rId2"/>
    <sheet name="JUIZ DE FORA" sheetId="3" r:id="rId3"/>
    <sheet name="LEOPOLDINA-CATAGUASES" sheetId="4" r:id="rId4"/>
    <sheet name="LIMA DUARTE" sheetId="5" r:id="rId5"/>
    <sheet name="MURIAÉ" sheetId="6" r:id="rId6"/>
    <sheet name="SANTOS DUMONT" sheetId="7" r:id="rId7"/>
    <sheet name="SÃO JOÃO NEPOMUCENO-BICAS" sheetId="8" r:id="rId8"/>
    <sheet name="UBÁ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4" i="9" l="1"/>
  <c r="O24" i="9"/>
  <c r="N24" i="9"/>
  <c r="M24" i="9"/>
  <c r="L24" i="9"/>
  <c r="K24" i="9"/>
  <c r="L18" i="8"/>
  <c r="L17" i="8"/>
  <c r="P13" i="8"/>
  <c r="O13" i="8"/>
  <c r="N13" i="8"/>
  <c r="M13" i="8"/>
  <c r="L13" i="8"/>
  <c r="K13" i="8"/>
  <c r="P8" i="7"/>
  <c r="O8" i="7"/>
  <c r="N8" i="7"/>
  <c r="M8" i="7"/>
  <c r="L8" i="7"/>
  <c r="K8" i="7"/>
  <c r="P16" i="6"/>
  <c r="O16" i="6"/>
  <c r="N16" i="6"/>
  <c r="M16" i="6"/>
  <c r="L16" i="6"/>
  <c r="K16" i="6"/>
  <c r="P18" i="5"/>
  <c r="O18" i="5"/>
  <c r="N18" i="5"/>
  <c r="M18" i="5"/>
  <c r="L18" i="5"/>
  <c r="K18" i="5"/>
  <c r="P14" i="4"/>
  <c r="O14" i="4"/>
  <c r="N14" i="4"/>
  <c r="M14" i="4"/>
  <c r="L14" i="4"/>
  <c r="K14" i="4"/>
  <c r="P16" i="3"/>
  <c r="O16" i="3"/>
  <c r="N16" i="3"/>
  <c r="M16" i="3"/>
  <c r="L16" i="3"/>
  <c r="K16" i="3"/>
  <c r="P16" i="2"/>
  <c r="O16" i="2"/>
  <c r="N16" i="2"/>
  <c r="M16" i="2"/>
  <c r="L16" i="2"/>
  <c r="K16" i="2"/>
  <c r="P9" i="1"/>
  <c r="O9" i="1"/>
  <c r="N9" i="1"/>
  <c r="M9" i="1"/>
  <c r="L9" i="1"/>
  <c r="K9" i="1"/>
  <c r="C31" i="5"/>
  <c r="D31" i="5"/>
  <c r="E31" i="5"/>
  <c r="F31" i="5"/>
  <c r="G31" i="5"/>
  <c r="H31" i="5"/>
  <c r="C25" i="9"/>
  <c r="D25" i="9"/>
  <c r="E25" i="9"/>
  <c r="F25" i="9"/>
  <c r="G25" i="9"/>
  <c r="H25" i="9"/>
  <c r="C26" i="9"/>
  <c r="D26" i="9"/>
  <c r="E26" i="9"/>
  <c r="F26" i="9"/>
  <c r="G26" i="9"/>
  <c r="H26" i="9"/>
  <c r="C27" i="9"/>
  <c r="D27" i="9"/>
  <c r="E27" i="9"/>
  <c r="F27" i="9"/>
  <c r="G27" i="9"/>
  <c r="H27" i="9"/>
  <c r="C28" i="9"/>
  <c r="D28" i="9"/>
  <c r="E28" i="9"/>
  <c r="F28" i="9"/>
  <c r="G28" i="9"/>
  <c r="H28" i="9"/>
  <c r="C29" i="9"/>
  <c r="D29" i="9"/>
  <c r="E29" i="9"/>
  <c r="F29" i="9"/>
  <c r="G29" i="9"/>
  <c r="H29" i="9"/>
  <c r="C30" i="9"/>
  <c r="D30" i="9"/>
  <c r="E30" i="9"/>
  <c r="F30" i="9"/>
  <c r="G30" i="9"/>
  <c r="H30" i="9"/>
  <c r="C31" i="9"/>
  <c r="D31" i="9"/>
  <c r="E31" i="9"/>
  <c r="F31" i="9"/>
  <c r="G31" i="9"/>
  <c r="H31" i="9"/>
  <c r="C32" i="9"/>
  <c r="D32" i="9"/>
  <c r="E32" i="9"/>
  <c r="F32" i="9"/>
  <c r="G32" i="9"/>
  <c r="H32" i="9"/>
  <c r="C33" i="9"/>
  <c r="D33" i="9"/>
  <c r="E33" i="9"/>
  <c r="F33" i="9"/>
  <c r="G33" i="9"/>
  <c r="H33" i="9"/>
  <c r="C34" i="9"/>
  <c r="D34" i="9"/>
  <c r="E34" i="9"/>
  <c r="F34" i="9"/>
  <c r="G34" i="9"/>
  <c r="H34" i="9"/>
  <c r="C35" i="9"/>
  <c r="D35" i="9"/>
  <c r="E35" i="9"/>
  <c r="F35" i="9"/>
  <c r="G35" i="9"/>
  <c r="H35" i="9"/>
  <c r="C36" i="9"/>
  <c r="D36" i="9"/>
  <c r="E36" i="9"/>
  <c r="F36" i="9"/>
  <c r="G36" i="9"/>
  <c r="H36" i="9"/>
  <c r="C37" i="9"/>
  <c r="D37" i="9"/>
  <c r="E37" i="9"/>
  <c r="F37" i="9"/>
  <c r="G37" i="9"/>
  <c r="H37" i="9"/>
  <c r="C38" i="9"/>
  <c r="D38" i="9"/>
  <c r="E38" i="9"/>
  <c r="F38" i="9"/>
  <c r="G38" i="9"/>
  <c r="H38" i="9"/>
  <c r="C39" i="9"/>
  <c r="D39" i="9"/>
  <c r="E39" i="9"/>
  <c r="F39" i="9"/>
  <c r="G39" i="9"/>
  <c r="H39" i="9"/>
  <c r="C40" i="9"/>
  <c r="D40" i="9"/>
  <c r="E40" i="9"/>
  <c r="F40" i="9"/>
  <c r="G40" i="9"/>
  <c r="H40" i="9"/>
  <c r="C41" i="9"/>
  <c r="D41" i="9"/>
  <c r="E41" i="9"/>
  <c r="F41" i="9"/>
  <c r="G41" i="9"/>
  <c r="H41" i="9"/>
  <c r="C42" i="9"/>
  <c r="D42" i="9"/>
  <c r="E42" i="9"/>
  <c r="F42" i="9"/>
  <c r="G42" i="9"/>
  <c r="H42" i="9"/>
  <c r="C43" i="9"/>
  <c r="D43" i="9"/>
  <c r="E43" i="9"/>
  <c r="F43" i="9"/>
  <c r="G43" i="9"/>
  <c r="H43" i="9"/>
  <c r="H24" i="9"/>
  <c r="G24" i="9"/>
  <c r="F24" i="9"/>
  <c r="E24" i="9"/>
  <c r="D24" i="9"/>
  <c r="C24" i="9"/>
  <c r="N10" i="9"/>
  <c r="N11" i="9" s="1"/>
  <c r="N12" i="9" s="1"/>
  <c r="N13" i="9" s="1"/>
  <c r="N14" i="9" s="1"/>
  <c r="N15" i="9" s="1"/>
  <c r="N16" i="9" s="1"/>
  <c r="N17" i="9" s="1"/>
  <c r="N18" i="9" s="1"/>
  <c r="N19" i="9" s="1"/>
  <c r="N20" i="9" s="1"/>
  <c r="N21" i="9" s="1"/>
  <c r="P3" i="9"/>
  <c r="P4" i="9" s="1"/>
  <c r="P5" i="9" s="1"/>
  <c r="P6" i="9" s="1"/>
  <c r="P7" i="9" s="1"/>
  <c r="P8" i="9" s="1"/>
  <c r="P9" i="9" s="1"/>
  <c r="P10" i="9" s="1"/>
  <c r="P11" i="9" s="1"/>
  <c r="P12" i="9" s="1"/>
  <c r="P13" i="9" s="1"/>
  <c r="P14" i="9" s="1"/>
  <c r="P15" i="9" s="1"/>
  <c r="P16" i="9" s="1"/>
  <c r="P17" i="9" s="1"/>
  <c r="P18" i="9" s="1"/>
  <c r="P19" i="9" s="1"/>
  <c r="P20" i="9" s="1"/>
  <c r="P21" i="9" s="1"/>
  <c r="O3" i="9"/>
  <c r="O4" i="9" s="1"/>
  <c r="O5" i="9" s="1"/>
  <c r="O6" i="9" s="1"/>
  <c r="O7" i="9" s="1"/>
  <c r="O8" i="9" s="1"/>
  <c r="O9" i="9" s="1"/>
  <c r="O10" i="9" s="1"/>
  <c r="O11" i="9" s="1"/>
  <c r="O12" i="9" s="1"/>
  <c r="O13" i="9" s="1"/>
  <c r="O14" i="9" s="1"/>
  <c r="O15" i="9" s="1"/>
  <c r="O16" i="9" s="1"/>
  <c r="O17" i="9" s="1"/>
  <c r="O18" i="9" s="1"/>
  <c r="O19" i="9" s="1"/>
  <c r="O20" i="9" s="1"/>
  <c r="O21" i="9" s="1"/>
  <c r="N3" i="9"/>
  <c r="N4" i="9" s="1"/>
  <c r="N5" i="9" s="1"/>
  <c r="N6" i="9" s="1"/>
  <c r="N7" i="9" s="1"/>
  <c r="N8" i="9" s="1"/>
  <c r="N9" i="9" s="1"/>
  <c r="M3" i="9"/>
  <c r="M4" i="9" s="1"/>
  <c r="M5" i="9" s="1"/>
  <c r="M6" i="9" s="1"/>
  <c r="M7" i="9" s="1"/>
  <c r="M8" i="9" s="1"/>
  <c r="M9" i="9" s="1"/>
  <c r="M10" i="9" s="1"/>
  <c r="L3" i="9"/>
  <c r="L4" i="9" s="1"/>
  <c r="L5" i="9" s="1"/>
  <c r="L6" i="9" s="1"/>
  <c r="L7" i="9" s="1"/>
  <c r="L8" i="9" s="1"/>
  <c r="L9" i="9" s="1"/>
  <c r="L10" i="9" s="1"/>
  <c r="L11" i="9" s="1"/>
  <c r="L12" i="9" s="1"/>
  <c r="L13" i="9" s="1"/>
  <c r="L14" i="9" s="1"/>
  <c r="L15" i="9" s="1"/>
  <c r="L16" i="9" s="1"/>
  <c r="L17" i="9" s="1"/>
  <c r="L18" i="9" s="1"/>
  <c r="L19" i="9" s="1"/>
  <c r="L20" i="9" s="1"/>
  <c r="L21" i="9" s="1"/>
  <c r="K3" i="9"/>
  <c r="K4" i="9" s="1"/>
  <c r="K5" i="9" s="1"/>
  <c r="K6" i="9" s="1"/>
  <c r="K7" i="9" s="1"/>
  <c r="K8" i="9" s="1"/>
  <c r="K9" i="9" s="1"/>
  <c r="J3" i="9"/>
  <c r="J4" i="9" s="1"/>
  <c r="J5" i="9" s="1"/>
  <c r="J6" i="9" s="1"/>
  <c r="J7" i="9" s="1"/>
  <c r="J8" i="9" s="1"/>
  <c r="J9" i="9" s="1"/>
  <c r="J10" i="9" s="1"/>
  <c r="J11" i="9" s="1"/>
  <c r="H21" i="8"/>
  <c r="G21" i="8"/>
  <c r="F21" i="8"/>
  <c r="E21" i="8"/>
  <c r="D21" i="8"/>
  <c r="C21" i="8"/>
  <c r="H20" i="8"/>
  <c r="G20" i="8"/>
  <c r="F20" i="8"/>
  <c r="E20" i="8"/>
  <c r="D20" i="8"/>
  <c r="C20" i="8"/>
  <c r="H19" i="8"/>
  <c r="G19" i="8"/>
  <c r="F19" i="8"/>
  <c r="E19" i="8"/>
  <c r="D19" i="8"/>
  <c r="C19" i="8"/>
  <c r="H18" i="8"/>
  <c r="G18" i="8"/>
  <c r="F18" i="8"/>
  <c r="E18" i="8"/>
  <c r="D18" i="8"/>
  <c r="C18" i="8"/>
  <c r="H17" i="8"/>
  <c r="G17" i="8"/>
  <c r="F17" i="8"/>
  <c r="E17" i="8"/>
  <c r="D17" i="8"/>
  <c r="C17" i="8"/>
  <c r="H16" i="8"/>
  <c r="G16" i="8"/>
  <c r="F16" i="8"/>
  <c r="E16" i="8"/>
  <c r="D16" i="8"/>
  <c r="C16" i="8"/>
  <c r="H15" i="8"/>
  <c r="G15" i="8"/>
  <c r="F15" i="8"/>
  <c r="E15" i="8"/>
  <c r="D15" i="8"/>
  <c r="C15" i="8"/>
  <c r="H14" i="8"/>
  <c r="G14" i="8"/>
  <c r="F14" i="8"/>
  <c r="E14" i="8"/>
  <c r="D14" i="8"/>
  <c r="C14" i="8"/>
  <c r="H13" i="8"/>
  <c r="G13" i="8"/>
  <c r="F13" i="8"/>
  <c r="E13" i="8"/>
  <c r="D13" i="8"/>
  <c r="C13" i="8"/>
  <c r="P3" i="8"/>
  <c r="P4" i="8" s="1"/>
  <c r="P5" i="8" s="1"/>
  <c r="P6" i="8" s="1"/>
  <c r="P7" i="8" s="1"/>
  <c r="P8" i="8" s="1"/>
  <c r="P9" i="8" s="1"/>
  <c r="P10" i="8" s="1"/>
  <c r="O3" i="8"/>
  <c r="O4" i="8" s="1"/>
  <c r="O5" i="8" s="1"/>
  <c r="O6" i="8" s="1"/>
  <c r="O7" i="8" s="1"/>
  <c r="O8" i="8" s="1"/>
  <c r="O9" i="8" s="1"/>
  <c r="O10" i="8" s="1"/>
  <c r="N3" i="8"/>
  <c r="N4" i="8" s="1"/>
  <c r="N5" i="8" s="1"/>
  <c r="N6" i="8" s="1"/>
  <c r="N7" i="8" s="1"/>
  <c r="N8" i="8" s="1"/>
  <c r="N9" i="8" s="1"/>
  <c r="N10" i="8" s="1"/>
  <c r="M3" i="8"/>
  <c r="M4" i="8" s="1"/>
  <c r="M5" i="8" s="1"/>
  <c r="M6" i="8" s="1"/>
  <c r="M7" i="8" s="1"/>
  <c r="M8" i="8" s="1"/>
  <c r="M9" i="8" s="1"/>
  <c r="M10" i="8" s="1"/>
  <c r="L3" i="8"/>
  <c r="L4" i="8" s="1"/>
  <c r="L5" i="8" s="1"/>
  <c r="L6" i="8" s="1"/>
  <c r="L7" i="8" s="1"/>
  <c r="L8" i="8" s="1"/>
  <c r="L9" i="8" s="1"/>
  <c r="L10" i="8" s="1"/>
  <c r="K3" i="8"/>
  <c r="K4" i="8" s="1"/>
  <c r="K5" i="8" s="1"/>
  <c r="K6" i="8" s="1"/>
  <c r="K7" i="8" s="1"/>
  <c r="K8" i="8" s="1"/>
  <c r="K9" i="8" s="1"/>
  <c r="K10" i="8" s="1"/>
  <c r="J3" i="8"/>
  <c r="J4" i="8" s="1"/>
  <c r="J5" i="8" s="1"/>
  <c r="J6" i="8" s="1"/>
  <c r="J7" i="8" s="1"/>
  <c r="J8" i="8" s="1"/>
  <c r="J9" i="8" s="1"/>
  <c r="J10" i="8" s="1"/>
  <c r="L21" i="8" s="1"/>
  <c r="M32" i="9" l="1"/>
  <c r="N25" i="9"/>
  <c r="O25" i="9"/>
  <c r="L31" i="9"/>
  <c r="P29" i="9"/>
  <c r="O29" i="9"/>
  <c r="N28" i="9"/>
  <c r="O32" i="9"/>
  <c r="M28" i="9"/>
  <c r="K31" i="9"/>
  <c r="M25" i="9"/>
  <c r="L27" i="9"/>
  <c r="K14" i="8"/>
  <c r="L14" i="8"/>
  <c r="P21" i="8"/>
  <c r="O16" i="8"/>
  <c r="K18" i="8"/>
  <c r="O20" i="8"/>
  <c r="P33" i="9"/>
  <c r="N32" i="9"/>
  <c r="J12" i="9"/>
  <c r="O33" i="9"/>
  <c r="N33" i="9"/>
  <c r="P30" i="9"/>
  <c r="P26" i="9"/>
  <c r="K10" i="9"/>
  <c r="K11" i="9" s="1"/>
  <c r="K12" i="9" s="1"/>
  <c r="K13" i="9" s="1"/>
  <c r="K14" i="9" s="1"/>
  <c r="K15" i="9" s="1"/>
  <c r="K16" i="9" s="1"/>
  <c r="K17" i="9" s="1"/>
  <c r="K18" i="9" s="1"/>
  <c r="K19" i="9" s="1"/>
  <c r="K20" i="9" s="1"/>
  <c r="K21" i="9" s="1"/>
  <c r="M29" i="9"/>
  <c r="K28" i="9"/>
  <c r="L33" i="9"/>
  <c r="N30" i="9"/>
  <c r="N26" i="9"/>
  <c r="M11" i="9"/>
  <c r="M12" i="9" s="1"/>
  <c r="M13" i="9" s="1"/>
  <c r="M14" i="9" s="1"/>
  <c r="M15" i="9" s="1"/>
  <c r="M16" i="9" s="1"/>
  <c r="M17" i="9" s="1"/>
  <c r="M18" i="9" s="1"/>
  <c r="M19" i="9" s="1"/>
  <c r="M20" i="9" s="1"/>
  <c r="M21" i="9" s="1"/>
  <c r="O31" i="9"/>
  <c r="M30" i="9"/>
  <c r="K29" i="9"/>
  <c r="O27" i="9"/>
  <c r="M26" i="9"/>
  <c r="K27" i="9"/>
  <c r="L32" i="9"/>
  <c r="N29" i="9"/>
  <c r="L28" i="9"/>
  <c r="P25" i="9"/>
  <c r="O30" i="9"/>
  <c r="O26" i="9"/>
  <c r="P31" i="9"/>
  <c r="L29" i="9"/>
  <c r="P27" i="9"/>
  <c r="K25" i="9"/>
  <c r="P32" i="9"/>
  <c r="N31" i="9"/>
  <c r="L30" i="9"/>
  <c r="P28" i="9"/>
  <c r="N27" i="9"/>
  <c r="L26" i="9"/>
  <c r="L25" i="9"/>
  <c r="M31" i="9"/>
  <c r="K30" i="9"/>
  <c r="O28" i="9"/>
  <c r="M27" i="9"/>
  <c r="K26" i="9"/>
  <c r="N15" i="8"/>
  <c r="P16" i="8"/>
  <c r="N19" i="8"/>
  <c r="P20" i="8"/>
  <c r="M14" i="8"/>
  <c r="O15" i="8"/>
  <c r="K17" i="8"/>
  <c r="M18" i="8"/>
  <c r="O19" i="8"/>
  <c r="K21" i="8"/>
  <c r="M19" i="8"/>
  <c r="N14" i="8"/>
  <c r="P15" i="8"/>
  <c r="O14" i="8"/>
  <c r="K16" i="8"/>
  <c r="M17" i="8"/>
  <c r="O18" i="8"/>
  <c r="K20" i="8"/>
  <c r="M21" i="8"/>
  <c r="P14" i="8"/>
  <c r="L16" i="8"/>
  <c r="N17" i="8"/>
  <c r="P18" i="8"/>
  <c r="L20" i="8"/>
  <c r="N21" i="8"/>
  <c r="M15" i="8"/>
  <c r="N18" i="8"/>
  <c r="K15" i="8"/>
  <c r="M16" i="8"/>
  <c r="O17" i="8"/>
  <c r="K19" i="8"/>
  <c r="M20" i="8"/>
  <c r="O21" i="8"/>
  <c r="P19" i="8"/>
  <c r="L15" i="8"/>
  <c r="N16" i="8"/>
  <c r="P17" i="8"/>
  <c r="L19" i="8"/>
  <c r="N20" i="8"/>
  <c r="K33" i="9" l="1"/>
  <c r="L22" i="8"/>
  <c r="L23" i="8" s="1"/>
  <c r="K22" i="8"/>
  <c r="K23" i="8" s="1"/>
  <c r="K34" i="9"/>
  <c r="L34" i="9"/>
  <c r="N34" i="9"/>
  <c r="P34" i="9"/>
  <c r="M34" i="9"/>
  <c r="O34" i="9"/>
  <c r="J13" i="9"/>
  <c r="K32" i="9"/>
  <c r="M33" i="9"/>
  <c r="O22" i="8"/>
  <c r="O23" i="8" s="1"/>
  <c r="N22" i="8"/>
  <c r="N23" i="8" s="1"/>
  <c r="M22" i="8"/>
  <c r="M23" i="8" s="1"/>
  <c r="P22" i="8"/>
  <c r="P23" i="8" s="1"/>
  <c r="H10" i="7"/>
  <c r="G10" i="7"/>
  <c r="F10" i="7"/>
  <c r="E10" i="7"/>
  <c r="D10" i="7"/>
  <c r="C10" i="7"/>
  <c r="H9" i="7"/>
  <c r="G9" i="7"/>
  <c r="F9" i="7"/>
  <c r="E9" i="7"/>
  <c r="D9" i="7"/>
  <c r="C9" i="7"/>
  <c r="H8" i="7"/>
  <c r="G8" i="7"/>
  <c r="F8" i="7"/>
  <c r="E8" i="7"/>
  <c r="D8" i="7"/>
  <c r="C8" i="7"/>
  <c r="P3" i="7"/>
  <c r="P4" i="7" s="1"/>
  <c r="K3" i="7"/>
  <c r="K4" i="7" s="1"/>
  <c r="O3" i="7"/>
  <c r="O4" i="7" s="1"/>
  <c r="N3" i="7"/>
  <c r="N4" i="7" s="1"/>
  <c r="M3" i="7"/>
  <c r="M4" i="7" s="1"/>
  <c r="L3" i="7"/>
  <c r="L4" i="7" s="1"/>
  <c r="J3" i="7"/>
  <c r="H26" i="6"/>
  <c r="G26" i="6"/>
  <c r="F26" i="6"/>
  <c r="E26" i="6"/>
  <c r="D26" i="6"/>
  <c r="C26" i="6"/>
  <c r="H25" i="6"/>
  <c r="G25" i="6"/>
  <c r="F25" i="6"/>
  <c r="E25" i="6"/>
  <c r="D25" i="6"/>
  <c r="C25" i="6"/>
  <c r="H24" i="6"/>
  <c r="G24" i="6"/>
  <c r="F24" i="6"/>
  <c r="E24" i="6"/>
  <c r="D24" i="6"/>
  <c r="C24" i="6"/>
  <c r="H23" i="6"/>
  <c r="G23" i="6"/>
  <c r="F23" i="6"/>
  <c r="E23" i="6"/>
  <c r="D23" i="6"/>
  <c r="C23" i="6"/>
  <c r="H22" i="6"/>
  <c r="G22" i="6"/>
  <c r="F22" i="6"/>
  <c r="E22" i="6"/>
  <c r="D22" i="6"/>
  <c r="C22" i="6"/>
  <c r="H21" i="6"/>
  <c r="G21" i="6"/>
  <c r="F21" i="6"/>
  <c r="E21" i="6"/>
  <c r="D21" i="6"/>
  <c r="C21" i="6"/>
  <c r="H20" i="6"/>
  <c r="G20" i="6"/>
  <c r="F20" i="6"/>
  <c r="E20" i="6"/>
  <c r="D20" i="6"/>
  <c r="C20" i="6"/>
  <c r="H19" i="6"/>
  <c r="G19" i="6"/>
  <c r="F19" i="6"/>
  <c r="E19" i="6"/>
  <c r="D19" i="6"/>
  <c r="C19" i="6"/>
  <c r="H18" i="6"/>
  <c r="G18" i="6"/>
  <c r="F18" i="6"/>
  <c r="E18" i="6"/>
  <c r="D18" i="6"/>
  <c r="C18" i="6"/>
  <c r="H17" i="6"/>
  <c r="G17" i="6"/>
  <c r="F17" i="6"/>
  <c r="E17" i="6"/>
  <c r="D17" i="6"/>
  <c r="C17" i="6"/>
  <c r="H16" i="6"/>
  <c r="G16" i="6"/>
  <c r="F16" i="6"/>
  <c r="E16" i="6"/>
  <c r="D16" i="6"/>
  <c r="C16" i="6"/>
  <c r="P3" i="6"/>
  <c r="P4" i="6" s="1"/>
  <c r="P5" i="6" s="1"/>
  <c r="P6" i="6" s="1"/>
  <c r="P7" i="6" s="1"/>
  <c r="P8" i="6" s="1"/>
  <c r="P9" i="6" s="1"/>
  <c r="P10" i="6" s="1"/>
  <c r="P11" i="6" s="1"/>
  <c r="P12" i="6" s="1"/>
  <c r="O3" i="6"/>
  <c r="O4" i="6" s="1"/>
  <c r="O5" i="6" s="1"/>
  <c r="O6" i="6" s="1"/>
  <c r="O7" i="6" s="1"/>
  <c r="O8" i="6" s="1"/>
  <c r="O9" i="6" s="1"/>
  <c r="O10" i="6" s="1"/>
  <c r="O11" i="6" s="1"/>
  <c r="O12" i="6" s="1"/>
  <c r="N3" i="6"/>
  <c r="N4" i="6" s="1"/>
  <c r="N5" i="6" s="1"/>
  <c r="N6" i="6" s="1"/>
  <c r="N7" i="6" s="1"/>
  <c r="N8" i="6" s="1"/>
  <c r="N9" i="6" s="1"/>
  <c r="N10" i="6" s="1"/>
  <c r="N11" i="6" s="1"/>
  <c r="N12" i="6" s="1"/>
  <c r="M3" i="6"/>
  <c r="M4" i="6" s="1"/>
  <c r="M5" i="6" s="1"/>
  <c r="M6" i="6" s="1"/>
  <c r="M7" i="6" s="1"/>
  <c r="M8" i="6" s="1"/>
  <c r="M9" i="6" s="1"/>
  <c r="M10" i="6" s="1"/>
  <c r="M11" i="6" s="1"/>
  <c r="M12" i="6" s="1"/>
  <c r="L3" i="6"/>
  <c r="L4" i="6" s="1"/>
  <c r="L5" i="6" s="1"/>
  <c r="L6" i="6" s="1"/>
  <c r="L7" i="6" s="1"/>
  <c r="L8" i="6" s="1"/>
  <c r="L9" i="6" s="1"/>
  <c r="L10" i="6" s="1"/>
  <c r="L11" i="6" s="1"/>
  <c r="L12" i="6" s="1"/>
  <c r="K3" i="6"/>
  <c r="K4" i="6" s="1"/>
  <c r="K5" i="6" s="1"/>
  <c r="K6" i="6" s="1"/>
  <c r="K7" i="6" s="1"/>
  <c r="K8" i="6" s="1"/>
  <c r="K9" i="6" s="1"/>
  <c r="K10" i="6" s="1"/>
  <c r="K11" i="6" s="1"/>
  <c r="K12" i="6" s="1"/>
  <c r="J3" i="6"/>
  <c r="H30" i="5"/>
  <c r="G30" i="5"/>
  <c r="F30" i="5"/>
  <c r="E30" i="5"/>
  <c r="D30" i="5"/>
  <c r="C30" i="5"/>
  <c r="H29" i="5"/>
  <c r="G29" i="5"/>
  <c r="F29" i="5"/>
  <c r="E29" i="5"/>
  <c r="D29" i="5"/>
  <c r="C29" i="5"/>
  <c r="H28" i="5"/>
  <c r="G28" i="5"/>
  <c r="F28" i="5"/>
  <c r="E28" i="5"/>
  <c r="D28" i="5"/>
  <c r="C28" i="5"/>
  <c r="H27" i="5"/>
  <c r="G27" i="5"/>
  <c r="F27" i="5"/>
  <c r="E27" i="5"/>
  <c r="D27" i="5"/>
  <c r="C27" i="5"/>
  <c r="H26" i="5"/>
  <c r="G26" i="5"/>
  <c r="F26" i="5"/>
  <c r="E26" i="5"/>
  <c r="D26" i="5"/>
  <c r="C26" i="5"/>
  <c r="H25" i="5"/>
  <c r="G25" i="5"/>
  <c r="F25" i="5"/>
  <c r="E25" i="5"/>
  <c r="D25" i="5"/>
  <c r="C25" i="5"/>
  <c r="H24" i="5"/>
  <c r="G24" i="5"/>
  <c r="F24" i="5"/>
  <c r="E24" i="5"/>
  <c r="D24" i="5"/>
  <c r="C24" i="5"/>
  <c r="H23" i="5"/>
  <c r="G23" i="5"/>
  <c r="F23" i="5"/>
  <c r="E23" i="5"/>
  <c r="D23" i="5"/>
  <c r="C23" i="5"/>
  <c r="H22" i="5"/>
  <c r="G22" i="5"/>
  <c r="F22" i="5"/>
  <c r="E22" i="5"/>
  <c r="D22" i="5"/>
  <c r="C22" i="5"/>
  <c r="H21" i="5"/>
  <c r="G21" i="5"/>
  <c r="F21" i="5"/>
  <c r="E21" i="5"/>
  <c r="D21" i="5"/>
  <c r="C21" i="5"/>
  <c r="H20" i="5"/>
  <c r="G20" i="5"/>
  <c r="F20" i="5"/>
  <c r="E20" i="5"/>
  <c r="D20" i="5"/>
  <c r="C20" i="5"/>
  <c r="H19" i="5"/>
  <c r="G19" i="5"/>
  <c r="F19" i="5"/>
  <c r="E19" i="5"/>
  <c r="D19" i="5"/>
  <c r="C19" i="5"/>
  <c r="H18" i="5"/>
  <c r="G18" i="5"/>
  <c r="F18" i="5"/>
  <c r="E18" i="5"/>
  <c r="D18" i="5"/>
  <c r="C18" i="5"/>
  <c r="P3" i="5"/>
  <c r="P4" i="5" s="1"/>
  <c r="P5" i="5" s="1"/>
  <c r="P6" i="5" s="1"/>
  <c r="P7" i="5" s="1"/>
  <c r="P8" i="5" s="1"/>
  <c r="P9" i="5" s="1"/>
  <c r="P10" i="5" s="1"/>
  <c r="P11" i="5" s="1"/>
  <c r="P12" i="5" s="1"/>
  <c r="P13" i="5" s="1"/>
  <c r="P14" i="5" s="1"/>
  <c r="P15" i="5" s="1"/>
  <c r="O3" i="5"/>
  <c r="O4" i="5" s="1"/>
  <c r="O5" i="5" s="1"/>
  <c r="O6" i="5" s="1"/>
  <c r="O7" i="5" s="1"/>
  <c r="O8" i="5" s="1"/>
  <c r="O9" i="5" s="1"/>
  <c r="O10" i="5" s="1"/>
  <c r="O11" i="5" s="1"/>
  <c r="O12" i="5" s="1"/>
  <c r="O13" i="5" s="1"/>
  <c r="O14" i="5" s="1"/>
  <c r="O15" i="5" s="1"/>
  <c r="N3" i="5"/>
  <c r="N4" i="5" s="1"/>
  <c r="N5" i="5" s="1"/>
  <c r="N6" i="5" s="1"/>
  <c r="N7" i="5" s="1"/>
  <c r="N8" i="5" s="1"/>
  <c r="N9" i="5" s="1"/>
  <c r="N10" i="5" s="1"/>
  <c r="N11" i="5" s="1"/>
  <c r="N12" i="5" s="1"/>
  <c r="N13" i="5" s="1"/>
  <c r="N14" i="5" s="1"/>
  <c r="M3" i="5"/>
  <c r="M4" i="5" s="1"/>
  <c r="M5" i="5" s="1"/>
  <c r="M6" i="5" s="1"/>
  <c r="M7" i="5" s="1"/>
  <c r="M8" i="5" s="1"/>
  <c r="M9" i="5" s="1"/>
  <c r="M10" i="5" s="1"/>
  <c r="M11" i="5" s="1"/>
  <c r="M12" i="5" s="1"/>
  <c r="M13" i="5" s="1"/>
  <c r="M14" i="5" s="1"/>
  <c r="M15" i="5" s="1"/>
  <c r="L3" i="5"/>
  <c r="L4" i="5" s="1"/>
  <c r="L5" i="5" s="1"/>
  <c r="L6" i="5" s="1"/>
  <c r="L7" i="5" s="1"/>
  <c r="L8" i="5" s="1"/>
  <c r="L9" i="5" s="1"/>
  <c r="L10" i="5" s="1"/>
  <c r="L11" i="5" s="1"/>
  <c r="L12" i="5" s="1"/>
  <c r="L13" i="5" s="1"/>
  <c r="L14" i="5" s="1"/>
  <c r="L15" i="5" s="1"/>
  <c r="K3" i="5"/>
  <c r="K4" i="5" s="1"/>
  <c r="K5" i="5" s="1"/>
  <c r="K6" i="5" s="1"/>
  <c r="K7" i="5" s="1"/>
  <c r="K8" i="5" s="1"/>
  <c r="K9" i="5" s="1"/>
  <c r="K10" i="5" s="1"/>
  <c r="K11" i="5" s="1"/>
  <c r="K12" i="5" s="1"/>
  <c r="K13" i="5" s="1"/>
  <c r="K14" i="5" s="1"/>
  <c r="K15" i="5" s="1"/>
  <c r="J3" i="5"/>
  <c r="H23" i="4"/>
  <c r="G23" i="4"/>
  <c r="F23" i="4"/>
  <c r="E23" i="4"/>
  <c r="D23" i="4"/>
  <c r="C23" i="4"/>
  <c r="H22" i="4"/>
  <c r="G22" i="4"/>
  <c r="F22" i="4"/>
  <c r="E22" i="4"/>
  <c r="D22" i="4"/>
  <c r="C22" i="4"/>
  <c r="H21" i="4"/>
  <c r="G21" i="4"/>
  <c r="F21" i="4"/>
  <c r="E21" i="4"/>
  <c r="D21" i="4"/>
  <c r="C21" i="4"/>
  <c r="H20" i="4"/>
  <c r="G20" i="4"/>
  <c r="F20" i="4"/>
  <c r="E20" i="4"/>
  <c r="D20" i="4"/>
  <c r="C20" i="4"/>
  <c r="H19" i="4"/>
  <c r="G19" i="4"/>
  <c r="F19" i="4"/>
  <c r="E19" i="4"/>
  <c r="D19" i="4"/>
  <c r="C19" i="4"/>
  <c r="H18" i="4"/>
  <c r="G18" i="4"/>
  <c r="F18" i="4"/>
  <c r="E18" i="4"/>
  <c r="D18" i="4"/>
  <c r="C18" i="4"/>
  <c r="H17" i="4"/>
  <c r="G17" i="4"/>
  <c r="F17" i="4"/>
  <c r="E17" i="4"/>
  <c r="D17" i="4"/>
  <c r="C17" i="4"/>
  <c r="H16" i="4"/>
  <c r="G16" i="4"/>
  <c r="F16" i="4"/>
  <c r="E16" i="4"/>
  <c r="D16" i="4"/>
  <c r="C16" i="4"/>
  <c r="H15" i="4"/>
  <c r="G15" i="4"/>
  <c r="F15" i="4"/>
  <c r="E15" i="4"/>
  <c r="D15" i="4"/>
  <c r="C15" i="4"/>
  <c r="H14" i="4"/>
  <c r="G14" i="4"/>
  <c r="F14" i="4"/>
  <c r="E14" i="4"/>
  <c r="D14" i="4"/>
  <c r="C14" i="4"/>
  <c r="P3" i="4"/>
  <c r="P4" i="4" s="1"/>
  <c r="P5" i="4" s="1"/>
  <c r="P6" i="4" s="1"/>
  <c r="P7" i="4" s="1"/>
  <c r="P8" i="4" s="1"/>
  <c r="P9" i="4" s="1"/>
  <c r="P10" i="4" s="1"/>
  <c r="P11" i="4" s="1"/>
  <c r="O3" i="4"/>
  <c r="O4" i="4" s="1"/>
  <c r="O5" i="4" s="1"/>
  <c r="O6" i="4" s="1"/>
  <c r="O7" i="4" s="1"/>
  <c r="O8" i="4" s="1"/>
  <c r="O9" i="4" s="1"/>
  <c r="O10" i="4" s="1"/>
  <c r="O11" i="4" s="1"/>
  <c r="N3" i="4"/>
  <c r="N4" i="4" s="1"/>
  <c r="N5" i="4" s="1"/>
  <c r="N6" i="4" s="1"/>
  <c r="N7" i="4" s="1"/>
  <c r="N8" i="4" s="1"/>
  <c r="N9" i="4" s="1"/>
  <c r="N10" i="4" s="1"/>
  <c r="N11" i="4" s="1"/>
  <c r="M3" i="4"/>
  <c r="M4" i="4" s="1"/>
  <c r="M5" i="4" s="1"/>
  <c r="M6" i="4" s="1"/>
  <c r="M7" i="4" s="1"/>
  <c r="M8" i="4" s="1"/>
  <c r="M9" i="4" s="1"/>
  <c r="M10" i="4" s="1"/>
  <c r="M11" i="4" s="1"/>
  <c r="L3" i="4"/>
  <c r="L4" i="4" s="1"/>
  <c r="L5" i="4" s="1"/>
  <c r="L6" i="4" s="1"/>
  <c r="L7" i="4" s="1"/>
  <c r="L8" i="4" s="1"/>
  <c r="L9" i="4" s="1"/>
  <c r="L10" i="4" s="1"/>
  <c r="L11" i="4" s="1"/>
  <c r="K3" i="4"/>
  <c r="K4" i="4" s="1"/>
  <c r="K5" i="4" s="1"/>
  <c r="K6" i="4" s="1"/>
  <c r="K7" i="4" s="1"/>
  <c r="K8" i="4" s="1"/>
  <c r="K9" i="4" s="1"/>
  <c r="K10" i="4" s="1"/>
  <c r="K11" i="4" s="1"/>
  <c r="J3" i="4"/>
  <c r="J4" i="5" l="1"/>
  <c r="P19" i="5"/>
  <c r="O19" i="5"/>
  <c r="N19" i="5"/>
  <c r="M19" i="5"/>
  <c r="L19" i="5"/>
  <c r="K19" i="5"/>
  <c r="J4" i="4"/>
  <c r="M15" i="4"/>
  <c r="L15" i="4"/>
  <c r="K15" i="4"/>
  <c r="P15" i="4"/>
  <c r="O15" i="4"/>
  <c r="N15" i="4"/>
  <c r="M35" i="9"/>
  <c r="N35" i="9"/>
  <c r="J14" i="9"/>
  <c r="K35" i="9"/>
  <c r="O35" i="9"/>
  <c r="P35" i="9"/>
  <c r="L35" i="9"/>
  <c r="J4" i="7"/>
  <c r="N9" i="7"/>
  <c r="K9" i="7"/>
  <c r="M9" i="7"/>
  <c r="L9" i="7"/>
  <c r="P9" i="7"/>
  <c r="O9" i="7"/>
  <c r="J4" i="6"/>
  <c r="N17" i="6"/>
  <c r="K17" i="6"/>
  <c r="M17" i="6"/>
  <c r="O17" i="6"/>
  <c r="L17" i="6"/>
  <c r="P17" i="6"/>
  <c r="N15" i="5"/>
  <c r="H27" i="3"/>
  <c r="G27" i="3"/>
  <c r="F27" i="3"/>
  <c r="E27" i="3"/>
  <c r="D27" i="3"/>
  <c r="C27" i="3"/>
  <c r="H26" i="3"/>
  <c r="G26" i="3"/>
  <c r="F26" i="3"/>
  <c r="E26" i="3"/>
  <c r="D26" i="3"/>
  <c r="C26" i="3"/>
  <c r="H25" i="3"/>
  <c r="G25" i="3"/>
  <c r="F25" i="3"/>
  <c r="E25" i="3"/>
  <c r="D25" i="3"/>
  <c r="C25" i="3"/>
  <c r="H24" i="3"/>
  <c r="G24" i="3"/>
  <c r="F24" i="3"/>
  <c r="E24" i="3"/>
  <c r="D24" i="3"/>
  <c r="C24" i="3"/>
  <c r="H23" i="3"/>
  <c r="G23" i="3"/>
  <c r="F23" i="3"/>
  <c r="E23" i="3"/>
  <c r="D23" i="3"/>
  <c r="C23" i="3"/>
  <c r="H22" i="3"/>
  <c r="G22" i="3"/>
  <c r="F22" i="3"/>
  <c r="E22" i="3"/>
  <c r="D22" i="3"/>
  <c r="C22" i="3"/>
  <c r="H21" i="3"/>
  <c r="G21" i="3"/>
  <c r="F21" i="3"/>
  <c r="E21" i="3"/>
  <c r="D21" i="3"/>
  <c r="C21" i="3"/>
  <c r="H20" i="3"/>
  <c r="G20" i="3"/>
  <c r="F20" i="3"/>
  <c r="E20" i="3"/>
  <c r="D20" i="3"/>
  <c r="C20" i="3"/>
  <c r="H19" i="3"/>
  <c r="G19" i="3"/>
  <c r="F19" i="3"/>
  <c r="E19" i="3"/>
  <c r="D19" i="3"/>
  <c r="C19" i="3"/>
  <c r="H18" i="3"/>
  <c r="G18" i="3"/>
  <c r="F18" i="3"/>
  <c r="E18" i="3"/>
  <c r="D18" i="3"/>
  <c r="C18" i="3"/>
  <c r="H17" i="3"/>
  <c r="G17" i="3"/>
  <c r="F17" i="3"/>
  <c r="E17" i="3"/>
  <c r="D17" i="3"/>
  <c r="C17" i="3"/>
  <c r="H16" i="3"/>
  <c r="G16" i="3"/>
  <c r="F16" i="3"/>
  <c r="E16" i="3"/>
  <c r="D16" i="3"/>
  <c r="C16" i="3"/>
  <c r="P3" i="3"/>
  <c r="P4" i="3" s="1"/>
  <c r="P5" i="3" s="1"/>
  <c r="P6" i="3" s="1"/>
  <c r="P7" i="3" s="1"/>
  <c r="P8" i="3" s="1"/>
  <c r="P9" i="3" s="1"/>
  <c r="P10" i="3" s="1"/>
  <c r="P11" i="3" s="1"/>
  <c r="P12" i="3" s="1"/>
  <c r="P13" i="3" s="1"/>
  <c r="O3" i="3"/>
  <c r="O4" i="3" s="1"/>
  <c r="O5" i="3" s="1"/>
  <c r="O6" i="3" s="1"/>
  <c r="O7" i="3" s="1"/>
  <c r="O8" i="3" s="1"/>
  <c r="O9" i="3" s="1"/>
  <c r="O10" i="3" s="1"/>
  <c r="O11" i="3" s="1"/>
  <c r="O12" i="3" s="1"/>
  <c r="O13" i="3" s="1"/>
  <c r="N3" i="3"/>
  <c r="N4" i="3" s="1"/>
  <c r="N5" i="3" s="1"/>
  <c r="N6" i="3" s="1"/>
  <c r="N7" i="3" s="1"/>
  <c r="N8" i="3" s="1"/>
  <c r="N9" i="3" s="1"/>
  <c r="N10" i="3" s="1"/>
  <c r="N11" i="3" s="1"/>
  <c r="N12" i="3" s="1"/>
  <c r="N13" i="3" s="1"/>
  <c r="M3" i="3"/>
  <c r="M4" i="3" s="1"/>
  <c r="M5" i="3" s="1"/>
  <c r="M6" i="3" s="1"/>
  <c r="M7" i="3" s="1"/>
  <c r="M8" i="3" s="1"/>
  <c r="M9" i="3" s="1"/>
  <c r="M10" i="3" s="1"/>
  <c r="M11" i="3" s="1"/>
  <c r="M12" i="3" s="1"/>
  <c r="M13" i="3" s="1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K3" i="3"/>
  <c r="K4" i="3" s="1"/>
  <c r="K5" i="3" s="1"/>
  <c r="K6" i="3" s="1"/>
  <c r="K7" i="3" s="1"/>
  <c r="K8" i="3" s="1"/>
  <c r="K9" i="3" s="1"/>
  <c r="K10" i="3" s="1"/>
  <c r="K11" i="3" s="1"/>
  <c r="K12" i="3" s="1"/>
  <c r="K13" i="3" s="1"/>
  <c r="J3" i="3"/>
  <c r="H26" i="2"/>
  <c r="G26" i="2"/>
  <c r="F26" i="2"/>
  <c r="E26" i="2"/>
  <c r="D26" i="2"/>
  <c r="C26" i="2"/>
  <c r="H25" i="2"/>
  <c r="G25" i="2"/>
  <c r="F25" i="2"/>
  <c r="E25" i="2"/>
  <c r="D25" i="2"/>
  <c r="C25" i="2"/>
  <c r="H24" i="2"/>
  <c r="G24" i="2"/>
  <c r="F24" i="2"/>
  <c r="E24" i="2"/>
  <c r="D24" i="2"/>
  <c r="C24" i="2"/>
  <c r="H23" i="2"/>
  <c r="G23" i="2"/>
  <c r="F23" i="2"/>
  <c r="E23" i="2"/>
  <c r="D23" i="2"/>
  <c r="C23" i="2"/>
  <c r="H22" i="2"/>
  <c r="G22" i="2"/>
  <c r="F22" i="2"/>
  <c r="E22" i="2"/>
  <c r="D22" i="2"/>
  <c r="C22" i="2"/>
  <c r="H21" i="2"/>
  <c r="G21" i="2"/>
  <c r="F21" i="2"/>
  <c r="E21" i="2"/>
  <c r="D21" i="2"/>
  <c r="C21" i="2"/>
  <c r="H20" i="2"/>
  <c r="G20" i="2"/>
  <c r="F20" i="2"/>
  <c r="E20" i="2"/>
  <c r="D20" i="2"/>
  <c r="C20" i="2"/>
  <c r="H19" i="2"/>
  <c r="G19" i="2"/>
  <c r="F19" i="2"/>
  <c r="E19" i="2"/>
  <c r="D19" i="2"/>
  <c r="C19" i="2"/>
  <c r="H18" i="2"/>
  <c r="G18" i="2"/>
  <c r="F18" i="2"/>
  <c r="E18" i="2"/>
  <c r="D18" i="2"/>
  <c r="C18" i="2"/>
  <c r="H17" i="2"/>
  <c r="G17" i="2"/>
  <c r="F17" i="2"/>
  <c r="E17" i="2"/>
  <c r="D17" i="2"/>
  <c r="C17" i="2"/>
  <c r="H16" i="2"/>
  <c r="G16" i="2"/>
  <c r="F16" i="2"/>
  <c r="E16" i="2"/>
  <c r="D16" i="2"/>
  <c r="C16" i="2"/>
  <c r="P3" i="2"/>
  <c r="P4" i="2" s="1"/>
  <c r="P5" i="2" s="1"/>
  <c r="P6" i="2" s="1"/>
  <c r="P7" i="2" s="1"/>
  <c r="P8" i="2" s="1"/>
  <c r="P9" i="2" s="1"/>
  <c r="P10" i="2" s="1"/>
  <c r="P11" i="2" s="1"/>
  <c r="P12" i="2" s="1"/>
  <c r="K3" i="2"/>
  <c r="K4" i="2" s="1"/>
  <c r="K5" i="2" s="1"/>
  <c r="K6" i="2" s="1"/>
  <c r="K7" i="2" s="1"/>
  <c r="K8" i="2" s="1"/>
  <c r="K9" i="2" s="1"/>
  <c r="K10" i="2" s="1"/>
  <c r="K11" i="2" s="1"/>
  <c r="K12" i="2" s="1"/>
  <c r="J3" i="2"/>
  <c r="O3" i="2"/>
  <c r="O4" i="2" s="1"/>
  <c r="O5" i="2" s="1"/>
  <c r="O6" i="2" s="1"/>
  <c r="O7" i="2" s="1"/>
  <c r="O8" i="2" s="1"/>
  <c r="O9" i="2" s="1"/>
  <c r="O10" i="2" s="1"/>
  <c r="O11" i="2" s="1"/>
  <c r="O12" i="2" s="1"/>
  <c r="N3" i="2"/>
  <c r="N4" i="2" s="1"/>
  <c r="N5" i="2" s="1"/>
  <c r="N6" i="2" s="1"/>
  <c r="N7" i="2" s="1"/>
  <c r="N8" i="2" s="1"/>
  <c r="N9" i="2" s="1"/>
  <c r="N10" i="2" s="1"/>
  <c r="N11" i="2" s="1"/>
  <c r="N12" i="2" s="1"/>
  <c r="M3" i="2"/>
  <c r="M4" i="2" s="1"/>
  <c r="M5" i="2" s="1"/>
  <c r="M6" i="2" s="1"/>
  <c r="M7" i="2" s="1"/>
  <c r="M8" i="2" s="1"/>
  <c r="M9" i="2" s="1"/>
  <c r="M10" i="2" s="1"/>
  <c r="M11" i="2" s="1"/>
  <c r="M12" i="2" s="1"/>
  <c r="L3" i="2"/>
  <c r="L4" i="2" s="1"/>
  <c r="L5" i="2" s="1"/>
  <c r="L6" i="2" s="1"/>
  <c r="L7" i="2" s="1"/>
  <c r="L8" i="2" s="1"/>
  <c r="L9" i="2" s="1"/>
  <c r="L10" i="2" s="1"/>
  <c r="L11" i="2" s="1"/>
  <c r="L12" i="2" s="1"/>
  <c r="H13" i="1"/>
  <c r="G13" i="1"/>
  <c r="F13" i="1"/>
  <c r="E13" i="1"/>
  <c r="D13" i="1"/>
  <c r="C13" i="1"/>
  <c r="H12" i="1"/>
  <c r="G12" i="1"/>
  <c r="F12" i="1"/>
  <c r="E12" i="1"/>
  <c r="D12" i="1"/>
  <c r="C12" i="1"/>
  <c r="H11" i="1"/>
  <c r="G11" i="1"/>
  <c r="F11" i="1"/>
  <c r="E11" i="1"/>
  <c r="D11" i="1"/>
  <c r="C11" i="1"/>
  <c r="H10" i="1"/>
  <c r="G10" i="1"/>
  <c r="F10" i="1"/>
  <c r="E10" i="1"/>
  <c r="D10" i="1"/>
  <c r="C10" i="1"/>
  <c r="H9" i="1"/>
  <c r="G9" i="1"/>
  <c r="F9" i="1"/>
  <c r="E9" i="1"/>
  <c r="D9" i="1"/>
  <c r="C9" i="1"/>
  <c r="P3" i="1"/>
  <c r="P4" i="1" s="1"/>
  <c r="P5" i="1" s="1"/>
  <c r="P6" i="1" s="1"/>
  <c r="O3" i="1"/>
  <c r="O4" i="1" s="1"/>
  <c r="O5" i="1" s="1"/>
  <c r="O6" i="1" s="1"/>
  <c r="N3" i="1"/>
  <c r="N4" i="1" s="1"/>
  <c r="N5" i="1" s="1"/>
  <c r="N6" i="1" s="1"/>
  <c r="M3" i="1"/>
  <c r="M4" i="1" s="1"/>
  <c r="M5" i="1" s="1"/>
  <c r="M6" i="1" s="1"/>
  <c r="L3" i="1"/>
  <c r="L4" i="1" s="1"/>
  <c r="L5" i="1" s="1"/>
  <c r="L6" i="1" s="1"/>
  <c r="K3" i="1"/>
  <c r="K4" i="1" s="1"/>
  <c r="K5" i="1" s="1"/>
  <c r="K6" i="1" s="1"/>
  <c r="J3" i="1"/>
  <c r="J5" i="5" l="1"/>
  <c r="K20" i="5"/>
  <c r="P20" i="5"/>
  <c r="O20" i="5"/>
  <c r="N20" i="5"/>
  <c r="L20" i="5"/>
  <c r="M20" i="5"/>
  <c r="J4" i="2"/>
  <c r="O17" i="2"/>
  <c r="N17" i="2"/>
  <c r="M17" i="2"/>
  <c r="L17" i="2"/>
  <c r="K17" i="2"/>
  <c r="P17" i="2"/>
  <c r="J5" i="4"/>
  <c r="O16" i="4"/>
  <c r="N16" i="4"/>
  <c r="P16" i="4"/>
  <c r="M16" i="4"/>
  <c r="K16" i="4"/>
  <c r="L16" i="4"/>
  <c r="O36" i="9"/>
  <c r="P36" i="9"/>
  <c r="J15" i="9"/>
  <c r="K36" i="9"/>
  <c r="N36" i="9"/>
  <c r="L36" i="9"/>
  <c r="M36" i="9"/>
  <c r="M11" i="7"/>
  <c r="M12" i="7" s="1"/>
  <c r="N11" i="7"/>
  <c r="N12" i="7" s="1"/>
  <c r="P10" i="7"/>
  <c r="P11" i="7" s="1"/>
  <c r="P12" i="7" s="1"/>
  <c r="O10" i="7"/>
  <c r="O11" i="7" s="1"/>
  <c r="O12" i="7" s="1"/>
  <c r="M10" i="7"/>
  <c r="N10" i="7"/>
  <c r="L10" i="7"/>
  <c r="L11" i="7" s="1"/>
  <c r="L12" i="7" s="1"/>
  <c r="K10" i="7"/>
  <c r="K11" i="7" s="1"/>
  <c r="K12" i="7" s="1"/>
  <c r="J5" i="6"/>
  <c r="P18" i="6"/>
  <c r="O18" i="6"/>
  <c r="N18" i="6"/>
  <c r="M18" i="6"/>
  <c r="L18" i="6"/>
  <c r="K18" i="6"/>
  <c r="J4" i="3"/>
  <c r="L17" i="3"/>
  <c r="O17" i="3"/>
  <c r="N17" i="3"/>
  <c r="K17" i="3"/>
  <c r="M17" i="3"/>
  <c r="P17" i="3"/>
  <c r="J4" i="1"/>
  <c r="P10" i="1"/>
  <c r="O10" i="1"/>
  <c r="K10" i="1"/>
  <c r="N10" i="1"/>
  <c r="M10" i="1"/>
  <c r="L10" i="1"/>
  <c r="J6" i="5" l="1"/>
  <c r="M21" i="5"/>
  <c r="L21" i="5"/>
  <c r="K21" i="5"/>
  <c r="P21" i="5"/>
  <c r="O21" i="5"/>
  <c r="N21" i="5"/>
  <c r="J5" i="2"/>
  <c r="P18" i="2"/>
  <c r="O18" i="2"/>
  <c r="N18" i="2"/>
  <c r="M18" i="2"/>
  <c r="L18" i="2"/>
  <c r="K18" i="2"/>
  <c r="J6" i="4"/>
  <c r="M17" i="4"/>
  <c r="P17" i="4"/>
  <c r="K17" i="4"/>
  <c r="O17" i="4"/>
  <c r="N17" i="4"/>
  <c r="L17" i="4"/>
  <c r="L37" i="9"/>
  <c r="N37" i="9"/>
  <c r="O37" i="9"/>
  <c r="K37" i="9"/>
  <c r="J16" i="9"/>
  <c r="M37" i="9"/>
  <c r="P37" i="9"/>
  <c r="J6" i="6"/>
  <c r="O19" i="6"/>
  <c r="L19" i="6"/>
  <c r="K19" i="6"/>
  <c r="P19" i="6"/>
  <c r="N19" i="6"/>
  <c r="M19" i="6"/>
  <c r="J5" i="3"/>
  <c r="N18" i="3"/>
  <c r="O18" i="3"/>
  <c r="M18" i="3"/>
  <c r="L18" i="3"/>
  <c r="P18" i="3"/>
  <c r="K18" i="3"/>
  <c r="J5" i="1"/>
  <c r="K11" i="1"/>
  <c r="N11" i="1"/>
  <c r="P11" i="1"/>
  <c r="O11" i="1"/>
  <c r="M11" i="1"/>
  <c r="L11" i="1"/>
  <c r="J7" i="5" l="1"/>
  <c r="O22" i="5"/>
  <c r="N22" i="5"/>
  <c r="M22" i="5"/>
  <c r="L22" i="5"/>
  <c r="K22" i="5"/>
  <c r="P22" i="5"/>
  <c r="J6" i="2"/>
  <c r="K19" i="2"/>
  <c r="P19" i="2"/>
  <c r="O19" i="2"/>
  <c r="N19" i="2"/>
  <c r="M19" i="2"/>
  <c r="L19" i="2"/>
  <c r="J7" i="4"/>
  <c r="K18" i="4"/>
  <c r="L18" i="4"/>
  <c r="O18" i="4"/>
  <c r="N18" i="4"/>
  <c r="M18" i="4"/>
  <c r="P18" i="4"/>
  <c r="K38" i="9"/>
  <c r="L38" i="9"/>
  <c r="J17" i="9"/>
  <c r="O38" i="9"/>
  <c r="M38" i="9"/>
  <c r="N38" i="9"/>
  <c r="P38" i="9"/>
  <c r="J7" i="6"/>
  <c r="L20" i="6"/>
  <c r="K20" i="6"/>
  <c r="N20" i="6"/>
  <c r="M20" i="6"/>
  <c r="P20" i="6"/>
  <c r="O20" i="6"/>
  <c r="J6" i="3"/>
  <c r="P19" i="3"/>
  <c r="O19" i="3"/>
  <c r="K19" i="3"/>
  <c r="N19" i="3"/>
  <c r="M19" i="3"/>
  <c r="L19" i="3"/>
  <c r="J6" i="1"/>
  <c r="M12" i="1"/>
  <c r="L12" i="1"/>
  <c r="K12" i="1"/>
  <c r="O12" i="1"/>
  <c r="N12" i="1"/>
  <c r="P12" i="1"/>
  <c r="J8" i="5" l="1"/>
  <c r="P23" i="5"/>
  <c r="O23" i="5"/>
  <c r="N23" i="5"/>
  <c r="M23" i="5"/>
  <c r="L23" i="5"/>
  <c r="K23" i="5"/>
  <c r="J7" i="2"/>
  <c r="M20" i="2"/>
  <c r="L20" i="2"/>
  <c r="K20" i="2"/>
  <c r="N20" i="2"/>
  <c r="P20" i="2"/>
  <c r="O20" i="2"/>
  <c r="J8" i="4"/>
  <c r="M19" i="4"/>
  <c r="L19" i="4"/>
  <c r="K19" i="4"/>
  <c r="P19" i="4"/>
  <c r="O19" i="4"/>
  <c r="N19" i="4"/>
  <c r="M39" i="9"/>
  <c r="J18" i="9"/>
  <c r="N39" i="9"/>
  <c r="P39" i="9"/>
  <c r="L39" i="9"/>
  <c r="O39" i="9"/>
  <c r="K39" i="9"/>
  <c r="J8" i="6"/>
  <c r="N21" i="6"/>
  <c r="K21" i="6"/>
  <c r="P21" i="6"/>
  <c r="M21" i="6"/>
  <c r="L21" i="6"/>
  <c r="O21" i="6"/>
  <c r="J7" i="3"/>
  <c r="M20" i="3"/>
  <c r="L20" i="3"/>
  <c r="K20" i="3"/>
  <c r="P20" i="3"/>
  <c r="O20" i="3"/>
  <c r="N20" i="3"/>
  <c r="P13" i="1"/>
  <c r="P14" i="1" s="1"/>
  <c r="P15" i="1" s="1"/>
  <c r="O13" i="1"/>
  <c r="O14" i="1" s="1"/>
  <c r="O15" i="1" s="1"/>
  <c r="N13" i="1"/>
  <c r="N14" i="1" s="1"/>
  <c r="N15" i="1" s="1"/>
  <c r="M13" i="1"/>
  <c r="M14" i="1" s="1"/>
  <c r="M15" i="1" s="1"/>
  <c r="L13" i="1"/>
  <c r="L14" i="1" s="1"/>
  <c r="L15" i="1" s="1"/>
  <c r="K13" i="1"/>
  <c r="K14" i="1" s="1"/>
  <c r="K15" i="1" s="1"/>
  <c r="J9" i="5" l="1"/>
  <c r="K24" i="5"/>
  <c r="P24" i="5"/>
  <c r="O24" i="5"/>
  <c r="N24" i="5"/>
  <c r="L24" i="5"/>
  <c r="M24" i="5"/>
  <c r="J8" i="2"/>
  <c r="O21" i="2"/>
  <c r="N21" i="2"/>
  <c r="M21" i="2"/>
  <c r="L21" i="2"/>
  <c r="K21" i="2"/>
  <c r="P21" i="2"/>
  <c r="J9" i="4"/>
  <c r="O20" i="4"/>
  <c r="N20" i="4"/>
  <c r="P20" i="4"/>
  <c r="M20" i="4"/>
  <c r="L20" i="4"/>
  <c r="K20" i="4"/>
  <c r="O40" i="9"/>
  <c r="P40" i="9"/>
  <c r="L40" i="9"/>
  <c r="M40" i="9"/>
  <c r="J19" i="9"/>
  <c r="K40" i="9"/>
  <c r="N40" i="9"/>
  <c r="J9" i="6"/>
  <c r="P22" i="6"/>
  <c r="O22" i="6"/>
  <c r="N22" i="6"/>
  <c r="M22" i="6"/>
  <c r="L22" i="6"/>
  <c r="K22" i="6"/>
  <c r="J8" i="3"/>
  <c r="L21" i="3"/>
  <c r="N21" i="3"/>
  <c r="M21" i="3"/>
  <c r="K21" i="3"/>
  <c r="O21" i="3"/>
  <c r="P21" i="3"/>
  <c r="J10" i="5" l="1"/>
  <c r="M25" i="5"/>
  <c r="L25" i="5"/>
  <c r="K25" i="5"/>
  <c r="P25" i="5"/>
  <c r="O25" i="5"/>
  <c r="N25" i="5"/>
  <c r="J9" i="2"/>
  <c r="P22" i="2"/>
  <c r="O22" i="2"/>
  <c r="N22" i="2"/>
  <c r="M22" i="2"/>
  <c r="L22" i="2"/>
  <c r="K22" i="2"/>
  <c r="J10" i="4"/>
  <c r="L21" i="4"/>
  <c r="P21" i="4"/>
  <c r="M21" i="4"/>
  <c r="K21" i="4"/>
  <c r="O21" i="4"/>
  <c r="N21" i="4"/>
  <c r="M41" i="9"/>
  <c r="P41" i="9"/>
  <c r="K41" i="9"/>
  <c r="L41" i="9"/>
  <c r="N41" i="9"/>
  <c r="O41" i="9"/>
  <c r="J20" i="9"/>
  <c r="J10" i="6"/>
  <c r="O23" i="6"/>
  <c r="L23" i="6"/>
  <c r="P23" i="6"/>
  <c r="K23" i="6"/>
  <c r="N23" i="6"/>
  <c r="M23" i="6"/>
  <c r="J9" i="3"/>
  <c r="N22" i="3"/>
  <c r="M22" i="3"/>
  <c r="L22" i="3"/>
  <c r="K22" i="3"/>
  <c r="P22" i="3"/>
  <c r="O22" i="3"/>
  <c r="J11" i="5" l="1"/>
  <c r="O26" i="5"/>
  <c r="N26" i="5"/>
  <c r="M26" i="5"/>
  <c r="L26" i="5"/>
  <c r="K26" i="5"/>
  <c r="P26" i="5"/>
  <c r="J10" i="2"/>
  <c r="K23" i="2"/>
  <c r="P23" i="2"/>
  <c r="O23" i="2"/>
  <c r="N23" i="2"/>
  <c r="L23" i="2"/>
  <c r="M23" i="2"/>
  <c r="J11" i="4"/>
  <c r="K22" i="4"/>
  <c r="M22" i="4"/>
  <c r="L22" i="4"/>
  <c r="N22" i="4"/>
  <c r="P22" i="4"/>
  <c r="O22" i="4"/>
  <c r="K42" i="9"/>
  <c r="J21" i="9"/>
  <c r="L42" i="9"/>
  <c r="N42" i="9"/>
  <c r="M42" i="9"/>
  <c r="O42" i="9"/>
  <c r="P42" i="9"/>
  <c r="J11" i="6"/>
  <c r="L24" i="6"/>
  <c r="K24" i="6"/>
  <c r="M24" i="6"/>
  <c r="P24" i="6"/>
  <c r="O24" i="6"/>
  <c r="N24" i="6"/>
  <c r="J10" i="3"/>
  <c r="P23" i="3"/>
  <c r="O23" i="3"/>
  <c r="L23" i="3"/>
  <c r="N23" i="3"/>
  <c r="K23" i="3"/>
  <c r="M23" i="3"/>
  <c r="J12" i="5" l="1"/>
  <c r="P27" i="5"/>
  <c r="O27" i="5"/>
  <c r="N27" i="5"/>
  <c r="M27" i="5"/>
  <c r="L27" i="5"/>
  <c r="K27" i="5"/>
  <c r="J11" i="2"/>
  <c r="M24" i="2"/>
  <c r="L24" i="2"/>
  <c r="K24" i="2"/>
  <c r="P24" i="2"/>
  <c r="O24" i="2"/>
  <c r="N24" i="2"/>
  <c r="M23" i="4"/>
  <c r="M24" i="4" s="1"/>
  <c r="M25" i="4" s="1"/>
  <c r="L23" i="4"/>
  <c r="L24" i="4" s="1"/>
  <c r="L25" i="4" s="1"/>
  <c r="P23" i="4"/>
  <c r="P24" i="4" s="1"/>
  <c r="P25" i="4" s="1"/>
  <c r="K23" i="4"/>
  <c r="K24" i="4" s="1"/>
  <c r="K25" i="4" s="1"/>
  <c r="O23" i="4"/>
  <c r="O24" i="4" s="1"/>
  <c r="O25" i="4" s="1"/>
  <c r="N23" i="4"/>
  <c r="N24" i="4" s="1"/>
  <c r="N25" i="4" s="1"/>
  <c r="M43" i="9"/>
  <c r="M44" i="9" s="1"/>
  <c r="M45" i="9" s="1"/>
  <c r="N43" i="9"/>
  <c r="N44" i="9" s="1"/>
  <c r="N45" i="9" s="1"/>
  <c r="K43" i="9"/>
  <c r="K44" i="9" s="1"/>
  <c r="K45" i="9" s="1"/>
  <c r="O43" i="9"/>
  <c r="O44" i="9" s="1"/>
  <c r="O45" i="9" s="1"/>
  <c r="P43" i="9"/>
  <c r="P44" i="9" s="1"/>
  <c r="P45" i="9" s="1"/>
  <c r="L43" i="9"/>
  <c r="L44" i="9" s="1"/>
  <c r="L45" i="9" s="1"/>
  <c r="J12" i="6"/>
  <c r="N25" i="6"/>
  <c r="O25" i="6"/>
  <c r="M25" i="6"/>
  <c r="L25" i="6"/>
  <c r="K25" i="6"/>
  <c r="P25" i="6"/>
  <c r="J11" i="3"/>
  <c r="N24" i="3"/>
  <c r="L24" i="3"/>
  <c r="M24" i="3"/>
  <c r="P24" i="3"/>
  <c r="K24" i="3"/>
  <c r="O24" i="3"/>
  <c r="J13" i="5" l="1"/>
  <c r="K28" i="5"/>
  <c r="P28" i="5"/>
  <c r="O28" i="5"/>
  <c r="N28" i="5"/>
  <c r="L28" i="5"/>
  <c r="M28" i="5"/>
  <c r="J12" i="2"/>
  <c r="O25" i="2"/>
  <c r="N25" i="2"/>
  <c r="M25" i="2"/>
  <c r="L25" i="2"/>
  <c r="K25" i="2"/>
  <c r="P25" i="2"/>
  <c r="P26" i="6"/>
  <c r="P27" i="6" s="1"/>
  <c r="P28" i="6" s="1"/>
  <c r="O26" i="6"/>
  <c r="O27" i="6" s="1"/>
  <c r="O28" i="6" s="1"/>
  <c r="M26" i="6"/>
  <c r="M27" i="6" s="1"/>
  <c r="M28" i="6" s="1"/>
  <c r="N26" i="6"/>
  <c r="N27" i="6" s="1"/>
  <c r="N28" i="6" s="1"/>
  <c r="L26" i="6"/>
  <c r="L27" i="6" s="1"/>
  <c r="L28" i="6" s="1"/>
  <c r="K26" i="6"/>
  <c r="K27" i="6" s="1"/>
  <c r="K28" i="6" s="1"/>
  <c r="J12" i="3"/>
  <c r="L25" i="3"/>
  <c r="M25" i="3"/>
  <c r="K25" i="3"/>
  <c r="N25" i="3"/>
  <c r="P25" i="3"/>
  <c r="O25" i="3"/>
  <c r="J14" i="5" l="1"/>
  <c r="M29" i="5"/>
  <c r="L29" i="5"/>
  <c r="K29" i="5"/>
  <c r="P29" i="5"/>
  <c r="O29" i="5"/>
  <c r="N29" i="5"/>
  <c r="P26" i="2"/>
  <c r="P27" i="2" s="1"/>
  <c r="P28" i="2" s="1"/>
  <c r="O26" i="2"/>
  <c r="O27" i="2" s="1"/>
  <c r="O28" i="2" s="1"/>
  <c r="N26" i="2"/>
  <c r="N27" i="2" s="1"/>
  <c r="N28" i="2" s="1"/>
  <c r="M26" i="2"/>
  <c r="M27" i="2" s="1"/>
  <c r="M28" i="2" s="1"/>
  <c r="L26" i="2"/>
  <c r="L27" i="2" s="1"/>
  <c r="L28" i="2" s="1"/>
  <c r="K26" i="2"/>
  <c r="K27" i="2" s="1"/>
  <c r="K28" i="2" s="1"/>
  <c r="J13" i="3"/>
  <c r="N26" i="3"/>
  <c r="M26" i="3"/>
  <c r="O26" i="3"/>
  <c r="L26" i="3"/>
  <c r="P26" i="3"/>
  <c r="K26" i="3"/>
  <c r="J15" i="5" l="1"/>
  <c r="O30" i="5"/>
  <c r="N30" i="5"/>
  <c r="M30" i="5"/>
  <c r="L30" i="5"/>
  <c r="K30" i="5"/>
  <c r="P30" i="5"/>
  <c r="P27" i="3"/>
  <c r="P28" i="3" s="1"/>
  <c r="P29" i="3" s="1"/>
  <c r="K27" i="3"/>
  <c r="K28" i="3" s="1"/>
  <c r="K29" i="3" s="1"/>
  <c r="O27" i="3"/>
  <c r="O28" i="3" s="1"/>
  <c r="O29" i="3" s="1"/>
  <c r="N27" i="3"/>
  <c r="N28" i="3" s="1"/>
  <c r="N29" i="3" s="1"/>
  <c r="M27" i="3"/>
  <c r="M28" i="3" s="1"/>
  <c r="M29" i="3" s="1"/>
  <c r="L27" i="3"/>
  <c r="L28" i="3" s="1"/>
  <c r="L29" i="3" s="1"/>
  <c r="P31" i="5" l="1"/>
  <c r="P32" i="5" s="1"/>
  <c r="P33" i="5" s="1"/>
  <c r="O31" i="5"/>
  <c r="O32" i="5" s="1"/>
  <c r="O33" i="5" s="1"/>
  <c r="N31" i="5"/>
  <c r="N32" i="5" s="1"/>
  <c r="N33" i="5" s="1"/>
  <c r="M31" i="5"/>
  <c r="M32" i="5" s="1"/>
  <c r="M33" i="5" s="1"/>
  <c r="L31" i="5"/>
  <c r="L32" i="5" s="1"/>
  <c r="L33" i="5" s="1"/>
  <c r="K31" i="5"/>
  <c r="K32" i="5" s="1"/>
  <c r="K33" i="5" s="1"/>
</calcChain>
</file>

<file path=xl/sharedStrings.xml><?xml version="1.0" encoding="utf-8"?>
<sst xmlns="http://schemas.openxmlformats.org/spreadsheetml/2006/main" count="565" uniqueCount="117">
  <si>
    <t>ALÉM PARAÍBA</t>
  </si>
  <si>
    <t>ESTRELA DALVA</t>
  </si>
  <si>
    <t>PIRAPETINGA</t>
  </si>
  <si>
    <t>SANTO ANTÔNIO DO AVENTUREIRO</t>
  </si>
  <si>
    <t>VOLTA GRANDE</t>
  </si>
  <si>
    <t>CARANGOLA</t>
  </si>
  <si>
    <t>CAIANA</t>
  </si>
  <si>
    <t>CAPARAÓ</t>
  </si>
  <si>
    <t>DIVINO</t>
  </si>
  <si>
    <t>ESPERA FELIZ</t>
  </si>
  <si>
    <t>FARIA LEMOS</t>
  </si>
  <si>
    <t>FERVEDOURO</t>
  </si>
  <si>
    <t>ORIZÂNIA</t>
  </si>
  <si>
    <t>PEDRA BONITA</t>
  </si>
  <si>
    <t>PEDRA DOURADA</t>
  </si>
  <si>
    <t>TOMBOS</t>
  </si>
  <si>
    <t>JUIZ DE FORA</t>
  </si>
  <si>
    <t>BELMIRO BRAGA</t>
  </si>
  <si>
    <t>CHÁCARA</t>
  </si>
  <si>
    <t>CHIADOR</t>
  </si>
  <si>
    <t>CORONEL PACHECO</t>
  </si>
  <si>
    <t>EWBANK DA CÂMARA</t>
  </si>
  <si>
    <t>GOIANÁ</t>
  </si>
  <si>
    <t>MATIAS BARBOSA</t>
  </si>
  <si>
    <t>PIAU</t>
  </si>
  <si>
    <t>RIO NOVO</t>
  </si>
  <si>
    <t>SANTANA DO DESERTO</t>
  </si>
  <si>
    <t>SIMÃO PEREIRA</t>
  </si>
  <si>
    <t>ARGIRITA</t>
  </si>
  <si>
    <t>ASTOLFO DUTRA</t>
  </si>
  <si>
    <t>CATAGUASES</t>
  </si>
  <si>
    <t>DONA EUZÉBIA</t>
  </si>
  <si>
    <t>ITAMARATI DE MINAS</t>
  </si>
  <si>
    <t>LARANJAL</t>
  </si>
  <si>
    <t>LEOPOLDINA</t>
  </si>
  <si>
    <t>PALMA</t>
  </si>
  <si>
    <t>RECREIO</t>
  </si>
  <si>
    <t>SANTANA DE CATAGUASES</t>
  </si>
  <si>
    <t>LIMA DUARTE</t>
  </si>
  <si>
    <t>ANDRELÂNDIA</t>
  </si>
  <si>
    <t>ARANTINA</t>
  </si>
  <si>
    <t>BIAS FORTES</t>
  </si>
  <si>
    <t>BOCAINA DE MINAS</t>
  </si>
  <si>
    <t>BOM JARDIM DE MINAS</t>
  </si>
  <si>
    <t>LIBERDADE</t>
  </si>
  <si>
    <t>OLARIA</t>
  </si>
  <si>
    <t>PASSA VINTE</t>
  </si>
  <si>
    <t>PEDRO TEIXEIRA</t>
  </si>
  <si>
    <t>RIO PRETO</t>
  </si>
  <si>
    <t>SANTA BÁRBARA DO MONTE VERDE</t>
  </si>
  <si>
    <t>SANTA RITA DE JACUTINGA</t>
  </si>
  <si>
    <t>MURIAÉ</t>
  </si>
  <si>
    <t>ANTÔNIO PRADO DE MINAS</t>
  </si>
  <si>
    <t>BARÃO DE MONTE ALTO</t>
  </si>
  <si>
    <t>EUGENÓPOLIS</t>
  </si>
  <si>
    <t>MIRADOURO</t>
  </si>
  <si>
    <t>MIRAÍ</t>
  </si>
  <si>
    <t>PATROCÍNIO DO MURIAÉ</t>
  </si>
  <si>
    <t>ROSÁRIO DA LIMEIRA</t>
  </si>
  <si>
    <t>SÃO FRANCISCO DO GLÓRIA</t>
  </si>
  <si>
    <t>SÃO SEBASTIÃO DA VARGEM ALEGRE</t>
  </si>
  <si>
    <t>VIEIRAS</t>
  </si>
  <si>
    <t>SANTOS DUMONT</t>
  </si>
  <si>
    <t>ARACITABA</t>
  </si>
  <si>
    <t>OLIVEIRA FORTES</t>
  </si>
  <si>
    <t>BICAS</t>
  </si>
  <si>
    <t>DESCOBERTO</t>
  </si>
  <si>
    <t>GUARARÁ</t>
  </si>
  <si>
    <t>MAR DE ESPANHA</t>
  </si>
  <si>
    <t>MARIPÁ DE MINAS</t>
  </si>
  <si>
    <t>PEQUERI</t>
  </si>
  <si>
    <t>ROCHEDO DE MINAS</t>
  </si>
  <si>
    <t>SÃO JOÃO NEPOMUCENO</t>
  </si>
  <si>
    <t>SENADOR CORTES</t>
  </si>
  <si>
    <t>UBÁ</t>
  </si>
  <si>
    <t>BRÁS PIRES</t>
  </si>
  <si>
    <t>COIMBRA</t>
  </si>
  <si>
    <t>DIVINÉSIA</t>
  </si>
  <si>
    <t>DORES DO TURVO</t>
  </si>
  <si>
    <t>ERVÁLIA</t>
  </si>
  <si>
    <t>GUARANI</t>
  </si>
  <si>
    <t>GUIDOVAL</t>
  </si>
  <si>
    <t>GUIRICEMA</t>
  </si>
  <si>
    <t>MERCÊS</t>
  </si>
  <si>
    <t>PIRAÚBA</t>
  </si>
  <si>
    <t>PRESIDENTE BERNARDES</t>
  </si>
  <si>
    <t>RIO POMBA</t>
  </si>
  <si>
    <t>RODEIRO</t>
  </si>
  <si>
    <t>SÃO GERALDO</t>
  </si>
  <si>
    <t>SENADOR FIRMINO</t>
  </si>
  <si>
    <t>SILVEIRÂNIA</t>
  </si>
  <si>
    <t>TABULEIRO</t>
  </si>
  <si>
    <t>TOCANTINS</t>
  </si>
  <si>
    <t>VISCONDE DO RIO BRANCO</t>
  </si>
  <si>
    <t>MUNICÍPIO</t>
  </si>
  <si>
    <t>Pop</t>
  </si>
  <si>
    <t>Prod 2019</t>
  </si>
  <si>
    <t>Prod 2020</t>
  </si>
  <si>
    <t>Prod 2021</t>
  </si>
  <si>
    <t>Prod 2022</t>
  </si>
  <si>
    <t>Prod 2023-1-2</t>
  </si>
  <si>
    <t>Prod 2023-3</t>
  </si>
  <si>
    <t>Dif 2019</t>
  </si>
  <si>
    <t>Dif 2020</t>
  </si>
  <si>
    <t>Dif 2021</t>
  </si>
  <si>
    <t>Dif 2022</t>
  </si>
  <si>
    <t>Dif 2023 1-2</t>
  </si>
  <si>
    <t>Dif 2023 3</t>
  </si>
  <si>
    <t>area_2019</t>
  </si>
  <si>
    <t>area_2020</t>
  </si>
  <si>
    <t>area_2021</t>
  </si>
  <si>
    <t>area_2022</t>
  </si>
  <si>
    <t>area_2023-1-2</t>
  </si>
  <si>
    <t>area_2023-3</t>
  </si>
  <si>
    <t>SOMA_ÁREAS</t>
  </si>
  <si>
    <t>GINI (1-ÁREA)</t>
  </si>
  <si>
    <t>SÃO DOMINGOS DO PRATA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</si>
</sst>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0" fillId="0" borderId="1" xfId="0" applyBorder="1"/>
    <xf numFmtId="2" fontId="0" fillId="0" borderId="1" xfId="0" applyNumberFormat="1" applyBorder="1"/>
    <xf numFmtId="0" fontId="0" fillId="8" borderId="1" xfId="0" applyFill="1" applyBorder="1"/>
    <xf numFmtId="0" fontId="2" fillId="7" borderId="1" xfId="0" applyFont="1" applyFill="1" applyBorder="1"/>
    <xf numFmtId="0" fontId="0" fillId="8" borderId="1" xfId="0" applyFill="1" applyBorder="1" applyAlignment="1">
      <alignment horizontal="left" indent="2"/>
    </xf>
    <xf numFmtId="0" fontId="2" fillId="7" borderId="1" xfId="0" applyFont="1" applyFill="1" applyBorder="1" applyAlignment="1">
      <alignment horizontal="left" indent="2"/>
    </xf>
    <xf numFmtId="2" fontId="0" fillId="0" borderId="2" xfId="0" applyNumberFormat="1" applyBorder="1"/>
    <xf numFmtId="2" fontId="0" fillId="0" borderId="1" xfId="1" applyNumberFormat="1" applyFont="1" applyBorder="1"/>
    <xf numFmtId="0" fontId="0" fillId="0" borderId="1" xfId="0" applyBorder="1" applyAlignment="1">
      <alignment horizontal="left" indent="2"/>
    </xf>
    <xf numFmtId="10" fontId="0" fillId="0" borderId="1" xfId="0" applyNumberFormat="1" applyBorder="1" applyAlignment="1">
      <alignment vertical="center" wrapText="1"/>
    </xf>
    <xf numFmtId="0" fontId="0" fillId="0" borderId="0" xfId="0" applyAlignment="1">
      <alignment horizontal="left" indent="2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'ALÉM PARAÍBA'!$J$1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'ALÉM PARAÍBA'!$I$2:$I$6</c:f>
              <c:numCache>
                <c:formatCode>0.00</c:formatCode>
                <c:ptCount val="5"/>
                <c:pt idx="0">
                  <c:v>4.0202755665487991E-2</c:v>
                </c:pt>
                <c:pt idx="1">
                  <c:v>0.10294553118848961</c:v>
                </c:pt>
                <c:pt idx="2">
                  <c:v>0.19474298454946087</c:v>
                </c:pt>
                <c:pt idx="3">
                  <c:v>0.38271002804438325</c:v>
                </c:pt>
                <c:pt idx="4">
                  <c:v>1</c:v>
                </c:pt>
              </c:numCache>
            </c:numRef>
          </c:xVal>
          <c:yVal>
            <c:numRef>
              <c:f>'ALÉM PARAÍBA'!$J$2:$J$6</c:f>
              <c:numCache>
                <c:formatCode>0.00</c:formatCode>
                <c:ptCount val="5"/>
                <c:pt idx="0">
                  <c:v>4.0202755665487991E-2</c:v>
                </c:pt>
                <c:pt idx="1">
                  <c:v>0.10294553118848961</c:v>
                </c:pt>
                <c:pt idx="2">
                  <c:v>0.19474298454946087</c:v>
                </c:pt>
                <c:pt idx="3">
                  <c:v>0.38271002804438325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50-437F-977F-AC0A0AA9D7F5}"/>
            </c:ext>
          </c:extLst>
        </c:ser>
        <c:ser>
          <c:idx val="1"/>
          <c:order val="1"/>
          <c:tx>
            <c:strRef>
              <c:f>'ALÉM PARAÍBA'!$K$1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'ALÉM PARAÍBA'!$I$2:$I$6</c:f>
              <c:numCache>
                <c:formatCode>0.00</c:formatCode>
                <c:ptCount val="5"/>
                <c:pt idx="0">
                  <c:v>4.0202755665487991E-2</c:v>
                </c:pt>
                <c:pt idx="1">
                  <c:v>0.10294553118848961</c:v>
                </c:pt>
                <c:pt idx="2">
                  <c:v>0.19474298454946087</c:v>
                </c:pt>
                <c:pt idx="3">
                  <c:v>0.38271002804438325</c:v>
                </c:pt>
                <c:pt idx="4">
                  <c:v>1</c:v>
                </c:pt>
              </c:numCache>
            </c:numRef>
          </c:xVal>
          <c:yVal>
            <c:numRef>
              <c:f>'ALÉM PARAÍBA'!$K$2:$K$6</c:f>
              <c:numCache>
                <c:formatCode>0.00</c:formatCode>
                <c:ptCount val="5"/>
                <c:pt idx="0">
                  <c:v>2.7027027027027029E-2</c:v>
                </c:pt>
                <c:pt idx="1">
                  <c:v>0.10810810810810811</c:v>
                </c:pt>
                <c:pt idx="2">
                  <c:v>0.1891891891891892</c:v>
                </c:pt>
                <c:pt idx="3">
                  <c:v>0.3783783783783784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550-437F-977F-AC0A0AA9D7F5}"/>
            </c:ext>
          </c:extLst>
        </c:ser>
        <c:ser>
          <c:idx val="2"/>
          <c:order val="2"/>
          <c:tx>
            <c:strRef>
              <c:f>'ALÉM PARAÍBA'!$L$1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'ALÉM PARAÍBA'!$I$2:$I$6</c:f>
              <c:numCache>
                <c:formatCode>0.00</c:formatCode>
                <c:ptCount val="5"/>
                <c:pt idx="0">
                  <c:v>4.0202755665487991E-2</c:v>
                </c:pt>
                <c:pt idx="1">
                  <c:v>0.10294553118848961</c:v>
                </c:pt>
                <c:pt idx="2">
                  <c:v>0.19474298454946087</c:v>
                </c:pt>
                <c:pt idx="3">
                  <c:v>0.38271002804438325</c:v>
                </c:pt>
                <c:pt idx="4">
                  <c:v>1</c:v>
                </c:pt>
              </c:numCache>
            </c:numRef>
          </c:xVal>
          <c:yVal>
            <c:numRef>
              <c:f>'ALÉM PARAÍBA'!$L$2:$L$6</c:f>
              <c:numCache>
                <c:formatCode>0.00</c:formatCode>
                <c:ptCount val="5"/>
                <c:pt idx="0">
                  <c:v>4.7619047619047616E-2</c:v>
                </c:pt>
                <c:pt idx="1">
                  <c:v>9.5238095238095233E-2</c:v>
                </c:pt>
                <c:pt idx="2">
                  <c:v>0.14285714285714285</c:v>
                </c:pt>
                <c:pt idx="3">
                  <c:v>0.23809523809523808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550-437F-977F-AC0A0AA9D7F5}"/>
            </c:ext>
          </c:extLst>
        </c:ser>
        <c:ser>
          <c:idx val="3"/>
          <c:order val="3"/>
          <c:tx>
            <c:strRef>
              <c:f>'ALÉM PARAÍBA'!$M$1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'ALÉM PARAÍBA'!$I$2:$I$6</c:f>
              <c:numCache>
                <c:formatCode>0.00</c:formatCode>
                <c:ptCount val="5"/>
                <c:pt idx="0">
                  <c:v>4.0202755665487991E-2</c:v>
                </c:pt>
                <c:pt idx="1">
                  <c:v>0.10294553118848961</c:v>
                </c:pt>
                <c:pt idx="2">
                  <c:v>0.19474298454946087</c:v>
                </c:pt>
                <c:pt idx="3">
                  <c:v>0.38271002804438325</c:v>
                </c:pt>
                <c:pt idx="4">
                  <c:v>1</c:v>
                </c:pt>
              </c:numCache>
            </c:numRef>
          </c:xVal>
          <c:yVal>
            <c:numRef>
              <c:f>'ALÉM PARAÍBA'!$M$2:$M$6</c:f>
              <c:numCache>
                <c:formatCode>0.00</c:formatCode>
                <c:ptCount val="5"/>
                <c:pt idx="0">
                  <c:v>0</c:v>
                </c:pt>
                <c:pt idx="1">
                  <c:v>0.2</c:v>
                </c:pt>
                <c:pt idx="2">
                  <c:v>0.35</c:v>
                </c:pt>
                <c:pt idx="3">
                  <c:v>0.44999999999999996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550-437F-977F-AC0A0AA9D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359184"/>
        <c:axId val="388353424"/>
      </c:scatterChart>
      <c:valAx>
        <c:axId val="38835918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8353424"/>
        <c:crosses val="autoZero"/>
        <c:crossBetween val="midCat"/>
      </c:valAx>
      <c:valAx>
        <c:axId val="38835342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8359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'ALÉM PARAÍBA'!$J$1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'ALÉM PARAÍBA'!$I$2:$I$6</c:f>
              <c:numCache>
                <c:formatCode>0.00</c:formatCode>
                <c:ptCount val="5"/>
                <c:pt idx="0">
                  <c:v>4.0202755665487991E-2</c:v>
                </c:pt>
                <c:pt idx="1">
                  <c:v>0.10294553118848961</c:v>
                </c:pt>
                <c:pt idx="2">
                  <c:v>0.19474298454946087</c:v>
                </c:pt>
                <c:pt idx="3">
                  <c:v>0.38271002804438325</c:v>
                </c:pt>
                <c:pt idx="4">
                  <c:v>1</c:v>
                </c:pt>
              </c:numCache>
            </c:numRef>
          </c:xVal>
          <c:yVal>
            <c:numRef>
              <c:f>'ALÉM PARAÍBA'!$J$2:$J$6</c:f>
              <c:numCache>
                <c:formatCode>0.00</c:formatCode>
                <c:ptCount val="5"/>
                <c:pt idx="0">
                  <c:v>4.0202755665487991E-2</c:v>
                </c:pt>
                <c:pt idx="1">
                  <c:v>0.10294553118848961</c:v>
                </c:pt>
                <c:pt idx="2">
                  <c:v>0.19474298454946087</c:v>
                </c:pt>
                <c:pt idx="3">
                  <c:v>0.38271002804438325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36-46A1-BAAC-B65B4FF36EA3}"/>
            </c:ext>
          </c:extLst>
        </c:ser>
        <c:ser>
          <c:idx val="1"/>
          <c:order val="1"/>
          <c:tx>
            <c:strRef>
              <c:f>'ALÉM PARAÍBA'!$N$1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'ALÉM PARAÍBA'!$I$2:$I$6</c:f>
              <c:numCache>
                <c:formatCode>0.00</c:formatCode>
                <c:ptCount val="5"/>
                <c:pt idx="0">
                  <c:v>4.0202755665487991E-2</c:v>
                </c:pt>
                <c:pt idx="1">
                  <c:v>0.10294553118848961</c:v>
                </c:pt>
                <c:pt idx="2">
                  <c:v>0.19474298454946087</c:v>
                </c:pt>
                <c:pt idx="3">
                  <c:v>0.38271002804438325</c:v>
                </c:pt>
                <c:pt idx="4">
                  <c:v>1</c:v>
                </c:pt>
              </c:numCache>
            </c:numRef>
          </c:xVal>
          <c:yVal>
            <c:numRef>
              <c:f>'ALÉM PARAÍBA'!$N$2:$N$6</c:f>
              <c:numCache>
                <c:formatCode>0.00</c:formatCode>
                <c:ptCount val="5"/>
                <c:pt idx="0">
                  <c:v>2.0833333333333332E-2</c:v>
                </c:pt>
                <c:pt idx="1">
                  <c:v>4.1666666666666664E-2</c:v>
                </c:pt>
                <c:pt idx="2">
                  <c:v>0.125</c:v>
                </c:pt>
                <c:pt idx="3">
                  <c:v>0.16666666666666666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D36-46A1-BAAC-B65B4FF36EA3}"/>
            </c:ext>
          </c:extLst>
        </c:ser>
        <c:ser>
          <c:idx val="2"/>
          <c:order val="2"/>
          <c:tx>
            <c:strRef>
              <c:f>'ALÉM PARAÍBA'!$O$1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'ALÉM PARAÍBA'!$I$2:$I$6</c:f>
              <c:numCache>
                <c:formatCode>0.00</c:formatCode>
                <c:ptCount val="5"/>
                <c:pt idx="0">
                  <c:v>4.0202755665487991E-2</c:v>
                </c:pt>
                <c:pt idx="1">
                  <c:v>0.10294553118848961</c:v>
                </c:pt>
                <c:pt idx="2">
                  <c:v>0.19474298454946087</c:v>
                </c:pt>
                <c:pt idx="3">
                  <c:v>0.38271002804438325</c:v>
                </c:pt>
                <c:pt idx="4">
                  <c:v>1</c:v>
                </c:pt>
              </c:numCache>
            </c:numRef>
          </c:xVal>
          <c:yVal>
            <c:numRef>
              <c:f>'ALÉM PARAÍBA'!$O$2:$O$6</c:f>
              <c:numCache>
                <c:formatCode>0.00</c:formatCode>
                <c:ptCount val="5"/>
                <c:pt idx="0">
                  <c:v>0</c:v>
                </c:pt>
                <c:pt idx="1">
                  <c:v>0.14285714285714285</c:v>
                </c:pt>
                <c:pt idx="2">
                  <c:v>0.2857142857142857</c:v>
                </c:pt>
                <c:pt idx="3">
                  <c:v>0.34285714285714286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D36-46A1-BAAC-B65B4FF36EA3}"/>
            </c:ext>
          </c:extLst>
        </c:ser>
        <c:ser>
          <c:idx val="3"/>
          <c:order val="3"/>
          <c:tx>
            <c:strRef>
              <c:f>'ALÉM PARAÍBA'!$P$1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'ALÉM PARAÍBA'!$I$2:$I$6</c:f>
              <c:numCache>
                <c:formatCode>0.00</c:formatCode>
                <c:ptCount val="5"/>
                <c:pt idx="0">
                  <c:v>4.0202755665487991E-2</c:v>
                </c:pt>
                <c:pt idx="1">
                  <c:v>0.10294553118848961</c:v>
                </c:pt>
                <c:pt idx="2">
                  <c:v>0.19474298454946087</c:v>
                </c:pt>
                <c:pt idx="3">
                  <c:v>0.38271002804438325</c:v>
                </c:pt>
                <c:pt idx="4">
                  <c:v>1</c:v>
                </c:pt>
              </c:numCache>
            </c:numRef>
          </c:xVal>
          <c:yVal>
            <c:numRef>
              <c:f>'ALÉM PARAÍBA'!$P$2:$P$6</c:f>
              <c:numCache>
                <c:formatCode>0.00</c:formatCode>
                <c:ptCount val="5"/>
                <c:pt idx="0">
                  <c:v>0</c:v>
                </c:pt>
                <c:pt idx="1">
                  <c:v>7.407407407407407E-2</c:v>
                </c:pt>
                <c:pt idx="2">
                  <c:v>7.407407407407407E-2</c:v>
                </c:pt>
                <c:pt idx="3">
                  <c:v>0.1111111111111111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D36-46A1-BAAC-B65B4FF36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387488"/>
        <c:axId val="388102384"/>
      </c:scatterChart>
      <c:valAx>
        <c:axId val="19538748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8102384"/>
        <c:crosses val="autoZero"/>
        <c:crossBetween val="midCat"/>
      </c:valAx>
      <c:valAx>
        <c:axId val="3881023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387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CARANGOLA!$J$1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CARANGOLA!$I$2:$I$12</c:f>
              <c:numCache>
                <c:formatCode>0.00</c:formatCode>
                <c:ptCount val="11"/>
                <c:pt idx="0">
                  <c:v>1.9804049034175333E-2</c:v>
                </c:pt>
                <c:pt idx="1">
                  <c:v>4.4584262010896478E-2</c:v>
                </c:pt>
                <c:pt idx="2">
                  <c:v>8.687004705299653E-2</c:v>
                </c:pt>
                <c:pt idx="3">
                  <c:v>0.13008450965824664</c:v>
                </c:pt>
                <c:pt idx="4">
                  <c:v>0.18547238732045565</c:v>
                </c:pt>
                <c:pt idx="5">
                  <c:v>0.24493096830113914</c:v>
                </c:pt>
                <c:pt idx="6">
                  <c:v>0.30791078504210001</c:v>
                </c:pt>
                <c:pt idx="7">
                  <c:v>0.39381345963348191</c:v>
                </c:pt>
                <c:pt idx="8">
                  <c:v>0.54874783308568598</c:v>
                </c:pt>
                <c:pt idx="9">
                  <c:v>0.74444341258048541</c:v>
                </c:pt>
                <c:pt idx="10">
                  <c:v>1</c:v>
                </c:pt>
              </c:numCache>
            </c:numRef>
          </c:xVal>
          <c:yVal>
            <c:numRef>
              <c:f>CARANGOLA!$J$2:$J$12</c:f>
              <c:numCache>
                <c:formatCode>0.00</c:formatCode>
                <c:ptCount val="11"/>
                <c:pt idx="0">
                  <c:v>1.9804049034175333E-2</c:v>
                </c:pt>
                <c:pt idx="1">
                  <c:v>4.4584262010896478E-2</c:v>
                </c:pt>
                <c:pt idx="2">
                  <c:v>8.687004705299653E-2</c:v>
                </c:pt>
                <c:pt idx="3">
                  <c:v>0.13008450965824664</c:v>
                </c:pt>
                <c:pt idx="4">
                  <c:v>0.18547238732045565</c:v>
                </c:pt>
                <c:pt idx="5">
                  <c:v>0.24493096830113914</c:v>
                </c:pt>
                <c:pt idx="6">
                  <c:v>0.30791078504210001</c:v>
                </c:pt>
                <c:pt idx="7">
                  <c:v>0.39381345963348191</c:v>
                </c:pt>
                <c:pt idx="8">
                  <c:v>0.54874783308568598</c:v>
                </c:pt>
                <c:pt idx="9">
                  <c:v>0.74444341258048541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19-4B9C-8DE0-FD0D7A5DFB33}"/>
            </c:ext>
          </c:extLst>
        </c:ser>
        <c:ser>
          <c:idx val="1"/>
          <c:order val="1"/>
          <c:tx>
            <c:strRef>
              <c:f>CARANGOLA!$K$1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CARANGOLA!$I$2:$I$12</c:f>
              <c:numCache>
                <c:formatCode>0.00</c:formatCode>
                <c:ptCount val="11"/>
                <c:pt idx="0">
                  <c:v>1.9804049034175333E-2</c:v>
                </c:pt>
                <c:pt idx="1">
                  <c:v>4.4584262010896478E-2</c:v>
                </c:pt>
                <c:pt idx="2">
                  <c:v>8.687004705299653E-2</c:v>
                </c:pt>
                <c:pt idx="3">
                  <c:v>0.13008450965824664</c:v>
                </c:pt>
                <c:pt idx="4">
                  <c:v>0.18547238732045565</c:v>
                </c:pt>
                <c:pt idx="5">
                  <c:v>0.24493096830113914</c:v>
                </c:pt>
                <c:pt idx="6">
                  <c:v>0.30791078504210001</c:v>
                </c:pt>
                <c:pt idx="7">
                  <c:v>0.39381345963348191</c:v>
                </c:pt>
                <c:pt idx="8">
                  <c:v>0.54874783308568598</c:v>
                </c:pt>
                <c:pt idx="9">
                  <c:v>0.74444341258048541</c:v>
                </c:pt>
                <c:pt idx="10">
                  <c:v>1</c:v>
                </c:pt>
              </c:numCache>
            </c:numRef>
          </c:xVal>
          <c:yVal>
            <c:numRef>
              <c:f>CARANGOLA!$K$2:$K$12</c:f>
              <c:numCache>
                <c:formatCode>0.00</c:formatCode>
                <c:ptCount val="11"/>
                <c:pt idx="0">
                  <c:v>8.4745762711864406E-3</c:v>
                </c:pt>
                <c:pt idx="1">
                  <c:v>2.5423728813559324E-2</c:v>
                </c:pt>
                <c:pt idx="2">
                  <c:v>5.0847457627118647E-2</c:v>
                </c:pt>
                <c:pt idx="3">
                  <c:v>6.7796610169491525E-2</c:v>
                </c:pt>
                <c:pt idx="4">
                  <c:v>0.10169491525423729</c:v>
                </c:pt>
                <c:pt idx="5">
                  <c:v>0.1864406779661017</c:v>
                </c:pt>
                <c:pt idx="6">
                  <c:v>0.2711864406779661</c:v>
                </c:pt>
                <c:pt idx="7">
                  <c:v>0.33050847457627119</c:v>
                </c:pt>
                <c:pt idx="8">
                  <c:v>0.40677966101694918</c:v>
                </c:pt>
                <c:pt idx="9">
                  <c:v>0.88983050847457634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F19-4B9C-8DE0-FD0D7A5DFB33}"/>
            </c:ext>
          </c:extLst>
        </c:ser>
        <c:ser>
          <c:idx val="2"/>
          <c:order val="2"/>
          <c:tx>
            <c:strRef>
              <c:f>CARANGOLA!$L$1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CARANGOLA!$I$2:$I$12</c:f>
              <c:numCache>
                <c:formatCode>0.00</c:formatCode>
                <c:ptCount val="11"/>
                <c:pt idx="0">
                  <c:v>1.9804049034175333E-2</c:v>
                </c:pt>
                <c:pt idx="1">
                  <c:v>4.4584262010896478E-2</c:v>
                </c:pt>
                <c:pt idx="2">
                  <c:v>8.687004705299653E-2</c:v>
                </c:pt>
                <c:pt idx="3">
                  <c:v>0.13008450965824664</c:v>
                </c:pt>
                <c:pt idx="4">
                  <c:v>0.18547238732045565</c:v>
                </c:pt>
                <c:pt idx="5">
                  <c:v>0.24493096830113914</c:v>
                </c:pt>
                <c:pt idx="6">
                  <c:v>0.30791078504210001</c:v>
                </c:pt>
                <c:pt idx="7">
                  <c:v>0.39381345963348191</c:v>
                </c:pt>
                <c:pt idx="8">
                  <c:v>0.54874783308568598</c:v>
                </c:pt>
                <c:pt idx="9">
                  <c:v>0.74444341258048541</c:v>
                </c:pt>
                <c:pt idx="10">
                  <c:v>1</c:v>
                </c:pt>
              </c:numCache>
            </c:numRef>
          </c:xVal>
          <c:yVal>
            <c:numRef>
              <c:f>CARANGOLA!$L$2:$L$12</c:f>
              <c:numCache>
                <c:formatCode>0.00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4.6511627906976744E-2</c:v>
                </c:pt>
                <c:pt idx="3">
                  <c:v>9.3023255813953487E-2</c:v>
                </c:pt>
                <c:pt idx="4">
                  <c:v>0.13953488372093023</c:v>
                </c:pt>
                <c:pt idx="5">
                  <c:v>0.16279069767441862</c:v>
                </c:pt>
                <c:pt idx="6">
                  <c:v>0.23255813953488375</c:v>
                </c:pt>
                <c:pt idx="7">
                  <c:v>0.48837209302325585</c:v>
                </c:pt>
                <c:pt idx="8">
                  <c:v>0.58139534883720934</c:v>
                </c:pt>
                <c:pt idx="9">
                  <c:v>0.81395348837209303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F19-4B9C-8DE0-FD0D7A5DFB33}"/>
            </c:ext>
          </c:extLst>
        </c:ser>
        <c:ser>
          <c:idx val="3"/>
          <c:order val="3"/>
          <c:tx>
            <c:strRef>
              <c:f>CARANGOLA!$M$1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CARANGOLA!$I$2:$I$12</c:f>
              <c:numCache>
                <c:formatCode>0.00</c:formatCode>
                <c:ptCount val="11"/>
                <c:pt idx="0">
                  <c:v>1.9804049034175333E-2</c:v>
                </c:pt>
                <c:pt idx="1">
                  <c:v>4.4584262010896478E-2</c:v>
                </c:pt>
                <c:pt idx="2">
                  <c:v>8.687004705299653E-2</c:v>
                </c:pt>
                <c:pt idx="3">
                  <c:v>0.13008450965824664</c:v>
                </c:pt>
                <c:pt idx="4">
                  <c:v>0.18547238732045565</c:v>
                </c:pt>
                <c:pt idx="5">
                  <c:v>0.24493096830113914</c:v>
                </c:pt>
                <c:pt idx="6">
                  <c:v>0.30791078504210001</c:v>
                </c:pt>
                <c:pt idx="7">
                  <c:v>0.39381345963348191</c:v>
                </c:pt>
                <c:pt idx="8">
                  <c:v>0.54874783308568598</c:v>
                </c:pt>
                <c:pt idx="9">
                  <c:v>0.74444341258048541</c:v>
                </c:pt>
                <c:pt idx="10">
                  <c:v>1</c:v>
                </c:pt>
              </c:numCache>
            </c:numRef>
          </c:xVal>
          <c:yVal>
            <c:numRef>
              <c:f>CARANGOLA!$M$2:$M$12</c:f>
              <c:numCache>
                <c:formatCode>0.00</c:formatCode>
                <c:ptCount val="11"/>
                <c:pt idx="0">
                  <c:v>0</c:v>
                </c:pt>
                <c:pt idx="1">
                  <c:v>2.0833333333333332E-2</c:v>
                </c:pt>
                <c:pt idx="2">
                  <c:v>6.25E-2</c:v>
                </c:pt>
                <c:pt idx="3">
                  <c:v>8.3333333333333329E-2</c:v>
                </c:pt>
                <c:pt idx="4">
                  <c:v>0.125</c:v>
                </c:pt>
                <c:pt idx="5">
                  <c:v>0.27083333333333337</c:v>
                </c:pt>
                <c:pt idx="6">
                  <c:v>0.29166666666666669</c:v>
                </c:pt>
                <c:pt idx="7">
                  <c:v>0.47916666666666669</c:v>
                </c:pt>
                <c:pt idx="8">
                  <c:v>0.64583333333333337</c:v>
                </c:pt>
                <c:pt idx="9">
                  <c:v>0.875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F19-4B9C-8DE0-FD0D7A5DF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020176"/>
        <c:axId val="195390848"/>
      </c:scatterChart>
      <c:valAx>
        <c:axId val="41502017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390848"/>
        <c:crosses val="autoZero"/>
        <c:crossBetween val="midCat"/>
      </c:valAx>
      <c:valAx>
        <c:axId val="19539084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5020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CARANGOLA!$J$1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CARANGOLA!$I$2:$I$12</c:f>
              <c:numCache>
                <c:formatCode>0.00</c:formatCode>
                <c:ptCount val="11"/>
                <c:pt idx="0">
                  <c:v>1.9804049034175333E-2</c:v>
                </c:pt>
                <c:pt idx="1">
                  <c:v>4.4584262010896478E-2</c:v>
                </c:pt>
                <c:pt idx="2">
                  <c:v>8.687004705299653E-2</c:v>
                </c:pt>
                <c:pt idx="3">
                  <c:v>0.13008450965824664</c:v>
                </c:pt>
                <c:pt idx="4">
                  <c:v>0.18547238732045565</c:v>
                </c:pt>
                <c:pt idx="5">
                  <c:v>0.24493096830113914</c:v>
                </c:pt>
                <c:pt idx="6">
                  <c:v>0.30791078504210001</c:v>
                </c:pt>
                <c:pt idx="7">
                  <c:v>0.39381345963348191</c:v>
                </c:pt>
                <c:pt idx="8">
                  <c:v>0.54874783308568598</c:v>
                </c:pt>
                <c:pt idx="9">
                  <c:v>0.74444341258048541</c:v>
                </c:pt>
                <c:pt idx="10">
                  <c:v>1</c:v>
                </c:pt>
              </c:numCache>
            </c:numRef>
          </c:xVal>
          <c:yVal>
            <c:numRef>
              <c:f>CARANGOLA!$J$2:$J$12</c:f>
              <c:numCache>
                <c:formatCode>0.00</c:formatCode>
                <c:ptCount val="11"/>
                <c:pt idx="0">
                  <c:v>1.9804049034175333E-2</c:v>
                </c:pt>
                <c:pt idx="1">
                  <c:v>4.4584262010896478E-2</c:v>
                </c:pt>
                <c:pt idx="2">
                  <c:v>8.687004705299653E-2</c:v>
                </c:pt>
                <c:pt idx="3">
                  <c:v>0.13008450965824664</c:v>
                </c:pt>
                <c:pt idx="4">
                  <c:v>0.18547238732045565</c:v>
                </c:pt>
                <c:pt idx="5">
                  <c:v>0.24493096830113914</c:v>
                </c:pt>
                <c:pt idx="6">
                  <c:v>0.30791078504210001</c:v>
                </c:pt>
                <c:pt idx="7">
                  <c:v>0.39381345963348191</c:v>
                </c:pt>
                <c:pt idx="8">
                  <c:v>0.54874783308568598</c:v>
                </c:pt>
                <c:pt idx="9">
                  <c:v>0.74444341258048541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6C9-40F1-9DC1-2548F77EA9BF}"/>
            </c:ext>
          </c:extLst>
        </c:ser>
        <c:ser>
          <c:idx val="1"/>
          <c:order val="1"/>
          <c:tx>
            <c:strRef>
              <c:f>CARANGOLA!$N$1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CARANGOLA!$I$2:$I$12</c:f>
              <c:numCache>
                <c:formatCode>0.00</c:formatCode>
                <c:ptCount val="11"/>
                <c:pt idx="0">
                  <c:v>1.9804049034175333E-2</c:v>
                </c:pt>
                <c:pt idx="1">
                  <c:v>4.4584262010896478E-2</c:v>
                </c:pt>
                <c:pt idx="2">
                  <c:v>8.687004705299653E-2</c:v>
                </c:pt>
                <c:pt idx="3">
                  <c:v>0.13008450965824664</c:v>
                </c:pt>
                <c:pt idx="4">
                  <c:v>0.18547238732045565</c:v>
                </c:pt>
                <c:pt idx="5">
                  <c:v>0.24493096830113914</c:v>
                </c:pt>
                <c:pt idx="6">
                  <c:v>0.30791078504210001</c:v>
                </c:pt>
                <c:pt idx="7">
                  <c:v>0.39381345963348191</c:v>
                </c:pt>
                <c:pt idx="8">
                  <c:v>0.54874783308568598</c:v>
                </c:pt>
                <c:pt idx="9">
                  <c:v>0.74444341258048541</c:v>
                </c:pt>
                <c:pt idx="10">
                  <c:v>1</c:v>
                </c:pt>
              </c:numCache>
            </c:numRef>
          </c:xVal>
          <c:yVal>
            <c:numRef>
              <c:f>CARANGOLA!$N$2:$N$12</c:f>
              <c:numCache>
                <c:formatCode>0.00</c:formatCode>
                <c:ptCount val="11"/>
                <c:pt idx="0">
                  <c:v>1.2658227848101266E-2</c:v>
                </c:pt>
                <c:pt idx="1">
                  <c:v>2.5316455696202531E-2</c:v>
                </c:pt>
                <c:pt idx="2">
                  <c:v>8.8607594936708861E-2</c:v>
                </c:pt>
                <c:pt idx="3">
                  <c:v>0.12658227848101267</c:v>
                </c:pt>
                <c:pt idx="4">
                  <c:v>0.16455696202531647</c:v>
                </c:pt>
                <c:pt idx="5">
                  <c:v>0.26582278481012661</c:v>
                </c:pt>
                <c:pt idx="6">
                  <c:v>0.36708860759493672</c:v>
                </c:pt>
                <c:pt idx="7">
                  <c:v>0.46835443037974683</c:v>
                </c:pt>
                <c:pt idx="8">
                  <c:v>0.60759493670886078</c:v>
                </c:pt>
                <c:pt idx="9">
                  <c:v>0.78481012658227844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6C9-40F1-9DC1-2548F77EA9BF}"/>
            </c:ext>
          </c:extLst>
        </c:ser>
        <c:ser>
          <c:idx val="2"/>
          <c:order val="2"/>
          <c:tx>
            <c:strRef>
              <c:f>CARANGOLA!$O$1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CARANGOLA!$I$2:$I$12</c:f>
              <c:numCache>
                <c:formatCode>0.00</c:formatCode>
                <c:ptCount val="11"/>
                <c:pt idx="0">
                  <c:v>1.9804049034175333E-2</c:v>
                </c:pt>
                <c:pt idx="1">
                  <c:v>4.4584262010896478E-2</c:v>
                </c:pt>
                <c:pt idx="2">
                  <c:v>8.687004705299653E-2</c:v>
                </c:pt>
                <c:pt idx="3">
                  <c:v>0.13008450965824664</c:v>
                </c:pt>
                <c:pt idx="4">
                  <c:v>0.18547238732045565</c:v>
                </c:pt>
                <c:pt idx="5">
                  <c:v>0.24493096830113914</c:v>
                </c:pt>
                <c:pt idx="6">
                  <c:v>0.30791078504210001</c:v>
                </c:pt>
                <c:pt idx="7">
                  <c:v>0.39381345963348191</c:v>
                </c:pt>
                <c:pt idx="8">
                  <c:v>0.54874783308568598</c:v>
                </c:pt>
                <c:pt idx="9">
                  <c:v>0.74444341258048541</c:v>
                </c:pt>
                <c:pt idx="10">
                  <c:v>1</c:v>
                </c:pt>
              </c:numCache>
            </c:numRef>
          </c:xVal>
          <c:yVal>
            <c:numRef>
              <c:f>CARANGOLA!$O$2:$O$12</c:f>
              <c:numCache>
                <c:formatCode>0.00</c:formatCode>
                <c:ptCount val="11"/>
                <c:pt idx="0">
                  <c:v>0</c:v>
                </c:pt>
                <c:pt idx="1">
                  <c:v>4.6153846153846156E-2</c:v>
                </c:pt>
                <c:pt idx="2">
                  <c:v>0.1</c:v>
                </c:pt>
                <c:pt idx="3">
                  <c:v>0.13846153846153847</c:v>
                </c:pt>
                <c:pt idx="4">
                  <c:v>0.15384615384615385</c:v>
                </c:pt>
                <c:pt idx="5">
                  <c:v>0.24615384615384617</c:v>
                </c:pt>
                <c:pt idx="6">
                  <c:v>0.26153846153846155</c:v>
                </c:pt>
                <c:pt idx="7">
                  <c:v>0.34615384615384615</c:v>
                </c:pt>
                <c:pt idx="8">
                  <c:v>0.36923076923076925</c:v>
                </c:pt>
                <c:pt idx="9">
                  <c:v>0.78461538461538471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6C9-40F1-9DC1-2548F77EA9BF}"/>
            </c:ext>
          </c:extLst>
        </c:ser>
        <c:ser>
          <c:idx val="3"/>
          <c:order val="3"/>
          <c:tx>
            <c:strRef>
              <c:f>CARANGOLA!$P$1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CARANGOLA!$I$2:$I$12</c:f>
              <c:numCache>
                <c:formatCode>0.00</c:formatCode>
                <c:ptCount val="11"/>
                <c:pt idx="0">
                  <c:v>1.9804049034175333E-2</c:v>
                </c:pt>
                <c:pt idx="1">
                  <c:v>4.4584262010896478E-2</c:v>
                </c:pt>
                <c:pt idx="2">
                  <c:v>8.687004705299653E-2</c:v>
                </c:pt>
                <c:pt idx="3">
                  <c:v>0.13008450965824664</c:v>
                </c:pt>
                <c:pt idx="4">
                  <c:v>0.18547238732045565</c:v>
                </c:pt>
                <c:pt idx="5">
                  <c:v>0.24493096830113914</c:v>
                </c:pt>
                <c:pt idx="6">
                  <c:v>0.30791078504210001</c:v>
                </c:pt>
                <c:pt idx="7">
                  <c:v>0.39381345963348191</c:v>
                </c:pt>
                <c:pt idx="8">
                  <c:v>0.54874783308568598</c:v>
                </c:pt>
                <c:pt idx="9">
                  <c:v>0.74444341258048541</c:v>
                </c:pt>
                <c:pt idx="10">
                  <c:v>1</c:v>
                </c:pt>
              </c:numCache>
            </c:numRef>
          </c:xVal>
          <c:yVal>
            <c:numRef>
              <c:f>CARANGOLA!$P$2:$P$12</c:f>
              <c:numCache>
                <c:formatCode>0.00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4.2253521126760563E-2</c:v>
                </c:pt>
                <c:pt idx="3">
                  <c:v>9.8591549295774655E-2</c:v>
                </c:pt>
                <c:pt idx="4">
                  <c:v>9.8591549295774655E-2</c:v>
                </c:pt>
                <c:pt idx="5">
                  <c:v>0.14084507042253522</c:v>
                </c:pt>
                <c:pt idx="6">
                  <c:v>0.18309859154929578</c:v>
                </c:pt>
                <c:pt idx="7">
                  <c:v>0.352112676056338</c:v>
                </c:pt>
                <c:pt idx="8">
                  <c:v>0.39436619718309857</c:v>
                </c:pt>
                <c:pt idx="9">
                  <c:v>0.81690140845070425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6C9-40F1-9DC1-2548F77EA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8584640"/>
        <c:axId val="1918573120"/>
      </c:scatterChart>
      <c:valAx>
        <c:axId val="191858464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8573120"/>
        <c:crosses val="autoZero"/>
        <c:crossBetween val="midCat"/>
      </c:valAx>
      <c:valAx>
        <c:axId val="191857312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8584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'JUIZ DE FORA'!$J$1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'JUIZ DE FORA'!$I$2:$I$13</c:f>
              <c:numCache>
                <c:formatCode>0.00</c:formatCode>
                <c:ptCount val="12"/>
                <c:pt idx="0">
                  <c:v>4.1551531984850574E-3</c:v>
                </c:pt>
                <c:pt idx="1">
                  <c:v>8.3673783218634612E-3</c:v>
                </c:pt>
                <c:pt idx="2">
                  <c:v>1.2677893982558185E-2</c:v>
                </c:pt>
                <c:pt idx="3">
                  <c:v>1.7584494192138977E-2</c:v>
                </c:pt>
                <c:pt idx="4">
                  <c:v>2.2682919482611294E-2</c:v>
                </c:pt>
                <c:pt idx="5">
                  <c:v>2.8107923009973321E-2</c:v>
                </c:pt>
                <c:pt idx="6">
                  <c:v>3.4341445473324426E-2</c:v>
                </c:pt>
                <c:pt idx="7">
                  <c:v>4.0658990492768513E-2</c:v>
                </c:pt>
                <c:pt idx="8">
                  <c:v>4.7022510118376687E-2</c:v>
                </c:pt>
                <c:pt idx="9">
                  <c:v>6.1233419416820048E-2</c:v>
                </c:pt>
                <c:pt idx="10">
                  <c:v>8.4420474235989237E-2</c:v>
                </c:pt>
                <c:pt idx="11">
                  <c:v>1</c:v>
                </c:pt>
              </c:numCache>
            </c:numRef>
          </c:xVal>
          <c:yVal>
            <c:numRef>
              <c:f>'JUIZ DE FORA'!$J$2:$J$13</c:f>
              <c:numCache>
                <c:formatCode>0.00</c:formatCode>
                <c:ptCount val="12"/>
                <c:pt idx="0">
                  <c:v>4.1551531984850574E-3</c:v>
                </c:pt>
                <c:pt idx="1">
                  <c:v>8.3673783218634612E-3</c:v>
                </c:pt>
                <c:pt idx="2">
                  <c:v>1.2677893982558185E-2</c:v>
                </c:pt>
                <c:pt idx="3">
                  <c:v>1.7584494192138977E-2</c:v>
                </c:pt>
                <c:pt idx="4">
                  <c:v>2.2682919482611294E-2</c:v>
                </c:pt>
                <c:pt idx="5">
                  <c:v>2.8107923009973321E-2</c:v>
                </c:pt>
                <c:pt idx="6">
                  <c:v>3.4341445473324426E-2</c:v>
                </c:pt>
                <c:pt idx="7">
                  <c:v>4.0658990492768513E-2</c:v>
                </c:pt>
                <c:pt idx="8">
                  <c:v>4.7022510118376687E-2</c:v>
                </c:pt>
                <c:pt idx="9">
                  <c:v>6.1233419416820048E-2</c:v>
                </c:pt>
                <c:pt idx="10">
                  <c:v>8.4420474235989237E-2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02-4FFC-9102-E9F1AA2A571B}"/>
            </c:ext>
          </c:extLst>
        </c:ser>
        <c:ser>
          <c:idx val="1"/>
          <c:order val="1"/>
          <c:tx>
            <c:strRef>
              <c:f>'JUIZ DE FORA'!$K$1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'JUIZ DE FORA'!$I$2:$I$13</c:f>
              <c:numCache>
                <c:formatCode>0.00</c:formatCode>
                <c:ptCount val="12"/>
                <c:pt idx="0">
                  <c:v>4.1551531984850574E-3</c:v>
                </c:pt>
                <c:pt idx="1">
                  <c:v>8.3673783218634612E-3</c:v>
                </c:pt>
                <c:pt idx="2">
                  <c:v>1.2677893982558185E-2</c:v>
                </c:pt>
                <c:pt idx="3">
                  <c:v>1.7584494192138977E-2</c:v>
                </c:pt>
                <c:pt idx="4">
                  <c:v>2.2682919482611294E-2</c:v>
                </c:pt>
                <c:pt idx="5">
                  <c:v>2.8107923009973321E-2</c:v>
                </c:pt>
                <c:pt idx="6">
                  <c:v>3.4341445473324426E-2</c:v>
                </c:pt>
                <c:pt idx="7">
                  <c:v>4.0658990492768513E-2</c:v>
                </c:pt>
                <c:pt idx="8">
                  <c:v>4.7022510118376687E-2</c:v>
                </c:pt>
                <c:pt idx="9">
                  <c:v>6.1233419416820048E-2</c:v>
                </c:pt>
                <c:pt idx="10">
                  <c:v>8.4420474235989237E-2</c:v>
                </c:pt>
                <c:pt idx="11">
                  <c:v>1</c:v>
                </c:pt>
              </c:numCache>
            </c:numRef>
          </c:xVal>
          <c:yVal>
            <c:numRef>
              <c:f>'JUIZ DE FORA'!$K$2:$K$13</c:f>
              <c:numCache>
                <c:formatCode>0.00</c:formatCode>
                <c:ptCount val="12"/>
                <c:pt idx="0">
                  <c:v>8.2449941107184919E-3</c:v>
                </c:pt>
                <c:pt idx="1">
                  <c:v>1.1778563015312132E-2</c:v>
                </c:pt>
                <c:pt idx="2">
                  <c:v>1.4134275618374558E-2</c:v>
                </c:pt>
                <c:pt idx="3">
                  <c:v>2.591283863368669E-2</c:v>
                </c:pt>
                <c:pt idx="4">
                  <c:v>3.180212014134276E-2</c:v>
                </c:pt>
                <c:pt idx="5">
                  <c:v>4.0047114252061256E-2</c:v>
                </c:pt>
                <c:pt idx="6">
                  <c:v>4.3580683156654892E-2</c:v>
                </c:pt>
                <c:pt idx="7">
                  <c:v>4.8292108362779744E-2</c:v>
                </c:pt>
                <c:pt idx="8">
                  <c:v>5.5359246171967025E-2</c:v>
                </c:pt>
                <c:pt idx="9">
                  <c:v>6.8315665488810365E-2</c:v>
                </c:pt>
                <c:pt idx="10">
                  <c:v>8.4805653710247342E-2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002-4FFC-9102-E9F1AA2A571B}"/>
            </c:ext>
          </c:extLst>
        </c:ser>
        <c:ser>
          <c:idx val="2"/>
          <c:order val="2"/>
          <c:tx>
            <c:strRef>
              <c:f>'JUIZ DE FORA'!$L$1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'JUIZ DE FORA'!$I$2:$I$13</c:f>
              <c:numCache>
                <c:formatCode>0.00</c:formatCode>
                <c:ptCount val="12"/>
                <c:pt idx="0">
                  <c:v>4.1551531984850574E-3</c:v>
                </c:pt>
                <c:pt idx="1">
                  <c:v>8.3673783218634612E-3</c:v>
                </c:pt>
                <c:pt idx="2">
                  <c:v>1.2677893982558185E-2</c:v>
                </c:pt>
                <c:pt idx="3">
                  <c:v>1.7584494192138977E-2</c:v>
                </c:pt>
                <c:pt idx="4">
                  <c:v>2.2682919482611294E-2</c:v>
                </c:pt>
                <c:pt idx="5">
                  <c:v>2.8107923009973321E-2</c:v>
                </c:pt>
                <c:pt idx="6">
                  <c:v>3.4341445473324426E-2</c:v>
                </c:pt>
                <c:pt idx="7">
                  <c:v>4.0658990492768513E-2</c:v>
                </c:pt>
                <c:pt idx="8">
                  <c:v>4.7022510118376687E-2</c:v>
                </c:pt>
                <c:pt idx="9">
                  <c:v>6.1233419416820048E-2</c:v>
                </c:pt>
                <c:pt idx="10">
                  <c:v>8.4420474235989237E-2</c:v>
                </c:pt>
                <c:pt idx="11">
                  <c:v>1</c:v>
                </c:pt>
              </c:numCache>
            </c:numRef>
          </c:xVal>
          <c:yVal>
            <c:numRef>
              <c:f>'JUIZ DE FORA'!$L$2:$L$13</c:f>
              <c:numCache>
                <c:formatCode>0.00</c:formatCode>
                <c:ptCount val="12"/>
                <c:pt idx="0">
                  <c:v>9.3676814988290398E-3</c:v>
                </c:pt>
                <c:pt idx="1">
                  <c:v>1.405152224824356E-2</c:v>
                </c:pt>
                <c:pt idx="2">
                  <c:v>1.6393442622950821E-2</c:v>
                </c:pt>
                <c:pt idx="3">
                  <c:v>3.0444964871194378E-2</c:v>
                </c:pt>
                <c:pt idx="4">
                  <c:v>3.5128805620608897E-2</c:v>
                </c:pt>
                <c:pt idx="5">
                  <c:v>3.5128805620608897E-2</c:v>
                </c:pt>
                <c:pt idx="6">
                  <c:v>3.7470725995316159E-2</c:v>
                </c:pt>
                <c:pt idx="7">
                  <c:v>4.2154566744730677E-2</c:v>
                </c:pt>
                <c:pt idx="8">
                  <c:v>5.1522248243559721E-2</c:v>
                </c:pt>
                <c:pt idx="9">
                  <c:v>6.5573770491803282E-2</c:v>
                </c:pt>
                <c:pt idx="10">
                  <c:v>0.1053864168618267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002-4FFC-9102-E9F1AA2A571B}"/>
            </c:ext>
          </c:extLst>
        </c:ser>
        <c:ser>
          <c:idx val="3"/>
          <c:order val="3"/>
          <c:tx>
            <c:strRef>
              <c:f>'JUIZ DE FORA'!$M$1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'JUIZ DE FORA'!$I$2:$I$13</c:f>
              <c:numCache>
                <c:formatCode>0.00</c:formatCode>
                <c:ptCount val="12"/>
                <c:pt idx="0">
                  <c:v>4.1551531984850574E-3</c:v>
                </c:pt>
                <c:pt idx="1">
                  <c:v>8.3673783218634612E-3</c:v>
                </c:pt>
                <c:pt idx="2">
                  <c:v>1.2677893982558185E-2</c:v>
                </c:pt>
                <c:pt idx="3">
                  <c:v>1.7584494192138977E-2</c:v>
                </c:pt>
                <c:pt idx="4">
                  <c:v>2.2682919482611294E-2</c:v>
                </c:pt>
                <c:pt idx="5">
                  <c:v>2.8107923009973321E-2</c:v>
                </c:pt>
                <c:pt idx="6">
                  <c:v>3.4341445473324426E-2</c:v>
                </c:pt>
                <c:pt idx="7">
                  <c:v>4.0658990492768513E-2</c:v>
                </c:pt>
                <c:pt idx="8">
                  <c:v>4.7022510118376687E-2</c:v>
                </c:pt>
                <c:pt idx="9">
                  <c:v>6.1233419416820048E-2</c:v>
                </c:pt>
                <c:pt idx="10">
                  <c:v>8.4420474235989237E-2</c:v>
                </c:pt>
                <c:pt idx="11">
                  <c:v>1</c:v>
                </c:pt>
              </c:numCache>
            </c:numRef>
          </c:xVal>
          <c:yVal>
            <c:numRef>
              <c:f>'JUIZ DE FORA'!$M$2:$M$13</c:f>
              <c:numCache>
                <c:formatCode>0.00</c:formatCode>
                <c:ptCount val="12"/>
                <c:pt idx="0">
                  <c:v>4.1580041580041582E-3</c:v>
                </c:pt>
                <c:pt idx="1">
                  <c:v>6.2370062370062374E-3</c:v>
                </c:pt>
                <c:pt idx="2">
                  <c:v>6.2370062370062374E-3</c:v>
                </c:pt>
                <c:pt idx="3">
                  <c:v>1.0395010395010396E-2</c:v>
                </c:pt>
                <c:pt idx="4">
                  <c:v>1.6632016632016633E-2</c:v>
                </c:pt>
                <c:pt idx="5">
                  <c:v>1.8711018711018712E-2</c:v>
                </c:pt>
                <c:pt idx="6">
                  <c:v>1.8711018711018712E-2</c:v>
                </c:pt>
                <c:pt idx="7">
                  <c:v>1.8711018711018712E-2</c:v>
                </c:pt>
                <c:pt idx="8">
                  <c:v>2.7027027027027029E-2</c:v>
                </c:pt>
                <c:pt idx="9">
                  <c:v>5.1975051975051978E-2</c:v>
                </c:pt>
                <c:pt idx="10">
                  <c:v>7.9002079002079006E-2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002-4FFC-9102-E9F1AA2A5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845456"/>
        <c:axId val="309836336"/>
      </c:scatterChart>
      <c:valAx>
        <c:axId val="3098454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9836336"/>
        <c:crosses val="autoZero"/>
        <c:crossBetween val="midCat"/>
      </c:valAx>
      <c:valAx>
        <c:axId val="3098363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9845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'JUIZ DE FORA'!$J$1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'JUIZ DE FORA'!$I$2:$I$13</c:f>
              <c:numCache>
                <c:formatCode>0.00</c:formatCode>
                <c:ptCount val="12"/>
                <c:pt idx="0">
                  <c:v>4.1551531984850574E-3</c:v>
                </c:pt>
                <c:pt idx="1">
                  <c:v>8.3673783218634612E-3</c:v>
                </c:pt>
                <c:pt idx="2">
                  <c:v>1.2677893982558185E-2</c:v>
                </c:pt>
                <c:pt idx="3">
                  <c:v>1.7584494192138977E-2</c:v>
                </c:pt>
                <c:pt idx="4">
                  <c:v>2.2682919482611294E-2</c:v>
                </c:pt>
                <c:pt idx="5">
                  <c:v>2.8107923009973321E-2</c:v>
                </c:pt>
                <c:pt idx="6">
                  <c:v>3.4341445473324426E-2</c:v>
                </c:pt>
                <c:pt idx="7">
                  <c:v>4.0658990492768513E-2</c:v>
                </c:pt>
                <c:pt idx="8">
                  <c:v>4.7022510118376687E-2</c:v>
                </c:pt>
                <c:pt idx="9">
                  <c:v>6.1233419416820048E-2</c:v>
                </c:pt>
                <c:pt idx="10">
                  <c:v>8.4420474235989237E-2</c:v>
                </c:pt>
                <c:pt idx="11">
                  <c:v>1</c:v>
                </c:pt>
              </c:numCache>
            </c:numRef>
          </c:xVal>
          <c:yVal>
            <c:numRef>
              <c:f>'JUIZ DE FORA'!$J$2:$J$13</c:f>
              <c:numCache>
                <c:formatCode>0.00</c:formatCode>
                <c:ptCount val="12"/>
                <c:pt idx="0">
                  <c:v>4.1551531984850574E-3</c:v>
                </c:pt>
                <c:pt idx="1">
                  <c:v>8.3673783218634612E-3</c:v>
                </c:pt>
                <c:pt idx="2">
                  <c:v>1.2677893982558185E-2</c:v>
                </c:pt>
                <c:pt idx="3">
                  <c:v>1.7584494192138977E-2</c:v>
                </c:pt>
                <c:pt idx="4">
                  <c:v>2.2682919482611294E-2</c:v>
                </c:pt>
                <c:pt idx="5">
                  <c:v>2.8107923009973321E-2</c:v>
                </c:pt>
                <c:pt idx="6">
                  <c:v>3.4341445473324426E-2</c:v>
                </c:pt>
                <c:pt idx="7">
                  <c:v>4.0658990492768513E-2</c:v>
                </c:pt>
                <c:pt idx="8">
                  <c:v>4.7022510118376687E-2</c:v>
                </c:pt>
                <c:pt idx="9">
                  <c:v>6.1233419416820048E-2</c:v>
                </c:pt>
                <c:pt idx="10">
                  <c:v>8.4420474235989237E-2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39-4CB5-B475-0D03580F950E}"/>
            </c:ext>
          </c:extLst>
        </c:ser>
        <c:ser>
          <c:idx val="1"/>
          <c:order val="1"/>
          <c:tx>
            <c:strRef>
              <c:f>'JUIZ DE FORA'!$N$1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'JUIZ DE FORA'!$I$2:$I$13</c:f>
              <c:numCache>
                <c:formatCode>0.00</c:formatCode>
                <c:ptCount val="12"/>
                <c:pt idx="0">
                  <c:v>4.1551531984850574E-3</c:v>
                </c:pt>
                <c:pt idx="1">
                  <c:v>8.3673783218634612E-3</c:v>
                </c:pt>
                <c:pt idx="2">
                  <c:v>1.2677893982558185E-2</c:v>
                </c:pt>
                <c:pt idx="3">
                  <c:v>1.7584494192138977E-2</c:v>
                </c:pt>
                <c:pt idx="4">
                  <c:v>2.2682919482611294E-2</c:v>
                </c:pt>
                <c:pt idx="5">
                  <c:v>2.8107923009973321E-2</c:v>
                </c:pt>
                <c:pt idx="6">
                  <c:v>3.4341445473324426E-2</c:v>
                </c:pt>
                <c:pt idx="7">
                  <c:v>4.0658990492768513E-2</c:v>
                </c:pt>
                <c:pt idx="8">
                  <c:v>4.7022510118376687E-2</c:v>
                </c:pt>
                <c:pt idx="9">
                  <c:v>6.1233419416820048E-2</c:v>
                </c:pt>
                <c:pt idx="10">
                  <c:v>8.4420474235989237E-2</c:v>
                </c:pt>
                <c:pt idx="11">
                  <c:v>1</c:v>
                </c:pt>
              </c:numCache>
            </c:numRef>
          </c:xVal>
          <c:yVal>
            <c:numRef>
              <c:f>'JUIZ DE FORA'!$N$2:$N$13</c:f>
              <c:numCache>
                <c:formatCode>0.00</c:formatCode>
                <c:ptCount val="12"/>
                <c:pt idx="0">
                  <c:v>1.0443864229765013E-2</c:v>
                </c:pt>
                <c:pt idx="1">
                  <c:v>1.8276762402088774E-2</c:v>
                </c:pt>
                <c:pt idx="2">
                  <c:v>2.4804177545691905E-2</c:v>
                </c:pt>
                <c:pt idx="3">
                  <c:v>2.8720626631853784E-2</c:v>
                </c:pt>
                <c:pt idx="4">
                  <c:v>3.1331592689295036E-2</c:v>
                </c:pt>
                <c:pt idx="5">
                  <c:v>3.5248041775456915E-2</c:v>
                </c:pt>
                <c:pt idx="6">
                  <c:v>4.1775456919060046E-2</c:v>
                </c:pt>
                <c:pt idx="7">
                  <c:v>4.5691906005221924E-2</c:v>
                </c:pt>
                <c:pt idx="8">
                  <c:v>4.9608355091383803E-2</c:v>
                </c:pt>
                <c:pt idx="9">
                  <c:v>6.6579634464751958E-2</c:v>
                </c:pt>
                <c:pt idx="10">
                  <c:v>8.6161879895561358E-2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A39-4CB5-B475-0D03580F950E}"/>
            </c:ext>
          </c:extLst>
        </c:ser>
        <c:ser>
          <c:idx val="2"/>
          <c:order val="2"/>
          <c:tx>
            <c:strRef>
              <c:f>'JUIZ DE FORA'!$O$1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'JUIZ DE FORA'!$I$2:$I$13</c:f>
              <c:numCache>
                <c:formatCode>0.00</c:formatCode>
                <c:ptCount val="12"/>
                <c:pt idx="0">
                  <c:v>4.1551531984850574E-3</c:v>
                </c:pt>
                <c:pt idx="1">
                  <c:v>8.3673783218634612E-3</c:v>
                </c:pt>
                <c:pt idx="2">
                  <c:v>1.2677893982558185E-2</c:v>
                </c:pt>
                <c:pt idx="3">
                  <c:v>1.7584494192138977E-2</c:v>
                </c:pt>
                <c:pt idx="4">
                  <c:v>2.2682919482611294E-2</c:v>
                </c:pt>
                <c:pt idx="5">
                  <c:v>2.8107923009973321E-2</c:v>
                </c:pt>
                <c:pt idx="6">
                  <c:v>3.4341445473324426E-2</c:v>
                </c:pt>
                <c:pt idx="7">
                  <c:v>4.0658990492768513E-2</c:v>
                </c:pt>
                <c:pt idx="8">
                  <c:v>4.7022510118376687E-2</c:v>
                </c:pt>
                <c:pt idx="9">
                  <c:v>6.1233419416820048E-2</c:v>
                </c:pt>
                <c:pt idx="10">
                  <c:v>8.4420474235989237E-2</c:v>
                </c:pt>
                <c:pt idx="11">
                  <c:v>1</c:v>
                </c:pt>
              </c:numCache>
            </c:numRef>
          </c:xVal>
          <c:yVal>
            <c:numRef>
              <c:f>'JUIZ DE FORA'!$O$2:$O$13</c:f>
              <c:numCache>
                <c:formatCode>0.00</c:formatCode>
                <c:ptCount val="12"/>
                <c:pt idx="0">
                  <c:v>1.001669449081803E-2</c:v>
                </c:pt>
                <c:pt idx="1">
                  <c:v>1.8363939899833055E-2</c:v>
                </c:pt>
                <c:pt idx="2">
                  <c:v>2.8380634390651083E-2</c:v>
                </c:pt>
                <c:pt idx="3">
                  <c:v>3.5058430717863104E-2</c:v>
                </c:pt>
                <c:pt idx="4">
                  <c:v>5.3422370617696155E-2</c:v>
                </c:pt>
                <c:pt idx="5">
                  <c:v>6.0100166944908176E-2</c:v>
                </c:pt>
                <c:pt idx="6">
                  <c:v>6.8447412353923195E-2</c:v>
                </c:pt>
                <c:pt idx="7">
                  <c:v>7.0116861435726194E-2</c:v>
                </c:pt>
                <c:pt idx="8">
                  <c:v>7.8464106844741213E-2</c:v>
                </c:pt>
                <c:pt idx="9">
                  <c:v>9.5158597662771266E-2</c:v>
                </c:pt>
                <c:pt idx="10">
                  <c:v>0.12020033388981634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A39-4CB5-B475-0D03580F950E}"/>
            </c:ext>
          </c:extLst>
        </c:ser>
        <c:ser>
          <c:idx val="3"/>
          <c:order val="3"/>
          <c:tx>
            <c:strRef>
              <c:f>'JUIZ DE FORA'!$P$1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'JUIZ DE FORA'!$I$2:$I$13</c:f>
              <c:numCache>
                <c:formatCode>0.00</c:formatCode>
                <c:ptCount val="12"/>
                <c:pt idx="0">
                  <c:v>4.1551531984850574E-3</c:v>
                </c:pt>
                <c:pt idx="1">
                  <c:v>8.3673783218634612E-3</c:v>
                </c:pt>
                <c:pt idx="2">
                  <c:v>1.2677893982558185E-2</c:v>
                </c:pt>
                <c:pt idx="3">
                  <c:v>1.7584494192138977E-2</c:v>
                </c:pt>
                <c:pt idx="4">
                  <c:v>2.2682919482611294E-2</c:v>
                </c:pt>
                <c:pt idx="5">
                  <c:v>2.8107923009973321E-2</c:v>
                </c:pt>
                <c:pt idx="6">
                  <c:v>3.4341445473324426E-2</c:v>
                </c:pt>
                <c:pt idx="7">
                  <c:v>4.0658990492768513E-2</c:v>
                </c:pt>
                <c:pt idx="8">
                  <c:v>4.7022510118376687E-2</c:v>
                </c:pt>
                <c:pt idx="9">
                  <c:v>6.1233419416820048E-2</c:v>
                </c:pt>
                <c:pt idx="10">
                  <c:v>8.4420474235989237E-2</c:v>
                </c:pt>
                <c:pt idx="11">
                  <c:v>1</c:v>
                </c:pt>
              </c:numCache>
            </c:numRef>
          </c:xVal>
          <c:yVal>
            <c:numRef>
              <c:f>'JUIZ DE FORA'!$P$2:$P$13</c:f>
              <c:numCache>
                <c:formatCode>0.00</c:formatCode>
                <c:ptCount val="12"/>
                <c:pt idx="0">
                  <c:v>4.7846889952153108E-3</c:v>
                </c:pt>
                <c:pt idx="1">
                  <c:v>1.1961722488038277E-2</c:v>
                </c:pt>
                <c:pt idx="2">
                  <c:v>1.6746411483253589E-2</c:v>
                </c:pt>
                <c:pt idx="3">
                  <c:v>2.1531100478468901E-2</c:v>
                </c:pt>
                <c:pt idx="4">
                  <c:v>5.0239234449760764E-2</c:v>
                </c:pt>
                <c:pt idx="5">
                  <c:v>5.0239234449760764E-2</c:v>
                </c:pt>
                <c:pt idx="6">
                  <c:v>7.6555023923444973E-2</c:v>
                </c:pt>
                <c:pt idx="7">
                  <c:v>7.6555023923444973E-2</c:v>
                </c:pt>
                <c:pt idx="8">
                  <c:v>9.0909090909090912E-2</c:v>
                </c:pt>
                <c:pt idx="9">
                  <c:v>0.1076555023923445</c:v>
                </c:pt>
                <c:pt idx="10">
                  <c:v>0.13636363636363638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A39-4CB5-B475-0D03580F9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5680512"/>
        <c:axId val="355686752"/>
      </c:scatterChart>
      <c:valAx>
        <c:axId val="35568051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5686752"/>
        <c:crosses val="autoZero"/>
        <c:crossBetween val="midCat"/>
      </c:valAx>
      <c:valAx>
        <c:axId val="35568675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5680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'LEOPOLDINA-CATAGUASES'!$J$1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'LEOPOLDINA-CATAGUASES'!$I$2:$I$11</c:f>
              <c:numCache>
                <c:formatCode>0.00</c:formatCode>
                <c:ptCount val="10"/>
                <c:pt idx="0">
                  <c:v>1.4521484322105047E-2</c:v>
                </c:pt>
                <c:pt idx="1">
                  <c:v>3.5694360940944518E-2</c:v>
                </c:pt>
                <c:pt idx="2">
                  <c:v>5.9499628973638169E-2</c:v>
                </c:pt>
                <c:pt idx="3">
                  <c:v>9.528065300639682E-2</c:v>
                </c:pt>
                <c:pt idx="4">
                  <c:v>0.1313758307469817</c:v>
                </c:pt>
                <c:pt idx="5">
                  <c:v>0.16851096558933612</c:v>
                </c:pt>
                <c:pt idx="6">
                  <c:v>0.22550278134360291</c:v>
                </c:pt>
                <c:pt idx="7">
                  <c:v>0.3032720733603072</c:v>
                </c:pt>
                <c:pt idx="8">
                  <c:v>0.58866446759071189</c:v>
                </c:pt>
                <c:pt idx="9">
                  <c:v>1</c:v>
                </c:pt>
              </c:numCache>
            </c:numRef>
          </c:xVal>
          <c:yVal>
            <c:numRef>
              <c:f>'LEOPOLDINA-CATAGUASES'!$J$2:$J$11</c:f>
              <c:numCache>
                <c:formatCode>0.00</c:formatCode>
                <c:ptCount val="10"/>
                <c:pt idx="0">
                  <c:v>1.4521484322105047E-2</c:v>
                </c:pt>
                <c:pt idx="1">
                  <c:v>3.5694360940944518E-2</c:v>
                </c:pt>
                <c:pt idx="2">
                  <c:v>5.9499628973638169E-2</c:v>
                </c:pt>
                <c:pt idx="3">
                  <c:v>9.528065300639682E-2</c:v>
                </c:pt>
                <c:pt idx="4">
                  <c:v>0.1313758307469817</c:v>
                </c:pt>
                <c:pt idx="5">
                  <c:v>0.16851096558933612</c:v>
                </c:pt>
                <c:pt idx="6">
                  <c:v>0.22550278134360291</c:v>
                </c:pt>
                <c:pt idx="7">
                  <c:v>0.3032720733603072</c:v>
                </c:pt>
                <c:pt idx="8">
                  <c:v>0.58866446759071189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6A-485E-B6E8-3014B9C4ADCC}"/>
            </c:ext>
          </c:extLst>
        </c:ser>
        <c:ser>
          <c:idx val="1"/>
          <c:order val="1"/>
          <c:tx>
            <c:strRef>
              <c:f>'LEOPOLDINA-CATAGUASES'!$K$1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'LEOPOLDINA-CATAGUASES'!$I$2:$I$11</c:f>
              <c:numCache>
                <c:formatCode>0.00</c:formatCode>
                <c:ptCount val="10"/>
                <c:pt idx="0">
                  <c:v>1.4521484322105047E-2</c:v>
                </c:pt>
                <c:pt idx="1">
                  <c:v>3.5694360940944518E-2</c:v>
                </c:pt>
                <c:pt idx="2">
                  <c:v>5.9499628973638169E-2</c:v>
                </c:pt>
                <c:pt idx="3">
                  <c:v>9.528065300639682E-2</c:v>
                </c:pt>
                <c:pt idx="4">
                  <c:v>0.1313758307469817</c:v>
                </c:pt>
                <c:pt idx="5">
                  <c:v>0.16851096558933612</c:v>
                </c:pt>
                <c:pt idx="6">
                  <c:v>0.22550278134360291</c:v>
                </c:pt>
                <c:pt idx="7">
                  <c:v>0.3032720733603072</c:v>
                </c:pt>
                <c:pt idx="8">
                  <c:v>0.58866446759071189</c:v>
                </c:pt>
                <c:pt idx="9">
                  <c:v>1</c:v>
                </c:pt>
              </c:numCache>
            </c:numRef>
          </c:xVal>
          <c:yVal>
            <c:numRef>
              <c:f>'LEOPOLDINA-CATAGUASES'!$K$2:$K$11</c:f>
              <c:numCache>
                <c:formatCode>0.00</c:formatCode>
                <c:ptCount val="10"/>
                <c:pt idx="0">
                  <c:v>3.7499999999999999E-2</c:v>
                </c:pt>
                <c:pt idx="1">
                  <c:v>3.7499999999999999E-2</c:v>
                </c:pt>
                <c:pt idx="2">
                  <c:v>6.25E-2</c:v>
                </c:pt>
                <c:pt idx="3">
                  <c:v>0.13750000000000001</c:v>
                </c:pt>
                <c:pt idx="4">
                  <c:v>0.17500000000000002</c:v>
                </c:pt>
                <c:pt idx="5">
                  <c:v>0.21250000000000002</c:v>
                </c:pt>
                <c:pt idx="6">
                  <c:v>0.23750000000000002</c:v>
                </c:pt>
                <c:pt idx="7">
                  <c:v>0.32500000000000001</c:v>
                </c:pt>
                <c:pt idx="8">
                  <c:v>0.61250000000000004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26A-485E-B6E8-3014B9C4ADCC}"/>
            </c:ext>
          </c:extLst>
        </c:ser>
        <c:ser>
          <c:idx val="2"/>
          <c:order val="2"/>
          <c:tx>
            <c:strRef>
              <c:f>'LEOPOLDINA-CATAGUASES'!$L$1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'LEOPOLDINA-CATAGUASES'!$I$2:$I$11</c:f>
              <c:numCache>
                <c:formatCode>0.00</c:formatCode>
                <c:ptCount val="10"/>
                <c:pt idx="0">
                  <c:v>1.4521484322105047E-2</c:v>
                </c:pt>
                <c:pt idx="1">
                  <c:v>3.5694360940944518E-2</c:v>
                </c:pt>
                <c:pt idx="2">
                  <c:v>5.9499628973638169E-2</c:v>
                </c:pt>
                <c:pt idx="3">
                  <c:v>9.528065300639682E-2</c:v>
                </c:pt>
                <c:pt idx="4">
                  <c:v>0.1313758307469817</c:v>
                </c:pt>
                <c:pt idx="5">
                  <c:v>0.16851096558933612</c:v>
                </c:pt>
                <c:pt idx="6">
                  <c:v>0.22550278134360291</c:v>
                </c:pt>
                <c:pt idx="7">
                  <c:v>0.3032720733603072</c:v>
                </c:pt>
                <c:pt idx="8">
                  <c:v>0.58866446759071189</c:v>
                </c:pt>
                <c:pt idx="9">
                  <c:v>1</c:v>
                </c:pt>
              </c:numCache>
            </c:numRef>
          </c:xVal>
          <c:yVal>
            <c:numRef>
              <c:f>'LEOPOLDINA-CATAGUASES'!$L$2:$L$11</c:f>
              <c:numCache>
                <c:formatCode>0.00</c:formatCode>
                <c:ptCount val="10"/>
                <c:pt idx="0">
                  <c:v>2.0408163265306121E-2</c:v>
                </c:pt>
                <c:pt idx="1">
                  <c:v>2.0408163265306121E-2</c:v>
                </c:pt>
                <c:pt idx="2">
                  <c:v>2.0408163265306121E-2</c:v>
                </c:pt>
                <c:pt idx="3">
                  <c:v>6.1224489795918366E-2</c:v>
                </c:pt>
                <c:pt idx="4">
                  <c:v>0.20408163265306123</c:v>
                </c:pt>
                <c:pt idx="5">
                  <c:v>0.2857142857142857</c:v>
                </c:pt>
                <c:pt idx="6">
                  <c:v>0.38775510204081631</c:v>
                </c:pt>
                <c:pt idx="7">
                  <c:v>0.40816326530612246</c:v>
                </c:pt>
                <c:pt idx="8">
                  <c:v>0.67346938775510212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26A-485E-B6E8-3014B9C4ADCC}"/>
            </c:ext>
          </c:extLst>
        </c:ser>
        <c:ser>
          <c:idx val="3"/>
          <c:order val="3"/>
          <c:tx>
            <c:strRef>
              <c:f>'LEOPOLDINA-CATAGUASES'!$M$1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'LEOPOLDINA-CATAGUASES'!$I$2:$I$11</c:f>
              <c:numCache>
                <c:formatCode>0.00</c:formatCode>
                <c:ptCount val="10"/>
                <c:pt idx="0">
                  <c:v>1.4521484322105047E-2</c:v>
                </c:pt>
                <c:pt idx="1">
                  <c:v>3.5694360940944518E-2</c:v>
                </c:pt>
                <c:pt idx="2">
                  <c:v>5.9499628973638169E-2</c:v>
                </c:pt>
                <c:pt idx="3">
                  <c:v>9.528065300639682E-2</c:v>
                </c:pt>
                <c:pt idx="4">
                  <c:v>0.1313758307469817</c:v>
                </c:pt>
                <c:pt idx="5">
                  <c:v>0.16851096558933612</c:v>
                </c:pt>
                <c:pt idx="6">
                  <c:v>0.22550278134360291</c:v>
                </c:pt>
                <c:pt idx="7">
                  <c:v>0.3032720733603072</c:v>
                </c:pt>
                <c:pt idx="8">
                  <c:v>0.58866446759071189</c:v>
                </c:pt>
                <c:pt idx="9">
                  <c:v>1</c:v>
                </c:pt>
              </c:numCache>
            </c:numRef>
          </c:xVal>
          <c:yVal>
            <c:numRef>
              <c:f>'LEOPOLDINA-CATAGUASES'!$M$2:$M$11</c:f>
              <c:numCache>
                <c:formatCode>0.00</c:formatCode>
                <c:ptCount val="10"/>
                <c:pt idx="0">
                  <c:v>0</c:v>
                </c:pt>
                <c:pt idx="1">
                  <c:v>6.25E-2</c:v>
                </c:pt>
                <c:pt idx="2">
                  <c:v>0.10416666666666666</c:v>
                </c:pt>
                <c:pt idx="3">
                  <c:v>0.1875</c:v>
                </c:pt>
                <c:pt idx="4">
                  <c:v>0.27083333333333331</c:v>
                </c:pt>
                <c:pt idx="5">
                  <c:v>0.29166666666666663</c:v>
                </c:pt>
                <c:pt idx="6">
                  <c:v>0.33333333333333331</c:v>
                </c:pt>
                <c:pt idx="7">
                  <c:v>0.375</c:v>
                </c:pt>
                <c:pt idx="8">
                  <c:v>0.60416666666666663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26A-485E-B6E8-3014B9C4A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364464"/>
        <c:axId val="388362544"/>
      </c:scatterChart>
      <c:valAx>
        <c:axId val="3883644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8362544"/>
        <c:crosses val="autoZero"/>
        <c:crossBetween val="midCat"/>
      </c:valAx>
      <c:valAx>
        <c:axId val="3883625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8364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'LEOPOLDINA-CATAGUASES'!$J$1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'LEOPOLDINA-CATAGUASES'!$I$2:$I$11</c:f>
              <c:numCache>
                <c:formatCode>0.00</c:formatCode>
                <c:ptCount val="10"/>
                <c:pt idx="0">
                  <c:v>1.4521484322105047E-2</c:v>
                </c:pt>
                <c:pt idx="1">
                  <c:v>3.5694360940944518E-2</c:v>
                </c:pt>
                <c:pt idx="2">
                  <c:v>5.9499628973638169E-2</c:v>
                </c:pt>
                <c:pt idx="3">
                  <c:v>9.528065300639682E-2</c:v>
                </c:pt>
                <c:pt idx="4">
                  <c:v>0.1313758307469817</c:v>
                </c:pt>
                <c:pt idx="5">
                  <c:v>0.16851096558933612</c:v>
                </c:pt>
                <c:pt idx="6">
                  <c:v>0.22550278134360291</c:v>
                </c:pt>
                <c:pt idx="7">
                  <c:v>0.3032720733603072</c:v>
                </c:pt>
                <c:pt idx="8">
                  <c:v>0.58866446759071189</c:v>
                </c:pt>
                <c:pt idx="9">
                  <c:v>1</c:v>
                </c:pt>
              </c:numCache>
            </c:numRef>
          </c:xVal>
          <c:yVal>
            <c:numRef>
              <c:f>'LEOPOLDINA-CATAGUASES'!$J$2:$J$11</c:f>
              <c:numCache>
                <c:formatCode>0.00</c:formatCode>
                <c:ptCount val="10"/>
                <c:pt idx="0">
                  <c:v>1.4521484322105047E-2</c:v>
                </c:pt>
                <c:pt idx="1">
                  <c:v>3.5694360940944518E-2</c:v>
                </c:pt>
                <c:pt idx="2">
                  <c:v>5.9499628973638169E-2</c:v>
                </c:pt>
                <c:pt idx="3">
                  <c:v>9.528065300639682E-2</c:v>
                </c:pt>
                <c:pt idx="4">
                  <c:v>0.1313758307469817</c:v>
                </c:pt>
                <c:pt idx="5">
                  <c:v>0.16851096558933612</c:v>
                </c:pt>
                <c:pt idx="6">
                  <c:v>0.22550278134360291</c:v>
                </c:pt>
                <c:pt idx="7">
                  <c:v>0.3032720733603072</c:v>
                </c:pt>
                <c:pt idx="8">
                  <c:v>0.58866446759071189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6C-40EF-9C30-EB3BAC62923C}"/>
            </c:ext>
          </c:extLst>
        </c:ser>
        <c:ser>
          <c:idx val="1"/>
          <c:order val="1"/>
          <c:tx>
            <c:strRef>
              <c:f>'LEOPOLDINA-CATAGUASES'!$N$1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'LEOPOLDINA-CATAGUASES'!$I$2:$I$11</c:f>
              <c:numCache>
                <c:formatCode>0.00</c:formatCode>
                <c:ptCount val="10"/>
                <c:pt idx="0">
                  <c:v>1.4521484322105047E-2</c:v>
                </c:pt>
                <c:pt idx="1">
                  <c:v>3.5694360940944518E-2</c:v>
                </c:pt>
                <c:pt idx="2">
                  <c:v>5.9499628973638169E-2</c:v>
                </c:pt>
                <c:pt idx="3">
                  <c:v>9.528065300639682E-2</c:v>
                </c:pt>
                <c:pt idx="4">
                  <c:v>0.1313758307469817</c:v>
                </c:pt>
                <c:pt idx="5">
                  <c:v>0.16851096558933612</c:v>
                </c:pt>
                <c:pt idx="6">
                  <c:v>0.22550278134360291</c:v>
                </c:pt>
                <c:pt idx="7">
                  <c:v>0.3032720733603072</c:v>
                </c:pt>
                <c:pt idx="8">
                  <c:v>0.58866446759071189</c:v>
                </c:pt>
                <c:pt idx="9">
                  <c:v>1</c:v>
                </c:pt>
              </c:numCache>
            </c:numRef>
          </c:xVal>
          <c:yVal>
            <c:numRef>
              <c:f>'LEOPOLDINA-CATAGUASES'!$N$2:$N$11</c:f>
              <c:numCache>
                <c:formatCode>0.00</c:formatCode>
                <c:ptCount val="10"/>
                <c:pt idx="0">
                  <c:v>0</c:v>
                </c:pt>
                <c:pt idx="1">
                  <c:v>3.8461538461538464E-2</c:v>
                </c:pt>
                <c:pt idx="2">
                  <c:v>5.128205128205128E-2</c:v>
                </c:pt>
                <c:pt idx="3">
                  <c:v>0.10256410256410256</c:v>
                </c:pt>
                <c:pt idx="4">
                  <c:v>0.17948717948717949</c:v>
                </c:pt>
                <c:pt idx="5">
                  <c:v>0.17948717948717949</c:v>
                </c:pt>
                <c:pt idx="6">
                  <c:v>0.21794871794871795</c:v>
                </c:pt>
                <c:pt idx="7">
                  <c:v>0.34615384615384615</c:v>
                </c:pt>
                <c:pt idx="8">
                  <c:v>0.71794871794871795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F6C-40EF-9C30-EB3BAC62923C}"/>
            </c:ext>
          </c:extLst>
        </c:ser>
        <c:ser>
          <c:idx val="2"/>
          <c:order val="2"/>
          <c:tx>
            <c:strRef>
              <c:f>'LEOPOLDINA-CATAGUASES'!$O$1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'LEOPOLDINA-CATAGUASES'!$I$2:$I$11</c:f>
              <c:numCache>
                <c:formatCode>0.00</c:formatCode>
                <c:ptCount val="10"/>
                <c:pt idx="0">
                  <c:v>1.4521484322105047E-2</c:v>
                </c:pt>
                <c:pt idx="1">
                  <c:v>3.5694360940944518E-2</c:v>
                </c:pt>
                <c:pt idx="2">
                  <c:v>5.9499628973638169E-2</c:v>
                </c:pt>
                <c:pt idx="3">
                  <c:v>9.528065300639682E-2</c:v>
                </c:pt>
                <c:pt idx="4">
                  <c:v>0.1313758307469817</c:v>
                </c:pt>
                <c:pt idx="5">
                  <c:v>0.16851096558933612</c:v>
                </c:pt>
                <c:pt idx="6">
                  <c:v>0.22550278134360291</c:v>
                </c:pt>
                <c:pt idx="7">
                  <c:v>0.3032720733603072</c:v>
                </c:pt>
                <c:pt idx="8">
                  <c:v>0.58866446759071189</c:v>
                </c:pt>
                <c:pt idx="9">
                  <c:v>1</c:v>
                </c:pt>
              </c:numCache>
            </c:numRef>
          </c:xVal>
          <c:yVal>
            <c:numRef>
              <c:f>'LEOPOLDINA-CATAGUASES'!$O$2:$O$11</c:f>
              <c:numCache>
                <c:formatCode>0.00</c:formatCode>
                <c:ptCount val="10"/>
                <c:pt idx="0">
                  <c:v>4.6153846153846156E-2</c:v>
                </c:pt>
                <c:pt idx="1">
                  <c:v>7.6923076923076927E-2</c:v>
                </c:pt>
                <c:pt idx="2">
                  <c:v>0.1076923076923077</c:v>
                </c:pt>
                <c:pt idx="3">
                  <c:v>0.13846153846153847</c:v>
                </c:pt>
                <c:pt idx="4">
                  <c:v>0.16923076923076924</c:v>
                </c:pt>
                <c:pt idx="5">
                  <c:v>0.16923076923076924</c:v>
                </c:pt>
                <c:pt idx="6">
                  <c:v>0.24615384615384617</c:v>
                </c:pt>
                <c:pt idx="7">
                  <c:v>0.52307692307692311</c:v>
                </c:pt>
                <c:pt idx="8">
                  <c:v>0.72307692307692317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F6C-40EF-9C30-EB3BAC62923C}"/>
            </c:ext>
          </c:extLst>
        </c:ser>
        <c:ser>
          <c:idx val="3"/>
          <c:order val="3"/>
          <c:tx>
            <c:strRef>
              <c:f>'LEOPOLDINA-CATAGUASES'!$P$1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'LEOPOLDINA-CATAGUASES'!$I$2:$I$11</c:f>
              <c:numCache>
                <c:formatCode>0.00</c:formatCode>
                <c:ptCount val="10"/>
                <c:pt idx="0">
                  <c:v>1.4521484322105047E-2</c:v>
                </c:pt>
                <c:pt idx="1">
                  <c:v>3.5694360940944518E-2</c:v>
                </c:pt>
                <c:pt idx="2">
                  <c:v>5.9499628973638169E-2</c:v>
                </c:pt>
                <c:pt idx="3">
                  <c:v>9.528065300639682E-2</c:v>
                </c:pt>
                <c:pt idx="4">
                  <c:v>0.1313758307469817</c:v>
                </c:pt>
                <c:pt idx="5">
                  <c:v>0.16851096558933612</c:v>
                </c:pt>
                <c:pt idx="6">
                  <c:v>0.22550278134360291</c:v>
                </c:pt>
                <c:pt idx="7">
                  <c:v>0.3032720733603072</c:v>
                </c:pt>
                <c:pt idx="8">
                  <c:v>0.58866446759071189</c:v>
                </c:pt>
                <c:pt idx="9">
                  <c:v>1</c:v>
                </c:pt>
              </c:numCache>
            </c:numRef>
          </c:xVal>
          <c:yVal>
            <c:numRef>
              <c:f>'LEOPOLDINA-CATAGUASES'!$P$2:$P$11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6.25E-2</c:v>
                </c:pt>
                <c:pt idx="5">
                  <c:v>6.25E-2</c:v>
                </c:pt>
                <c:pt idx="6">
                  <c:v>0.125</c:v>
                </c:pt>
                <c:pt idx="7">
                  <c:v>0.3125</c:v>
                </c:pt>
                <c:pt idx="8">
                  <c:v>0.8125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F6C-40EF-9C30-EB3BAC629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373104"/>
        <c:axId val="388373584"/>
      </c:scatterChart>
      <c:valAx>
        <c:axId val="38837310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8373584"/>
        <c:crosses val="autoZero"/>
        <c:crossBetween val="midCat"/>
      </c:valAx>
      <c:valAx>
        <c:axId val="38837358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8373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'LIMA DUARTE'!$J$1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'LIMA DUARTE'!$I$2:$I$15</c:f>
              <c:numCache>
                <c:formatCode>0.00</c:formatCode>
                <c:ptCount val="14"/>
                <c:pt idx="0">
                  <c:v>2.2951752543796659E-2</c:v>
                </c:pt>
                <c:pt idx="1">
                  <c:v>4.7393878629398298E-2</c:v>
                </c:pt>
                <c:pt idx="2">
                  <c:v>7.4816751798609887E-2</c:v>
                </c:pt>
                <c:pt idx="3">
                  <c:v>0.11246900700475565</c:v>
                </c:pt>
                <c:pt idx="4">
                  <c:v>0.15598791442546101</c:v>
                </c:pt>
                <c:pt idx="5">
                  <c:v>0.19950682184616636</c:v>
                </c:pt>
                <c:pt idx="6">
                  <c:v>0.24397414879347487</c:v>
                </c:pt>
                <c:pt idx="7">
                  <c:v>0.30959123118403403</c:v>
                </c:pt>
                <c:pt idx="8">
                  <c:v>0.37725418998198001</c:v>
                </c:pt>
                <c:pt idx="9">
                  <c:v>0.44619074071565024</c:v>
                </c:pt>
                <c:pt idx="10">
                  <c:v>0.52061457585323878</c:v>
                </c:pt>
                <c:pt idx="11">
                  <c:v>0.60792336770225042</c:v>
                </c:pt>
                <c:pt idx="12">
                  <c:v>0.77307030498462204</c:v>
                </c:pt>
                <c:pt idx="13">
                  <c:v>1</c:v>
                </c:pt>
              </c:numCache>
            </c:numRef>
          </c:xVal>
          <c:yVal>
            <c:numRef>
              <c:f>'LIMA DUARTE'!$J$2:$J$15</c:f>
              <c:numCache>
                <c:formatCode>0.00</c:formatCode>
                <c:ptCount val="14"/>
                <c:pt idx="0">
                  <c:v>2.2951752543796659E-2</c:v>
                </c:pt>
                <c:pt idx="1">
                  <c:v>4.7393878629398298E-2</c:v>
                </c:pt>
                <c:pt idx="2">
                  <c:v>7.4816751798609887E-2</c:v>
                </c:pt>
                <c:pt idx="3">
                  <c:v>0.11246900700475565</c:v>
                </c:pt>
                <c:pt idx="4">
                  <c:v>0.15598791442546101</c:v>
                </c:pt>
                <c:pt idx="5">
                  <c:v>0.19950682184616636</c:v>
                </c:pt>
                <c:pt idx="6">
                  <c:v>0.24397414879347487</c:v>
                </c:pt>
                <c:pt idx="7">
                  <c:v>0.30959123118403403</c:v>
                </c:pt>
                <c:pt idx="8">
                  <c:v>0.37725418998198001</c:v>
                </c:pt>
                <c:pt idx="9">
                  <c:v>0.44619074071565024</c:v>
                </c:pt>
                <c:pt idx="10">
                  <c:v>0.52061457585323878</c:v>
                </c:pt>
                <c:pt idx="11">
                  <c:v>0.60792336770225042</c:v>
                </c:pt>
                <c:pt idx="12">
                  <c:v>0.77307030498462204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50-4319-8445-447C8B650464}"/>
            </c:ext>
          </c:extLst>
        </c:ser>
        <c:ser>
          <c:idx val="1"/>
          <c:order val="1"/>
          <c:tx>
            <c:strRef>
              <c:f>'LIMA DUARTE'!$K$1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'LIMA DUARTE'!$I$2:$I$15</c:f>
              <c:numCache>
                <c:formatCode>0.00</c:formatCode>
                <c:ptCount val="14"/>
                <c:pt idx="0">
                  <c:v>2.2951752543796659E-2</c:v>
                </c:pt>
                <c:pt idx="1">
                  <c:v>4.7393878629398298E-2</c:v>
                </c:pt>
                <c:pt idx="2">
                  <c:v>7.4816751798609887E-2</c:v>
                </c:pt>
                <c:pt idx="3">
                  <c:v>0.11246900700475565</c:v>
                </c:pt>
                <c:pt idx="4">
                  <c:v>0.15598791442546101</c:v>
                </c:pt>
                <c:pt idx="5">
                  <c:v>0.19950682184616636</c:v>
                </c:pt>
                <c:pt idx="6">
                  <c:v>0.24397414879347487</c:v>
                </c:pt>
                <c:pt idx="7">
                  <c:v>0.30959123118403403</c:v>
                </c:pt>
                <c:pt idx="8">
                  <c:v>0.37725418998198001</c:v>
                </c:pt>
                <c:pt idx="9">
                  <c:v>0.44619074071565024</c:v>
                </c:pt>
                <c:pt idx="10">
                  <c:v>0.52061457585323878</c:v>
                </c:pt>
                <c:pt idx="11">
                  <c:v>0.60792336770225042</c:v>
                </c:pt>
                <c:pt idx="12">
                  <c:v>0.77307030498462204</c:v>
                </c:pt>
                <c:pt idx="13">
                  <c:v>1</c:v>
                </c:pt>
              </c:numCache>
            </c:numRef>
          </c:xVal>
          <c:yVal>
            <c:numRef>
              <c:f>'LIMA DUARTE'!$K$2:$K$15</c:f>
              <c:numCache>
                <c:formatCode>0.00</c:formatCode>
                <c:ptCount val="14"/>
                <c:pt idx="0">
                  <c:v>0</c:v>
                </c:pt>
                <c:pt idx="1">
                  <c:v>8.0000000000000002E-3</c:v>
                </c:pt>
                <c:pt idx="2">
                  <c:v>2.4E-2</c:v>
                </c:pt>
                <c:pt idx="3">
                  <c:v>6.4000000000000001E-2</c:v>
                </c:pt>
                <c:pt idx="4">
                  <c:v>9.6000000000000002E-2</c:v>
                </c:pt>
                <c:pt idx="5">
                  <c:v>0.23200000000000001</c:v>
                </c:pt>
                <c:pt idx="6">
                  <c:v>0.26400000000000001</c:v>
                </c:pt>
                <c:pt idx="7">
                  <c:v>0.32</c:v>
                </c:pt>
                <c:pt idx="8">
                  <c:v>0.33600000000000002</c:v>
                </c:pt>
                <c:pt idx="9">
                  <c:v>0.376</c:v>
                </c:pt>
                <c:pt idx="10">
                  <c:v>0.44</c:v>
                </c:pt>
                <c:pt idx="11">
                  <c:v>0.47199999999999998</c:v>
                </c:pt>
                <c:pt idx="12">
                  <c:v>0.624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E50-4319-8445-447C8B650464}"/>
            </c:ext>
          </c:extLst>
        </c:ser>
        <c:ser>
          <c:idx val="2"/>
          <c:order val="2"/>
          <c:tx>
            <c:strRef>
              <c:f>'LIMA DUARTE'!$L$1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'LIMA DUARTE'!$I$2:$I$15</c:f>
              <c:numCache>
                <c:formatCode>0.00</c:formatCode>
                <c:ptCount val="14"/>
                <c:pt idx="0">
                  <c:v>2.2951752543796659E-2</c:v>
                </c:pt>
                <c:pt idx="1">
                  <c:v>4.7393878629398298E-2</c:v>
                </c:pt>
                <c:pt idx="2">
                  <c:v>7.4816751798609887E-2</c:v>
                </c:pt>
                <c:pt idx="3">
                  <c:v>0.11246900700475565</c:v>
                </c:pt>
                <c:pt idx="4">
                  <c:v>0.15598791442546101</c:v>
                </c:pt>
                <c:pt idx="5">
                  <c:v>0.19950682184616636</c:v>
                </c:pt>
                <c:pt idx="6">
                  <c:v>0.24397414879347487</c:v>
                </c:pt>
                <c:pt idx="7">
                  <c:v>0.30959123118403403</c:v>
                </c:pt>
                <c:pt idx="8">
                  <c:v>0.37725418998198001</c:v>
                </c:pt>
                <c:pt idx="9">
                  <c:v>0.44619074071565024</c:v>
                </c:pt>
                <c:pt idx="10">
                  <c:v>0.52061457585323878</c:v>
                </c:pt>
                <c:pt idx="11">
                  <c:v>0.60792336770225042</c:v>
                </c:pt>
                <c:pt idx="12">
                  <c:v>0.77307030498462204</c:v>
                </c:pt>
                <c:pt idx="13">
                  <c:v>1</c:v>
                </c:pt>
              </c:numCache>
            </c:numRef>
          </c:xVal>
          <c:yVal>
            <c:numRef>
              <c:f>'LIMA DUARTE'!$L$2:$L$15</c:f>
              <c:numCache>
                <c:formatCode>0.00</c:formatCode>
                <c:ptCount val="14"/>
                <c:pt idx="0">
                  <c:v>0</c:v>
                </c:pt>
                <c:pt idx="1">
                  <c:v>2.564102564102564E-2</c:v>
                </c:pt>
                <c:pt idx="2">
                  <c:v>6.4102564102564097E-2</c:v>
                </c:pt>
                <c:pt idx="3">
                  <c:v>7.6923076923076913E-2</c:v>
                </c:pt>
                <c:pt idx="4">
                  <c:v>0.10256410256410256</c:v>
                </c:pt>
                <c:pt idx="5">
                  <c:v>0.23076923076923075</c:v>
                </c:pt>
                <c:pt idx="6">
                  <c:v>0.23076923076923075</c:v>
                </c:pt>
                <c:pt idx="7">
                  <c:v>0.25641025641025639</c:v>
                </c:pt>
                <c:pt idx="8">
                  <c:v>0.32051282051282048</c:v>
                </c:pt>
                <c:pt idx="9">
                  <c:v>0.34615384615384615</c:v>
                </c:pt>
                <c:pt idx="10">
                  <c:v>0.39743589743589741</c:v>
                </c:pt>
                <c:pt idx="11">
                  <c:v>0.48717948717948717</c:v>
                </c:pt>
                <c:pt idx="12">
                  <c:v>0.82051282051282048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E50-4319-8445-447C8B650464}"/>
            </c:ext>
          </c:extLst>
        </c:ser>
        <c:ser>
          <c:idx val="3"/>
          <c:order val="3"/>
          <c:tx>
            <c:strRef>
              <c:f>'LIMA DUARTE'!$M$1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'LIMA DUARTE'!$I$2:$I$15</c:f>
              <c:numCache>
                <c:formatCode>0.00</c:formatCode>
                <c:ptCount val="14"/>
                <c:pt idx="0">
                  <c:v>2.2951752543796659E-2</c:v>
                </c:pt>
                <c:pt idx="1">
                  <c:v>4.7393878629398298E-2</c:v>
                </c:pt>
                <c:pt idx="2">
                  <c:v>7.4816751798609887E-2</c:v>
                </c:pt>
                <c:pt idx="3">
                  <c:v>0.11246900700475565</c:v>
                </c:pt>
                <c:pt idx="4">
                  <c:v>0.15598791442546101</c:v>
                </c:pt>
                <c:pt idx="5">
                  <c:v>0.19950682184616636</c:v>
                </c:pt>
                <c:pt idx="6">
                  <c:v>0.24397414879347487</c:v>
                </c:pt>
                <c:pt idx="7">
                  <c:v>0.30959123118403403</c:v>
                </c:pt>
                <c:pt idx="8">
                  <c:v>0.37725418998198001</c:v>
                </c:pt>
                <c:pt idx="9">
                  <c:v>0.44619074071565024</c:v>
                </c:pt>
                <c:pt idx="10">
                  <c:v>0.52061457585323878</c:v>
                </c:pt>
                <c:pt idx="11">
                  <c:v>0.60792336770225042</c:v>
                </c:pt>
                <c:pt idx="12">
                  <c:v>0.77307030498462204</c:v>
                </c:pt>
                <c:pt idx="13">
                  <c:v>1</c:v>
                </c:pt>
              </c:numCache>
            </c:numRef>
          </c:xVal>
          <c:yVal>
            <c:numRef>
              <c:f>'LIMA DUARTE'!$M$2:$M$15</c:f>
              <c:numCache>
                <c:formatCode>0.00</c:formatCode>
                <c:ptCount val="14"/>
                <c:pt idx="0">
                  <c:v>4.4444444444444446E-2</c:v>
                </c:pt>
                <c:pt idx="1">
                  <c:v>8.8888888888888892E-2</c:v>
                </c:pt>
                <c:pt idx="2">
                  <c:v>8.8888888888888892E-2</c:v>
                </c:pt>
                <c:pt idx="3">
                  <c:v>0.11111111111111112</c:v>
                </c:pt>
                <c:pt idx="4">
                  <c:v>0.11111111111111112</c:v>
                </c:pt>
                <c:pt idx="5">
                  <c:v>0.24444444444444446</c:v>
                </c:pt>
                <c:pt idx="6">
                  <c:v>0.28888888888888892</c:v>
                </c:pt>
                <c:pt idx="7">
                  <c:v>0.28888888888888892</c:v>
                </c:pt>
                <c:pt idx="8">
                  <c:v>0.33333333333333337</c:v>
                </c:pt>
                <c:pt idx="9">
                  <c:v>0.33333333333333337</c:v>
                </c:pt>
                <c:pt idx="10">
                  <c:v>0.37777777777777782</c:v>
                </c:pt>
                <c:pt idx="11">
                  <c:v>0.4</c:v>
                </c:pt>
                <c:pt idx="12">
                  <c:v>0.71111111111111114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E50-4319-8445-447C8B650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061104"/>
        <c:axId val="366061584"/>
      </c:scatterChart>
      <c:valAx>
        <c:axId val="36606110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6061584"/>
        <c:crosses val="autoZero"/>
        <c:crossBetween val="midCat"/>
      </c:valAx>
      <c:valAx>
        <c:axId val="3660615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6061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'LIMA DUARTE'!$J$1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'LIMA DUARTE'!$I$2:$I$15</c:f>
              <c:numCache>
                <c:formatCode>0.00</c:formatCode>
                <c:ptCount val="14"/>
                <c:pt idx="0">
                  <c:v>2.2951752543796659E-2</c:v>
                </c:pt>
                <c:pt idx="1">
                  <c:v>4.7393878629398298E-2</c:v>
                </c:pt>
                <c:pt idx="2">
                  <c:v>7.4816751798609887E-2</c:v>
                </c:pt>
                <c:pt idx="3">
                  <c:v>0.11246900700475565</c:v>
                </c:pt>
                <c:pt idx="4">
                  <c:v>0.15598791442546101</c:v>
                </c:pt>
                <c:pt idx="5">
                  <c:v>0.19950682184616636</c:v>
                </c:pt>
                <c:pt idx="6">
                  <c:v>0.24397414879347487</c:v>
                </c:pt>
                <c:pt idx="7">
                  <c:v>0.30959123118403403</c:v>
                </c:pt>
                <c:pt idx="8">
                  <c:v>0.37725418998198001</c:v>
                </c:pt>
                <c:pt idx="9">
                  <c:v>0.44619074071565024</c:v>
                </c:pt>
                <c:pt idx="10">
                  <c:v>0.52061457585323878</c:v>
                </c:pt>
                <c:pt idx="11">
                  <c:v>0.60792336770225042</c:v>
                </c:pt>
                <c:pt idx="12">
                  <c:v>0.77307030498462204</c:v>
                </c:pt>
                <c:pt idx="13">
                  <c:v>1</c:v>
                </c:pt>
              </c:numCache>
            </c:numRef>
          </c:xVal>
          <c:yVal>
            <c:numRef>
              <c:f>'LIMA DUARTE'!$J$2:$J$15</c:f>
              <c:numCache>
                <c:formatCode>0.00</c:formatCode>
                <c:ptCount val="14"/>
                <c:pt idx="0">
                  <c:v>2.2951752543796659E-2</c:v>
                </c:pt>
                <c:pt idx="1">
                  <c:v>4.7393878629398298E-2</c:v>
                </c:pt>
                <c:pt idx="2">
                  <c:v>7.4816751798609887E-2</c:v>
                </c:pt>
                <c:pt idx="3">
                  <c:v>0.11246900700475565</c:v>
                </c:pt>
                <c:pt idx="4">
                  <c:v>0.15598791442546101</c:v>
                </c:pt>
                <c:pt idx="5">
                  <c:v>0.19950682184616636</c:v>
                </c:pt>
                <c:pt idx="6">
                  <c:v>0.24397414879347487</c:v>
                </c:pt>
                <c:pt idx="7">
                  <c:v>0.30959123118403403</c:v>
                </c:pt>
                <c:pt idx="8">
                  <c:v>0.37725418998198001</c:v>
                </c:pt>
                <c:pt idx="9">
                  <c:v>0.44619074071565024</c:v>
                </c:pt>
                <c:pt idx="10">
                  <c:v>0.52061457585323878</c:v>
                </c:pt>
                <c:pt idx="11">
                  <c:v>0.60792336770225042</c:v>
                </c:pt>
                <c:pt idx="12">
                  <c:v>0.77307030498462204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53-4334-903A-58367B4524C7}"/>
            </c:ext>
          </c:extLst>
        </c:ser>
        <c:ser>
          <c:idx val="1"/>
          <c:order val="1"/>
          <c:tx>
            <c:strRef>
              <c:f>'LIMA DUARTE'!$N$1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'LIMA DUARTE'!$I$2:$I$15</c:f>
              <c:numCache>
                <c:formatCode>0.00</c:formatCode>
                <c:ptCount val="14"/>
                <c:pt idx="0">
                  <c:v>2.2951752543796659E-2</c:v>
                </c:pt>
                <c:pt idx="1">
                  <c:v>4.7393878629398298E-2</c:v>
                </c:pt>
                <c:pt idx="2">
                  <c:v>7.4816751798609887E-2</c:v>
                </c:pt>
                <c:pt idx="3">
                  <c:v>0.11246900700475565</c:v>
                </c:pt>
                <c:pt idx="4">
                  <c:v>0.15598791442546101</c:v>
                </c:pt>
                <c:pt idx="5">
                  <c:v>0.19950682184616636</c:v>
                </c:pt>
                <c:pt idx="6">
                  <c:v>0.24397414879347487</c:v>
                </c:pt>
                <c:pt idx="7">
                  <c:v>0.30959123118403403</c:v>
                </c:pt>
                <c:pt idx="8">
                  <c:v>0.37725418998198001</c:v>
                </c:pt>
                <c:pt idx="9">
                  <c:v>0.44619074071565024</c:v>
                </c:pt>
                <c:pt idx="10">
                  <c:v>0.52061457585323878</c:v>
                </c:pt>
                <c:pt idx="11">
                  <c:v>0.60792336770225042</c:v>
                </c:pt>
                <c:pt idx="12">
                  <c:v>0.77307030498462204</c:v>
                </c:pt>
                <c:pt idx="13">
                  <c:v>1</c:v>
                </c:pt>
              </c:numCache>
            </c:numRef>
          </c:xVal>
          <c:yVal>
            <c:numRef>
              <c:f>'LIMA DUARTE'!$N$2:$N$15</c:f>
              <c:numCache>
                <c:formatCode>0.00</c:formatCode>
                <c:ptCount val="14"/>
                <c:pt idx="0">
                  <c:v>1.1695906432748537E-2</c:v>
                </c:pt>
                <c:pt idx="1">
                  <c:v>2.9239766081871343E-2</c:v>
                </c:pt>
                <c:pt idx="2">
                  <c:v>4.0935672514619881E-2</c:v>
                </c:pt>
                <c:pt idx="3">
                  <c:v>5.8479532163742687E-2</c:v>
                </c:pt>
                <c:pt idx="4">
                  <c:v>7.6023391812865493E-2</c:v>
                </c:pt>
                <c:pt idx="5">
                  <c:v>0.50877192982456143</c:v>
                </c:pt>
                <c:pt idx="6">
                  <c:v>0.53801169590643272</c:v>
                </c:pt>
                <c:pt idx="7">
                  <c:v>0.53801169590643272</c:v>
                </c:pt>
                <c:pt idx="8">
                  <c:v>0.56725146198830401</c:v>
                </c:pt>
                <c:pt idx="9">
                  <c:v>0.60818713450292394</c:v>
                </c:pt>
                <c:pt idx="10">
                  <c:v>0.65497076023391809</c:v>
                </c:pt>
                <c:pt idx="11">
                  <c:v>0.68421052631578938</c:v>
                </c:pt>
                <c:pt idx="12">
                  <c:v>0.88304093567251452</c:v>
                </c:pt>
                <c:pt idx="13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A53-4334-903A-58367B4524C7}"/>
            </c:ext>
          </c:extLst>
        </c:ser>
        <c:ser>
          <c:idx val="2"/>
          <c:order val="2"/>
          <c:tx>
            <c:strRef>
              <c:f>'LIMA DUARTE'!$O$1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'LIMA DUARTE'!$I$2:$I$15</c:f>
              <c:numCache>
                <c:formatCode>0.00</c:formatCode>
                <c:ptCount val="14"/>
                <c:pt idx="0">
                  <c:v>2.2951752543796659E-2</c:v>
                </c:pt>
                <c:pt idx="1">
                  <c:v>4.7393878629398298E-2</c:v>
                </c:pt>
                <c:pt idx="2">
                  <c:v>7.4816751798609887E-2</c:v>
                </c:pt>
                <c:pt idx="3">
                  <c:v>0.11246900700475565</c:v>
                </c:pt>
                <c:pt idx="4">
                  <c:v>0.15598791442546101</c:v>
                </c:pt>
                <c:pt idx="5">
                  <c:v>0.19950682184616636</c:v>
                </c:pt>
                <c:pt idx="6">
                  <c:v>0.24397414879347487</c:v>
                </c:pt>
                <c:pt idx="7">
                  <c:v>0.30959123118403403</c:v>
                </c:pt>
                <c:pt idx="8">
                  <c:v>0.37725418998198001</c:v>
                </c:pt>
                <c:pt idx="9">
                  <c:v>0.44619074071565024</c:v>
                </c:pt>
                <c:pt idx="10">
                  <c:v>0.52061457585323878</c:v>
                </c:pt>
                <c:pt idx="11">
                  <c:v>0.60792336770225042</c:v>
                </c:pt>
                <c:pt idx="12">
                  <c:v>0.77307030498462204</c:v>
                </c:pt>
                <c:pt idx="13">
                  <c:v>1</c:v>
                </c:pt>
              </c:numCache>
            </c:numRef>
          </c:xVal>
          <c:yVal>
            <c:numRef>
              <c:f>'LIMA DUARTE'!$O$2:$O$15</c:f>
              <c:numCache>
                <c:formatCode>0.00</c:formatCode>
                <c:ptCount val="14"/>
                <c:pt idx="0">
                  <c:v>2.2556390977443608E-2</c:v>
                </c:pt>
                <c:pt idx="1">
                  <c:v>3.7593984962406013E-2</c:v>
                </c:pt>
                <c:pt idx="2">
                  <c:v>7.5187969924812026E-2</c:v>
                </c:pt>
                <c:pt idx="3">
                  <c:v>0.10526315789473684</c:v>
                </c:pt>
                <c:pt idx="4">
                  <c:v>0.17293233082706766</c:v>
                </c:pt>
                <c:pt idx="5">
                  <c:v>0.43609022556390975</c:v>
                </c:pt>
                <c:pt idx="6">
                  <c:v>0.43609022556390975</c:v>
                </c:pt>
                <c:pt idx="7">
                  <c:v>0.43609022556390975</c:v>
                </c:pt>
                <c:pt idx="8">
                  <c:v>0.44360902255639095</c:v>
                </c:pt>
                <c:pt idx="9">
                  <c:v>0.45864661654135336</c:v>
                </c:pt>
                <c:pt idx="10">
                  <c:v>0.48872180451127817</c:v>
                </c:pt>
                <c:pt idx="11">
                  <c:v>0.53383458646616533</c:v>
                </c:pt>
                <c:pt idx="12">
                  <c:v>0.7293233082706766</c:v>
                </c:pt>
                <c:pt idx="13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A53-4334-903A-58367B4524C7}"/>
            </c:ext>
          </c:extLst>
        </c:ser>
        <c:ser>
          <c:idx val="3"/>
          <c:order val="3"/>
          <c:tx>
            <c:strRef>
              <c:f>'LIMA DUARTE'!$P$1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'LIMA DUARTE'!$I$2:$I$15</c:f>
              <c:numCache>
                <c:formatCode>0.00</c:formatCode>
                <c:ptCount val="14"/>
                <c:pt idx="0">
                  <c:v>2.2951752543796659E-2</c:v>
                </c:pt>
                <c:pt idx="1">
                  <c:v>4.7393878629398298E-2</c:v>
                </c:pt>
                <c:pt idx="2">
                  <c:v>7.4816751798609887E-2</c:v>
                </c:pt>
                <c:pt idx="3">
                  <c:v>0.11246900700475565</c:v>
                </c:pt>
                <c:pt idx="4">
                  <c:v>0.15598791442546101</c:v>
                </c:pt>
                <c:pt idx="5">
                  <c:v>0.19950682184616636</c:v>
                </c:pt>
                <c:pt idx="6">
                  <c:v>0.24397414879347487</c:v>
                </c:pt>
                <c:pt idx="7">
                  <c:v>0.30959123118403403</c:v>
                </c:pt>
                <c:pt idx="8">
                  <c:v>0.37725418998198001</c:v>
                </c:pt>
                <c:pt idx="9">
                  <c:v>0.44619074071565024</c:v>
                </c:pt>
                <c:pt idx="10">
                  <c:v>0.52061457585323878</c:v>
                </c:pt>
                <c:pt idx="11">
                  <c:v>0.60792336770225042</c:v>
                </c:pt>
                <c:pt idx="12">
                  <c:v>0.77307030498462204</c:v>
                </c:pt>
                <c:pt idx="13">
                  <c:v>1</c:v>
                </c:pt>
              </c:numCache>
            </c:numRef>
          </c:xVal>
          <c:yVal>
            <c:numRef>
              <c:f>'LIMA DUARTE'!$P$2:$P$15</c:f>
              <c:numCache>
                <c:formatCode>0.00</c:formatCode>
                <c:ptCount val="14"/>
                <c:pt idx="0">
                  <c:v>2.7397260273972601E-2</c:v>
                </c:pt>
                <c:pt idx="1">
                  <c:v>8.2191780821917804E-2</c:v>
                </c:pt>
                <c:pt idx="2">
                  <c:v>0.12328767123287671</c:v>
                </c:pt>
                <c:pt idx="3">
                  <c:v>0.17808219178082191</c:v>
                </c:pt>
                <c:pt idx="4">
                  <c:v>0.23287671232876711</c:v>
                </c:pt>
                <c:pt idx="5">
                  <c:v>0.47945205479452052</c:v>
                </c:pt>
                <c:pt idx="6">
                  <c:v>0.50684931506849318</c:v>
                </c:pt>
                <c:pt idx="7">
                  <c:v>0.52054794520547953</c:v>
                </c:pt>
                <c:pt idx="8">
                  <c:v>0.53424657534246589</c:v>
                </c:pt>
                <c:pt idx="9">
                  <c:v>0.57534246575342474</c:v>
                </c:pt>
                <c:pt idx="10">
                  <c:v>0.58904109589041109</c:v>
                </c:pt>
                <c:pt idx="11">
                  <c:v>0.7260273972602741</c:v>
                </c:pt>
                <c:pt idx="12">
                  <c:v>0.8356164383561645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A53-4334-903A-58367B452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947376"/>
        <c:axId val="600956496"/>
      </c:scatterChart>
      <c:valAx>
        <c:axId val="60094737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0956496"/>
        <c:crosses val="autoZero"/>
        <c:crossBetween val="midCat"/>
      </c:valAx>
      <c:valAx>
        <c:axId val="6009564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0947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MURIAÉ!$J$1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MURIAÉ!$I$2:$I$12</c:f>
              <c:numCache>
                <c:formatCode>0.00</c:formatCode>
                <c:ptCount val="11"/>
                <c:pt idx="0">
                  <c:v>8.9576824765691572E-3</c:v>
                </c:pt>
                <c:pt idx="1">
                  <c:v>2.6219823913660893E-2</c:v>
                </c:pt>
                <c:pt idx="2">
                  <c:v>4.6498153933541606E-2</c:v>
                </c:pt>
                <c:pt idx="3">
                  <c:v>7.2899744390798063E-2</c:v>
                </c:pt>
                <c:pt idx="4">
                  <c:v>9.9926157341664296E-2</c:v>
                </c:pt>
                <c:pt idx="5">
                  <c:v>0.13009372337404146</c:v>
                </c:pt>
                <c:pt idx="6">
                  <c:v>0.16272081794944618</c:v>
                </c:pt>
                <c:pt idx="7">
                  <c:v>0.22416927009372337</c:v>
                </c:pt>
                <c:pt idx="8">
                  <c:v>0.28882703777335983</c:v>
                </c:pt>
                <c:pt idx="9">
                  <c:v>0.37519454700369215</c:v>
                </c:pt>
                <c:pt idx="10">
                  <c:v>1</c:v>
                </c:pt>
              </c:numCache>
            </c:numRef>
          </c:xVal>
          <c:yVal>
            <c:numRef>
              <c:f>MURIAÉ!$J$2:$J$12</c:f>
              <c:numCache>
                <c:formatCode>0.00</c:formatCode>
                <c:ptCount val="11"/>
                <c:pt idx="0">
                  <c:v>8.9576824765691572E-3</c:v>
                </c:pt>
                <c:pt idx="1">
                  <c:v>2.6219823913660893E-2</c:v>
                </c:pt>
                <c:pt idx="2">
                  <c:v>4.6498153933541606E-2</c:v>
                </c:pt>
                <c:pt idx="3">
                  <c:v>7.2899744390798063E-2</c:v>
                </c:pt>
                <c:pt idx="4">
                  <c:v>9.9926157341664296E-2</c:v>
                </c:pt>
                <c:pt idx="5">
                  <c:v>0.13009372337404146</c:v>
                </c:pt>
                <c:pt idx="6">
                  <c:v>0.16272081794944618</c:v>
                </c:pt>
                <c:pt idx="7">
                  <c:v>0.22416927009372337</c:v>
                </c:pt>
                <c:pt idx="8">
                  <c:v>0.28882703777335983</c:v>
                </c:pt>
                <c:pt idx="9">
                  <c:v>0.37519454700369215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E5-4817-AC2F-66135E08EB55}"/>
            </c:ext>
          </c:extLst>
        </c:ser>
        <c:ser>
          <c:idx val="1"/>
          <c:order val="1"/>
          <c:tx>
            <c:strRef>
              <c:f>MURIAÉ!$K$1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MURIAÉ!$I$2:$I$12</c:f>
              <c:numCache>
                <c:formatCode>0.00</c:formatCode>
                <c:ptCount val="11"/>
                <c:pt idx="0">
                  <c:v>8.9576824765691572E-3</c:v>
                </c:pt>
                <c:pt idx="1">
                  <c:v>2.6219823913660893E-2</c:v>
                </c:pt>
                <c:pt idx="2">
                  <c:v>4.6498153933541606E-2</c:v>
                </c:pt>
                <c:pt idx="3">
                  <c:v>7.2899744390798063E-2</c:v>
                </c:pt>
                <c:pt idx="4">
                  <c:v>9.9926157341664296E-2</c:v>
                </c:pt>
                <c:pt idx="5">
                  <c:v>0.13009372337404146</c:v>
                </c:pt>
                <c:pt idx="6">
                  <c:v>0.16272081794944618</c:v>
                </c:pt>
                <c:pt idx="7">
                  <c:v>0.22416927009372337</c:v>
                </c:pt>
                <c:pt idx="8">
                  <c:v>0.28882703777335983</c:v>
                </c:pt>
                <c:pt idx="9">
                  <c:v>0.37519454700369215</c:v>
                </c:pt>
                <c:pt idx="10">
                  <c:v>1</c:v>
                </c:pt>
              </c:numCache>
            </c:numRef>
          </c:xVal>
          <c:yVal>
            <c:numRef>
              <c:f>MURIAÉ!$K$2:$K$12</c:f>
              <c:numCache>
                <c:formatCode>0.00</c:formatCode>
                <c:ptCount val="11"/>
                <c:pt idx="0">
                  <c:v>4.2253521126760563E-2</c:v>
                </c:pt>
                <c:pt idx="1">
                  <c:v>4.2253521126760563E-2</c:v>
                </c:pt>
                <c:pt idx="2">
                  <c:v>8.4507042253521125E-2</c:v>
                </c:pt>
                <c:pt idx="3">
                  <c:v>8.4507042253521125E-2</c:v>
                </c:pt>
                <c:pt idx="4">
                  <c:v>0.19718309859154931</c:v>
                </c:pt>
                <c:pt idx="5">
                  <c:v>0.22535211267605634</c:v>
                </c:pt>
                <c:pt idx="6">
                  <c:v>0.22535211267605634</c:v>
                </c:pt>
                <c:pt idx="7">
                  <c:v>0.29577464788732394</c:v>
                </c:pt>
                <c:pt idx="8">
                  <c:v>0.323943661971831</c:v>
                </c:pt>
                <c:pt idx="9">
                  <c:v>0.47887323943661975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CE5-4817-AC2F-66135E08EB55}"/>
            </c:ext>
          </c:extLst>
        </c:ser>
        <c:ser>
          <c:idx val="2"/>
          <c:order val="2"/>
          <c:tx>
            <c:strRef>
              <c:f>MURIAÉ!$L$1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MURIAÉ!$I$2:$I$12</c:f>
              <c:numCache>
                <c:formatCode>0.00</c:formatCode>
                <c:ptCount val="11"/>
                <c:pt idx="0">
                  <c:v>8.9576824765691572E-3</c:v>
                </c:pt>
                <c:pt idx="1">
                  <c:v>2.6219823913660893E-2</c:v>
                </c:pt>
                <c:pt idx="2">
                  <c:v>4.6498153933541606E-2</c:v>
                </c:pt>
                <c:pt idx="3">
                  <c:v>7.2899744390798063E-2</c:v>
                </c:pt>
                <c:pt idx="4">
                  <c:v>9.9926157341664296E-2</c:v>
                </c:pt>
                <c:pt idx="5">
                  <c:v>0.13009372337404146</c:v>
                </c:pt>
                <c:pt idx="6">
                  <c:v>0.16272081794944618</c:v>
                </c:pt>
                <c:pt idx="7">
                  <c:v>0.22416927009372337</c:v>
                </c:pt>
                <c:pt idx="8">
                  <c:v>0.28882703777335983</c:v>
                </c:pt>
                <c:pt idx="9">
                  <c:v>0.37519454700369215</c:v>
                </c:pt>
                <c:pt idx="10">
                  <c:v>1</c:v>
                </c:pt>
              </c:numCache>
            </c:numRef>
          </c:xVal>
          <c:yVal>
            <c:numRef>
              <c:f>MURIAÉ!$L$2:$L$12</c:f>
              <c:numCache>
                <c:formatCode>0.00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8.8888888888888892E-2</c:v>
                </c:pt>
                <c:pt idx="3">
                  <c:v>0.11111111111111112</c:v>
                </c:pt>
                <c:pt idx="4">
                  <c:v>0.22222222222222221</c:v>
                </c:pt>
                <c:pt idx="5">
                  <c:v>0.26666666666666666</c:v>
                </c:pt>
                <c:pt idx="6">
                  <c:v>0.26666666666666666</c:v>
                </c:pt>
                <c:pt idx="7">
                  <c:v>0.28888888888888886</c:v>
                </c:pt>
                <c:pt idx="8">
                  <c:v>0.33333333333333331</c:v>
                </c:pt>
                <c:pt idx="9">
                  <c:v>0.57777777777777772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CE5-4817-AC2F-66135E08EB55}"/>
            </c:ext>
          </c:extLst>
        </c:ser>
        <c:ser>
          <c:idx val="3"/>
          <c:order val="3"/>
          <c:tx>
            <c:strRef>
              <c:f>MURIAÉ!$M$1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MURIAÉ!$I$2:$I$12</c:f>
              <c:numCache>
                <c:formatCode>0.00</c:formatCode>
                <c:ptCount val="11"/>
                <c:pt idx="0">
                  <c:v>8.9576824765691572E-3</c:v>
                </c:pt>
                <c:pt idx="1">
                  <c:v>2.6219823913660893E-2</c:v>
                </c:pt>
                <c:pt idx="2">
                  <c:v>4.6498153933541606E-2</c:v>
                </c:pt>
                <c:pt idx="3">
                  <c:v>7.2899744390798063E-2</c:v>
                </c:pt>
                <c:pt idx="4">
                  <c:v>9.9926157341664296E-2</c:v>
                </c:pt>
                <c:pt idx="5">
                  <c:v>0.13009372337404146</c:v>
                </c:pt>
                <c:pt idx="6">
                  <c:v>0.16272081794944618</c:v>
                </c:pt>
                <c:pt idx="7">
                  <c:v>0.22416927009372337</c:v>
                </c:pt>
                <c:pt idx="8">
                  <c:v>0.28882703777335983</c:v>
                </c:pt>
                <c:pt idx="9">
                  <c:v>0.37519454700369215</c:v>
                </c:pt>
                <c:pt idx="10">
                  <c:v>1</c:v>
                </c:pt>
              </c:numCache>
            </c:numRef>
          </c:xVal>
          <c:yVal>
            <c:numRef>
              <c:f>MURIAÉ!$M$2:$M$12</c:f>
              <c:numCache>
                <c:formatCode>0.00</c:formatCode>
                <c:ptCount val="11"/>
                <c:pt idx="0">
                  <c:v>5.7142857142857141E-2</c:v>
                </c:pt>
                <c:pt idx="1">
                  <c:v>5.7142857142857141E-2</c:v>
                </c:pt>
                <c:pt idx="2">
                  <c:v>5.7142857142857141E-2</c:v>
                </c:pt>
                <c:pt idx="3">
                  <c:v>8.5714285714285715E-2</c:v>
                </c:pt>
                <c:pt idx="4">
                  <c:v>0.14285714285714285</c:v>
                </c:pt>
                <c:pt idx="5">
                  <c:v>0.17142857142857143</c:v>
                </c:pt>
                <c:pt idx="6">
                  <c:v>0.2</c:v>
                </c:pt>
                <c:pt idx="7">
                  <c:v>0.2857142857142857</c:v>
                </c:pt>
                <c:pt idx="8">
                  <c:v>0.31428571428571428</c:v>
                </c:pt>
                <c:pt idx="9">
                  <c:v>0.45714285714285713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CE5-4817-AC2F-66135E08E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372144"/>
        <c:axId val="388366384"/>
      </c:scatterChart>
      <c:valAx>
        <c:axId val="38837214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8366384"/>
        <c:crosses val="autoZero"/>
        <c:crossBetween val="midCat"/>
      </c:valAx>
      <c:valAx>
        <c:axId val="38836638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8372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MURIAÉ!$J$1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MURIAÉ!$I$2:$I$12</c:f>
              <c:numCache>
                <c:formatCode>0.00</c:formatCode>
                <c:ptCount val="11"/>
                <c:pt idx="0">
                  <c:v>8.9576824765691572E-3</c:v>
                </c:pt>
                <c:pt idx="1">
                  <c:v>2.6219823913660893E-2</c:v>
                </c:pt>
                <c:pt idx="2">
                  <c:v>4.6498153933541606E-2</c:v>
                </c:pt>
                <c:pt idx="3">
                  <c:v>7.2899744390798063E-2</c:v>
                </c:pt>
                <c:pt idx="4">
                  <c:v>9.9926157341664296E-2</c:v>
                </c:pt>
                <c:pt idx="5">
                  <c:v>0.13009372337404146</c:v>
                </c:pt>
                <c:pt idx="6">
                  <c:v>0.16272081794944618</c:v>
                </c:pt>
                <c:pt idx="7">
                  <c:v>0.22416927009372337</c:v>
                </c:pt>
                <c:pt idx="8">
                  <c:v>0.28882703777335983</c:v>
                </c:pt>
                <c:pt idx="9">
                  <c:v>0.37519454700369215</c:v>
                </c:pt>
                <c:pt idx="10">
                  <c:v>1</c:v>
                </c:pt>
              </c:numCache>
            </c:numRef>
          </c:xVal>
          <c:yVal>
            <c:numRef>
              <c:f>MURIAÉ!$J$2:$J$12</c:f>
              <c:numCache>
                <c:formatCode>0.00</c:formatCode>
                <c:ptCount val="11"/>
                <c:pt idx="0">
                  <c:v>8.9576824765691572E-3</c:v>
                </c:pt>
                <c:pt idx="1">
                  <c:v>2.6219823913660893E-2</c:v>
                </c:pt>
                <c:pt idx="2">
                  <c:v>4.6498153933541606E-2</c:v>
                </c:pt>
                <c:pt idx="3">
                  <c:v>7.2899744390798063E-2</c:v>
                </c:pt>
                <c:pt idx="4">
                  <c:v>9.9926157341664296E-2</c:v>
                </c:pt>
                <c:pt idx="5">
                  <c:v>0.13009372337404146</c:v>
                </c:pt>
                <c:pt idx="6">
                  <c:v>0.16272081794944618</c:v>
                </c:pt>
                <c:pt idx="7">
                  <c:v>0.22416927009372337</c:v>
                </c:pt>
                <c:pt idx="8">
                  <c:v>0.28882703777335983</c:v>
                </c:pt>
                <c:pt idx="9">
                  <c:v>0.37519454700369215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24-4CF8-9EAC-855353C92014}"/>
            </c:ext>
          </c:extLst>
        </c:ser>
        <c:ser>
          <c:idx val="1"/>
          <c:order val="1"/>
          <c:tx>
            <c:strRef>
              <c:f>MURIAÉ!$N$1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MURIAÉ!$I$2:$I$12</c:f>
              <c:numCache>
                <c:formatCode>0.00</c:formatCode>
                <c:ptCount val="11"/>
                <c:pt idx="0">
                  <c:v>8.9576824765691572E-3</c:v>
                </c:pt>
                <c:pt idx="1">
                  <c:v>2.6219823913660893E-2</c:v>
                </c:pt>
                <c:pt idx="2">
                  <c:v>4.6498153933541606E-2</c:v>
                </c:pt>
                <c:pt idx="3">
                  <c:v>7.2899744390798063E-2</c:v>
                </c:pt>
                <c:pt idx="4">
                  <c:v>9.9926157341664296E-2</c:v>
                </c:pt>
                <c:pt idx="5">
                  <c:v>0.13009372337404146</c:v>
                </c:pt>
                <c:pt idx="6">
                  <c:v>0.16272081794944618</c:v>
                </c:pt>
                <c:pt idx="7">
                  <c:v>0.22416927009372337</c:v>
                </c:pt>
                <c:pt idx="8">
                  <c:v>0.28882703777335983</c:v>
                </c:pt>
                <c:pt idx="9">
                  <c:v>0.37519454700369215</c:v>
                </c:pt>
                <c:pt idx="10">
                  <c:v>1</c:v>
                </c:pt>
              </c:numCache>
            </c:numRef>
          </c:xVal>
          <c:yVal>
            <c:numRef>
              <c:f>MURIAÉ!$N$2:$N$12</c:f>
              <c:numCache>
                <c:formatCode>0.00</c:formatCode>
                <c:ptCount val="11"/>
                <c:pt idx="0">
                  <c:v>1.7543859649122806E-2</c:v>
                </c:pt>
                <c:pt idx="1">
                  <c:v>1.7543859649122806E-2</c:v>
                </c:pt>
                <c:pt idx="2">
                  <c:v>3.5087719298245612E-2</c:v>
                </c:pt>
                <c:pt idx="3">
                  <c:v>8.771929824561403E-2</c:v>
                </c:pt>
                <c:pt idx="4">
                  <c:v>0.17543859649122806</c:v>
                </c:pt>
                <c:pt idx="5">
                  <c:v>0.17543859649122806</c:v>
                </c:pt>
                <c:pt idx="6">
                  <c:v>0.17543859649122806</c:v>
                </c:pt>
                <c:pt idx="7">
                  <c:v>0.21052631578947367</c:v>
                </c:pt>
                <c:pt idx="8">
                  <c:v>0.24561403508771928</c:v>
                </c:pt>
                <c:pt idx="9">
                  <c:v>0.54385964912280693</c:v>
                </c:pt>
                <c:pt idx="10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624-4CF8-9EAC-855353C92014}"/>
            </c:ext>
          </c:extLst>
        </c:ser>
        <c:ser>
          <c:idx val="2"/>
          <c:order val="2"/>
          <c:tx>
            <c:strRef>
              <c:f>MURIAÉ!$O$1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MURIAÉ!$I$2:$I$12</c:f>
              <c:numCache>
                <c:formatCode>0.00</c:formatCode>
                <c:ptCount val="11"/>
                <c:pt idx="0">
                  <c:v>8.9576824765691572E-3</c:v>
                </c:pt>
                <c:pt idx="1">
                  <c:v>2.6219823913660893E-2</c:v>
                </c:pt>
                <c:pt idx="2">
                  <c:v>4.6498153933541606E-2</c:v>
                </c:pt>
                <c:pt idx="3">
                  <c:v>7.2899744390798063E-2</c:v>
                </c:pt>
                <c:pt idx="4">
                  <c:v>9.9926157341664296E-2</c:v>
                </c:pt>
                <c:pt idx="5">
                  <c:v>0.13009372337404146</c:v>
                </c:pt>
                <c:pt idx="6">
                  <c:v>0.16272081794944618</c:v>
                </c:pt>
                <c:pt idx="7">
                  <c:v>0.22416927009372337</c:v>
                </c:pt>
                <c:pt idx="8">
                  <c:v>0.28882703777335983</c:v>
                </c:pt>
                <c:pt idx="9">
                  <c:v>0.37519454700369215</c:v>
                </c:pt>
                <c:pt idx="10">
                  <c:v>1</c:v>
                </c:pt>
              </c:numCache>
            </c:numRef>
          </c:xVal>
          <c:yVal>
            <c:numRef>
              <c:f>MURIAÉ!$O$2:$O$12</c:f>
              <c:numCache>
                <c:formatCode>0.00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0.12</c:v>
                </c:pt>
                <c:pt idx="4">
                  <c:v>0.14666666666666667</c:v>
                </c:pt>
                <c:pt idx="5">
                  <c:v>0.18666666666666668</c:v>
                </c:pt>
                <c:pt idx="6">
                  <c:v>0.18666666666666668</c:v>
                </c:pt>
                <c:pt idx="7">
                  <c:v>0.21333333333333335</c:v>
                </c:pt>
                <c:pt idx="8">
                  <c:v>0.65333333333333332</c:v>
                </c:pt>
                <c:pt idx="9">
                  <c:v>0.84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624-4CF8-9EAC-855353C92014}"/>
            </c:ext>
          </c:extLst>
        </c:ser>
        <c:ser>
          <c:idx val="3"/>
          <c:order val="3"/>
          <c:tx>
            <c:strRef>
              <c:f>MURIAÉ!$P$1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MURIAÉ!$I$2:$I$12</c:f>
              <c:numCache>
                <c:formatCode>0.00</c:formatCode>
                <c:ptCount val="11"/>
                <c:pt idx="0">
                  <c:v>8.9576824765691572E-3</c:v>
                </c:pt>
                <c:pt idx="1">
                  <c:v>2.6219823913660893E-2</c:v>
                </c:pt>
                <c:pt idx="2">
                  <c:v>4.6498153933541606E-2</c:v>
                </c:pt>
                <c:pt idx="3">
                  <c:v>7.2899744390798063E-2</c:v>
                </c:pt>
                <c:pt idx="4">
                  <c:v>9.9926157341664296E-2</c:v>
                </c:pt>
                <c:pt idx="5">
                  <c:v>0.13009372337404146</c:v>
                </c:pt>
                <c:pt idx="6">
                  <c:v>0.16272081794944618</c:v>
                </c:pt>
                <c:pt idx="7">
                  <c:v>0.22416927009372337</c:v>
                </c:pt>
                <c:pt idx="8">
                  <c:v>0.28882703777335983</c:v>
                </c:pt>
                <c:pt idx="9">
                  <c:v>0.37519454700369215</c:v>
                </c:pt>
                <c:pt idx="10">
                  <c:v>1</c:v>
                </c:pt>
              </c:numCache>
            </c:numRef>
          </c:xVal>
          <c:yVal>
            <c:numRef>
              <c:f>MURIAÉ!$P$2:$P$12</c:f>
              <c:numCache>
                <c:formatCode>0.00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0.14814814814814814</c:v>
                </c:pt>
                <c:pt idx="4">
                  <c:v>0.14814814814814814</c:v>
                </c:pt>
                <c:pt idx="5">
                  <c:v>0.14814814814814814</c:v>
                </c:pt>
                <c:pt idx="6">
                  <c:v>0.14814814814814814</c:v>
                </c:pt>
                <c:pt idx="7">
                  <c:v>0.18518518518518517</c:v>
                </c:pt>
                <c:pt idx="8">
                  <c:v>0.48148148148148145</c:v>
                </c:pt>
                <c:pt idx="9">
                  <c:v>0.7407407407407407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624-4CF8-9EAC-855353C92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8619200"/>
        <c:axId val="1918610080"/>
      </c:scatterChart>
      <c:valAx>
        <c:axId val="191861920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8610080"/>
        <c:crosses val="autoZero"/>
        <c:crossBetween val="midCat"/>
      </c:valAx>
      <c:valAx>
        <c:axId val="191861008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8619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'SANTOS DUMONT'!$J$1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'SANTOS DUMONT'!$I$2:$I$4</c:f>
              <c:numCache>
                <c:formatCode>0.00</c:formatCode>
                <c:ptCount val="3"/>
                <c:pt idx="0">
                  <c:v>4.0679844086978889E-2</c:v>
                </c:pt>
                <c:pt idx="1">
                  <c:v>8.2784274153657425E-2</c:v>
                </c:pt>
                <c:pt idx="2">
                  <c:v>1</c:v>
                </c:pt>
              </c:numCache>
            </c:numRef>
          </c:xVal>
          <c:yVal>
            <c:numRef>
              <c:f>'SANTOS DUMONT'!$J$2:$J$4</c:f>
              <c:numCache>
                <c:formatCode>0.00</c:formatCode>
                <c:ptCount val="3"/>
                <c:pt idx="0">
                  <c:v>4.0679844086978889E-2</c:v>
                </c:pt>
                <c:pt idx="1">
                  <c:v>8.2784274153657425E-2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80-4BF7-A09D-D6E27970ECA4}"/>
            </c:ext>
          </c:extLst>
        </c:ser>
        <c:ser>
          <c:idx val="1"/>
          <c:order val="1"/>
          <c:tx>
            <c:strRef>
              <c:f>'SANTOS DUMONT'!$K$1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'SANTOS DUMONT'!$I$2:$I$4</c:f>
              <c:numCache>
                <c:formatCode>0.00</c:formatCode>
                <c:ptCount val="3"/>
                <c:pt idx="0">
                  <c:v>4.0679844086978889E-2</c:v>
                </c:pt>
                <c:pt idx="1">
                  <c:v>8.2784274153657425E-2</c:v>
                </c:pt>
                <c:pt idx="2">
                  <c:v>1</c:v>
                </c:pt>
              </c:numCache>
            </c:numRef>
          </c:xVal>
          <c:yVal>
            <c:numRef>
              <c:f>'SANTOS DUMONT'!$K$2:$K$4</c:f>
              <c:numCache>
                <c:formatCode>0.00</c:formatCode>
                <c:ptCount val="3"/>
                <c:pt idx="0">
                  <c:v>0.2</c:v>
                </c:pt>
                <c:pt idx="1">
                  <c:v>0.23076923076923078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80-4BF7-A09D-D6E27970ECA4}"/>
            </c:ext>
          </c:extLst>
        </c:ser>
        <c:ser>
          <c:idx val="2"/>
          <c:order val="2"/>
          <c:tx>
            <c:strRef>
              <c:f>'SANTOS DUMONT'!$L$1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'SANTOS DUMONT'!$I$2:$I$4</c:f>
              <c:numCache>
                <c:formatCode>0.00</c:formatCode>
                <c:ptCount val="3"/>
                <c:pt idx="0">
                  <c:v>4.0679844086978889E-2</c:v>
                </c:pt>
                <c:pt idx="1">
                  <c:v>8.2784274153657425E-2</c:v>
                </c:pt>
                <c:pt idx="2">
                  <c:v>1</c:v>
                </c:pt>
              </c:numCache>
            </c:numRef>
          </c:xVal>
          <c:yVal>
            <c:numRef>
              <c:f>'SANTOS DUMONT'!$L$2:$L$4</c:f>
              <c:numCache>
                <c:formatCode>0.00</c:formatCode>
                <c:ptCount val="3"/>
                <c:pt idx="0">
                  <c:v>0.16666666666666666</c:v>
                </c:pt>
                <c:pt idx="1">
                  <c:v>0.27777777777777779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A80-4BF7-A09D-D6E27970ECA4}"/>
            </c:ext>
          </c:extLst>
        </c:ser>
        <c:ser>
          <c:idx val="3"/>
          <c:order val="3"/>
          <c:tx>
            <c:strRef>
              <c:f>'SANTOS DUMONT'!$M$1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'SANTOS DUMONT'!$I$2:$I$4</c:f>
              <c:numCache>
                <c:formatCode>0.00</c:formatCode>
                <c:ptCount val="3"/>
                <c:pt idx="0">
                  <c:v>4.0679844086978889E-2</c:v>
                </c:pt>
                <c:pt idx="1">
                  <c:v>8.2784274153657425E-2</c:v>
                </c:pt>
                <c:pt idx="2">
                  <c:v>1</c:v>
                </c:pt>
              </c:numCache>
            </c:numRef>
          </c:xVal>
          <c:yVal>
            <c:numRef>
              <c:f>'SANTOS DUMONT'!$M$2:$M$4</c:f>
              <c:numCache>
                <c:formatCode>0.00</c:formatCode>
                <c:ptCount val="3"/>
                <c:pt idx="0">
                  <c:v>6.6666666666666666E-2</c:v>
                </c:pt>
                <c:pt idx="1">
                  <c:v>6.6666666666666666E-2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A80-4BF7-A09D-D6E27970E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757792"/>
        <c:axId val="388759232"/>
      </c:scatterChart>
      <c:valAx>
        <c:axId val="38875779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8759232"/>
        <c:crosses val="autoZero"/>
        <c:crossBetween val="midCat"/>
      </c:valAx>
      <c:valAx>
        <c:axId val="38875923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8757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'SANTOS DUMONT'!$J$1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'SANTOS DUMONT'!$I$2:$I$4</c:f>
              <c:numCache>
                <c:formatCode>0.00</c:formatCode>
                <c:ptCount val="3"/>
                <c:pt idx="0">
                  <c:v>4.0679844086978889E-2</c:v>
                </c:pt>
                <c:pt idx="1">
                  <c:v>8.2784274153657425E-2</c:v>
                </c:pt>
                <c:pt idx="2">
                  <c:v>1</c:v>
                </c:pt>
              </c:numCache>
            </c:numRef>
          </c:xVal>
          <c:yVal>
            <c:numRef>
              <c:f>'SANTOS DUMONT'!$J$2:$J$4</c:f>
              <c:numCache>
                <c:formatCode>0.00</c:formatCode>
                <c:ptCount val="3"/>
                <c:pt idx="0">
                  <c:v>4.0679844086978889E-2</c:v>
                </c:pt>
                <c:pt idx="1">
                  <c:v>8.2784274153657425E-2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C1-4688-B1F4-E03058351D1A}"/>
            </c:ext>
          </c:extLst>
        </c:ser>
        <c:ser>
          <c:idx val="1"/>
          <c:order val="1"/>
          <c:tx>
            <c:strRef>
              <c:f>'SANTOS DUMONT'!$N$1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'SANTOS DUMONT'!$I$2:$I$4</c:f>
              <c:numCache>
                <c:formatCode>0.00</c:formatCode>
                <c:ptCount val="3"/>
                <c:pt idx="0">
                  <c:v>4.0679844086978889E-2</c:v>
                </c:pt>
                <c:pt idx="1">
                  <c:v>8.2784274153657425E-2</c:v>
                </c:pt>
                <c:pt idx="2">
                  <c:v>1</c:v>
                </c:pt>
              </c:numCache>
            </c:numRef>
          </c:xVal>
          <c:yVal>
            <c:numRef>
              <c:f>'SANTOS DUMONT'!$N$2:$N$4</c:f>
              <c:numCache>
                <c:formatCode>0.00</c:formatCode>
                <c:ptCount val="3"/>
                <c:pt idx="0">
                  <c:v>0.109375</c:v>
                </c:pt>
                <c:pt idx="1">
                  <c:v>0.203125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0C1-4688-B1F4-E03058351D1A}"/>
            </c:ext>
          </c:extLst>
        </c:ser>
        <c:ser>
          <c:idx val="2"/>
          <c:order val="2"/>
          <c:tx>
            <c:strRef>
              <c:f>'SANTOS DUMONT'!$O$1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'SANTOS DUMONT'!$I$2:$I$4</c:f>
              <c:numCache>
                <c:formatCode>0.00</c:formatCode>
                <c:ptCount val="3"/>
                <c:pt idx="0">
                  <c:v>4.0679844086978889E-2</c:v>
                </c:pt>
                <c:pt idx="1">
                  <c:v>8.2784274153657425E-2</c:v>
                </c:pt>
                <c:pt idx="2">
                  <c:v>1</c:v>
                </c:pt>
              </c:numCache>
            </c:numRef>
          </c:xVal>
          <c:yVal>
            <c:numRef>
              <c:f>'SANTOS DUMONT'!$O$2:$O$4</c:f>
              <c:numCache>
                <c:formatCode>0.00</c:formatCode>
                <c:ptCount val="3"/>
                <c:pt idx="0">
                  <c:v>0.15909090909090909</c:v>
                </c:pt>
                <c:pt idx="1">
                  <c:v>0.31818181818181818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0C1-4688-B1F4-E03058351D1A}"/>
            </c:ext>
          </c:extLst>
        </c:ser>
        <c:ser>
          <c:idx val="3"/>
          <c:order val="3"/>
          <c:tx>
            <c:strRef>
              <c:f>'SANTOS DUMONT'!$P$1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'SANTOS DUMONT'!$I$2:$I$4</c:f>
              <c:numCache>
                <c:formatCode>0.00</c:formatCode>
                <c:ptCount val="3"/>
                <c:pt idx="0">
                  <c:v>4.0679844086978889E-2</c:v>
                </c:pt>
                <c:pt idx="1">
                  <c:v>8.2784274153657425E-2</c:v>
                </c:pt>
                <c:pt idx="2">
                  <c:v>1</c:v>
                </c:pt>
              </c:numCache>
            </c:numRef>
          </c:xVal>
          <c:yVal>
            <c:numRef>
              <c:f>'SANTOS DUMONT'!$P$2:$P$4</c:f>
              <c:numCache>
                <c:formatCode>0.00</c:formatCode>
                <c:ptCount val="3"/>
                <c:pt idx="0">
                  <c:v>0.17857142857142858</c:v>
                </c:pt>
                <c:pt idx="1">
                  <c:v>0.2857142857142857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0C1-4688-B1F4-E03058351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16416"/>
        <c:axId val="154330816"/>
      </c:scatterChart>
      <c:valAx>
        <c:axId val="15431641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330816"/>
        <c:crosses val="autoZero"/>
        <c:crossBetween val="midCat"/>
      </c:valAx>
      <c:valAx>
        <c:axId val="15433081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316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'SÃO JOÃO NEPOMUCENO-BICAS'!$J$1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'SÃO JOÃO NEPOMUCENO-BICAS'!$I$2:$I$10</c:f>
              <c:numCache>
                <c:formatCode>0.00</c:formatCode>
                <c:ptCount val="9"/>
                <c:pt idx="0">
                  <c:v>2.7186761229314422E-2</c:v>
                </c:pt>
                <c:pt idx="1">
                  <c:v>5.891144262384175E-2</c:v>
                </c:pt>
                <c:pt idx="2">
                  <c:v>9.9671204586831888E-2</c:v>
                </c:pt>
                <c:pt idx="3">
                  <c:v>0.1450504062389609</c:v>
                </c:pt>
                <c:pt idx="4">
                  <c:v>0.19606804162930355</c:v>
                </c:pt>
                <c:pt idx="5">
                  <c:v>0.26459878807641096</c:v>
                </c:pt>
                <c:pt idx="6">
                  <c:v>0.44102062443955325</c:v>
                </c:pt>
                <c:pt idx="7">
                  <c:v>0.63954783837395723</c:v>
                </c:pt>
                <c:pt idx="8">
                  <c:v>1</c:v>
                </c:pt>
              </c:numCache>
            </c:numRef>
          </c:xVal>
          <c:yVal>
            <c:numRef>
              <c:f>'SÃO JOÃO NEPOMUCENO-BICAS'!$J$2:$J$10</c:f>
              <c:numCache>
                <c:formatCode>0.00</c:formatCode>
                <c:ptCount val="9"/>
                <c:pt idx="0">
                  <c:v>2.7186761229314422E-2</c:v>
                </c:pt>
                <c:pt idx="1">
                  <c:v>5.891144262384175E-2</c:v>
                </c:pt>
                <c:pt idx="2">
                  <c:v>9.9671204586831888E-2</c:v>
                </c:pt>
                <c:pt idx="3">
                  <c:v>0.1450504062389609</c:v>
                </c:pt>
                <c:pt idx="4">
                  <c:v>0.19606804162930355</c:v>
                </c:pt>
                <c:pt idx="5">
                  <c:v>0.26459878807641096</c:v>
                </c:pt>
                <c:pt idx="6">
                  <c:v>0.44102062443955325</c:v>
                </c:pt>
                <c:pt idx="7">
                  <c:v>0.63954783837395723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0C-4D7A-A930-3C6666CDCF0F}"/>
            </c:ext>
          </c:extLst>
        </c:ser>
        <c:ser>
          <c:idx val="1"/>
          <c:order val="1"/>
          <c:tx>
            <c:strRef>
              <c:f>'SÃO JOÃO NEPOMUCENO-BICAS'!$K$1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'SÃO JOÃO NEPOMUCENO-BICAS'!$I$2:$I$10</c:f>
              <c:numCache>
                <c:formatCode>0.00</c:formatCode>
                <c:ptCount val="9"/>
                <c:pt idx="0">
                  <c:v>2.7186761229314422E-2</c:v>
                </c:pt>
                <c:pt idx="1">
                  <c:v>5.891144262384175E-2</c:v>
                </c:pt>
                <c:pt idx="2">
                  <c:v>9.9671204586831888E-2</c:v>
                </c:pt>
                <c:pt idx="3">
                  <c:v>0.1450504062389609</c:v>
                </c:pt>
                <c:pt idx="4">
                  <c:v>0.19606804162930355</c:v>
                </c:pt>
                <c:pt idx="5">
                  <c:v>0.26459878807641096</c:v>
                </c:pt>
                <c:pt idx="6">
                  <c:v>0.44102062443955325</c:v>
                </c:pt>
                <c:pt idx="7">
                  <c:v>0.63954783837395723</c:v>
                </c:pt>
                <c:pt idx="8">
                  <c:v>1</c:v>
                </c:pt>
              </c:numCache>
            </c:numRef>
          </c:xVal>
          <c:yVal>
            <c:numRef>
              <c:f>'SÃO JOÃO NEPOMUCENO-BICAS'!$K$2:$K$10</c:f>
              <c:numCache>
                <c:formatCode>0.00</c:formatCode>
                <c:ptCount val="9"/>
                <c:pt idx="0">
                  <c:v>4.9019607843137254E-2</c:v>
                </c:pt>
                <c:pt idx="1">
                  <c:v>7.8431372549019607E-2</c:v>
                </c:pt>
                <c:pt idx="2">
                  <c:v>0.12745098039215685</c:v>
                </c:pt>
                <c:pt idx="3">
                  <c:v>0.14705882352941174</c:v>
                </c:pt>
                <c:pt idx="4">
                  <c:v>0.18627450980392155</c:v>
                </c:pt>
                <c:pt idx="5">
                  <c:v>0.25490196078431371</c:v>
                </c:pt>
                <c:pt idx="6">
                  <c:v>0.3529411764705882</c:v>
                </c:pt>
                <c:pt idx="7">
                  <c:v>0.50980392156862742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80C-4D7A-A930-3C6666CDCF0F}"/>
            </c:ext>
          </c:extLst>
        </c:ser>
        <c:ser>
          <c:idx val="2"/>
          <c:order val="2"/>
          <c:tx>
            <c:strRef>
              <c:f>'SÃO JOÃO NEPOMUCENO-BICAS'!$L$1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'SÃO JOÃO NEPOMUCENO-BICAS'!$I$2:$I$10</c:f>
              <c:numCache>
                <c:formatCode>0.00</c:formatCode>
                <c:ptCount val="9"/>
                <c:pt idx="0">
                  <c:v>2.7186761229314422E-2</c:v>
                </c:pt>
                <c:pt idx="1">
                  <c:v>5.891144262384175E-2</c:v>
                </c:pt>
                <c:pt idx="2">
                  <c:v>9.9671204586831888E-2</c:v>
                </c:pt>
                <c:pt idx="3">
                  <c:v>0.1450504062389609</c:v>
                </c:pt>
                <c:pt idx="4">
                  <c:v>0.19606804162930355</c:v>
                </c:pt>
                <c:pt idx="5">
                  <c:v>0.26459878807641096</c:v>
                </c:pt>
                <c:pt idx="6">
                  <c:v>0.44102062443955325</c:v>
                </c:pt>
                <c:pt idx="7">
                  <c:v>0.63954783837395723</c:v>
                </c:pt>
                <c:pt idx="8">
                  <c:v>1</c:v>
                </c:pt>
              </c:numCache>
            </c:numRef>
          </c:xVal>
          <c:yVal>
            <c:numRef>
              <c:f>'SÃO JOÃO NEPOMUCENO-BICAS'!$L$2:$L$10</c:f>
              <c:numCache>
                <c:formatCode>0.00</c:formatCode>
                <c:ptCount val="9"/>
                <c:pt idx="0">
                  <c:v>2.2222222222222223E-2</c:v>
                </c:pt>
                <c:pt idx="1">
                  <c:v>6.6666666666666666E-2</c:v>
                </c:pt>
                <c:pt idx="2">
                  <c:v>0.15555555555555556</c:v>
                </c:pt>
                <c:pt idx="3">
                  <c:v>0.2</c:v>
                </c:pt>
                <c:pt idx="4">
                  <c:v>0.31111111111111112</c:v>
                </c:pt>
                <c:pt idx="5">
                  <c:v>0.33333333333333331</c:v>
                </c:pt>
                <c:pt idx="6">
                  <c:v>0.35555555555555551</c:v>
                </c:pt>
                <c:pt idx="7">
                  <c:v>0.64444444444444438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80C-4D7A-A930-3C6666CDCF0F}"/>
            </c:ext>
          </c:extLst>
        </c:ser>
        <c:ser>
          <c:idx val="3"/>
          <c:order val="3"/>
          <c:tx>
            <c:strRef>
              <c:f>'SÃO JOÃO NEPOMUCENO-BICAS'!$M$1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'SÃO JOÃO NEPOMUCENO-BICAS'!$I$2:$I$10</c:f>
              <c:numCache>
                <c:formatCode>0.00</c:formatCode>
                <c:ptCount val="9"/>
                <c:pt idx="0">
                  <c:v>2.7186761229314422E-2</c:v>
                </c:pt>
                <c:pt idx="1">
                  <c:v>5.891144262384175E-2</c:v>
                </c:pt>
                <c:pt idx="2">
                  <c:v>9.9671204586831888E-2</c:v>
                </c:pt>
                <c:pt idx="3">
                  <c:v>0.1450504062389609</c:v>
                </c:pt>
                <c:pt idx="4">
                  <c:v>0.19606804162930355</c:v>
                </c:pt>
                <c:pt idx="5">
                  <c:v>0.26459878807641096</c:v>
                </c:pt>
                <c:pt idx="6">
                  <c:v>0.44102062443955325</c:v>
                </c:pt>
                <c:pt idx="7">
                  <c:v>0.63954783837395723</c:v>
                </c:pt>
                <c:pt idx="8">
                  <c:v>1</c:v>
                </c:pt>
              </c:numCache>
            </c:numRef>
          </c:xVal>
          <c:yVal>
            <c:numRef>
              <c:f>'SÃO JOÃO NEPOMUCENO-BICAS'!$M$2:$M$10</c:f>
              <c:numCache>
                <c:formatCode>0.00</c:formatCode>
                <c:ptCount val="9"/>
                <c:pt idx="0">
                  <c:v>1.2345679012345678E-2</c:v>
                </c:pt>
                <c:pt idx="1">
                  <c:v>3.7037037037037035E-2</c:v>
                </c:pt>
                <c:pt idx="2">
                  <c:v>6.1728395061728392E-2</c:v>
                </c:pt>
                <c:pt idx="3">
                  <c:v>8.6419753086419748E-2</c:v>
                </c:pt>
                <c:pt idx="4">
                  <c:v>0.14814814814814814</c:v>
                </c:pt>
                <c:pt idx="5">
                  <c:v>0.23456790123456789</c:v>
                </c:pt>
                <c:pt idx="6">
                  <c:v>0.37037037037037035</c:v>
                </c:pt>
                <c:pt idx="7">
                  <c:v>0.71604938271604934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80C-4D7A-A930-3C6666CDC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8620640"/>
        <c:axId val="1918622080"/>
      </c:scatterChart>
      <c:valAx>
        <c:axId val="191862064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8622080"/>
        <c:crosses val="autoZero"/>
        <c:crossBetween val="midCat"/>
      </c:valAx>
      <c:valAx>
        <c:axId val="191862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8620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'SÃO JOÃO NEPOMUCENO-BICAS'!$J$1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'SÃO JOÃO NEPOMUCENO-BICAS'!$I$2:$I$10</c:f>
              <c:numCache>
                <c:formatCode>0.00</c:formatCode>
                <c:ptCount val="9"/>
                <c:pt idx="0">
                  <c:v>2.7186761229314422E-2</c:v>
                </c:pt>
                <c:pt idx="1">
                  <c:v>5.891144262384175E-2</c:v>
                </c:pt>
                <c:pt idx="2">
                  <c:v>9.9671204586831888E-2</c:v>
                </c:pt>
                <c:pt idx="3">
                  <c:v>0.1450504062389609</c:v>
                </c:pt>
                <c:pt idx="4">
                  <c:v>0.19606804162930355</c:v>
                </c:pt>
                <c:pt idx="5">
                  <c:v>0.26459878807641096</c:v>
                </c:pt>
                <c:pt idx="6">
                  <c:v>0.44102062443955325</c:v>
                </c:pt>
                <c:pt idx="7">
                  <c:v>0.63954783837395723</c:v>
                </c:pt>
                <c:pt idx="8">
                  <c:v>1</c:v>
                </c:pt>
              </c:numCache>
            </c:numRef>
          </c:xVal>
          <c:yVal>
            <c:numRef>
              <c:f>'SÃO JOÃO NEPOMUCENO-BICAS'!$J$2:$J$10</c:f>
              <c:numCache>
                <c:formatCode>0.00</c:formatCode>
                <c:ptCount val="9"/>
                <c:pt idx="0">
                  <c:v>2.7186761229314422E-2</c:v>
                </c:pt>
                <c:pt idx="1">
                  <c:v>5.891144262384175E-2</c:v>
                </c:pt>
                <c:pt idx="2">
                  <c:v>9.9671204586831888E-2</c:v>
                </c:pt>
                <c:pt idx="3">
                  <c:v>0.1450504062389609</c:v>
                </c:pt>
                <c:pt idx="4">
                  <c:v>0.19606804162930355</c:v>
                </c:pt>
                <c:pt idx="5">
                  <c:v>0.26459878807641096</c:v>
                </c:pt>
                <c:pt idx="6">
                  <c:v>0.44102062443955325</c:v>
                </c:pt>
                <c:pt idx="7">
                  <c:v>0.63954783837395723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F1-431E-AC8D-9E36B1E9ECC2}"/>
            </c:ext>
          </c:extLst>
        </c:ser>
        <c:ser>
          <c:idx val="1"/>
          <c:order val="1"/>
          <c:tx>
            <c:strRef>
              <c:f>'SÃO JOÃO NEPOMUCENO-BICAS'!$N$1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'SÃO JOÃO NEPOMUCENO-BICAS'!$I$2:$I$10</c:f>
              <c:numCache>
                <c:formatCode>0.00</c:formatCode>
                <c:ptCount val="9"/>
                <c:pt idx="0">
                  <c:v>2.7186761229314422E-2</c:v>
                </c:pt>
                <c:pt idx="1">
                  <c:v>5.891144262384175E-2</c:v>
                </c:pt>
                <c:pt idx="2">
                  <c:v>9.9671204586831888E-2</c:v>
                </c:pt>
                <c:pt idx="3">
                  <c:v>0.1450504062389609</c:v>
                </c:pt>
                <c:pt idx="4">
                  <c:v>0.19606804162930355</c:v>
                </c:pt>
                <c:pt idx="5">
                  <c:v>0.26459878807641096</c:v>
                </c:pt>
                <c:pt idx="6">
                  <c:v>0.44102062443955325</c:v>
                </c:pt>
                <c:pt idx="7">
                  <c:v>0.63954783837395723</c:v>
                </c:pt>
                <c:pt idx="8">
                  <c:v>1</c:v>
                </c:pt>
              </c:numCache>
            </c:numRef>
          </c:xVal>
          <c:yVal>
            <c:numRef>
              <c:f>'SÃO JOÃO NEPOMUCENO-BICAS'!$N$2:$N$10</c:f>
              <c:numCache>
                <c:formatCode>0.00</c:formatCode>
                <c:ptCount val="9"/>
                <c:pt idx="0">
                  <c:v>4.8000000000000001E-2</c:v>
                </c:pt>
                <c:pt idx="1">
                  <c:v>0.14400000000000002</c:v>
                </c:pt>
                <c:pt idx="2">
                  <c:v>0.22400000000000003</c:v>
                </c:pt>
                <c:pt idx="3">
                  <c:v>0.24800000000000003</c:v>
                </c:pt>
                <c:pt idx="4">
                  <c:v>0.29600000000000004</c:v>
                </c:pt>
                <c:pt idx="5">
                  <c:v>0.32800000000000007</c:v>
                </c:pt>
                <c:pt idx="6">
                  <c:v>0.44000000000000006</c:v>
                </c:pt>
                <c:pt idx="7">
                  <c:v>0.65600000000000003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8F1-431E-AC8D-9E36B1E9ECC2}"/>
            </c:ext>
          </c:extLst>
        </c:ser>
        <c:ser>
          <c:idx val="2"/>
          <c:order val="2"/>
          <c:tx>
            <c:strRef>
              <c:f>'SÃO JOÃO NEPOMUCENO-BICAS'!$O$1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'SÃO JOÃO NEPOMUCENO-BICAS'!$I$2:$I$10</c:f>
              <c:numCache>
                <c:formatCode>0.00</c:formatCode>
                <c:ptCount val="9"/>
                <c:pt idx="0">
                  <c:v>2.7186761229314422E-2</c:v>
                </c:pt>
                <c:pt idx="1">
                  <c:v>5.891144262384175E-2</c:v>
                </c:pt>
                <c:pt idx="2">
                  <c:v>9.9671204586831888E-2</c:v>
                </c:pt>
                <c:pt idx="3">
                  <c:v>0.1450504062389609</c:v>
                </c:pt>
                <c:pt idx="4">
                  <c:v>0.19606804162930355</c:v>
                </c:pt>
                <c:pt idx="5">
                  <c:v>0.26459878807641096</c:v>
                </c:pt>
                <c:pt idx="6">
                  <c:v>0.44102062443955325</c:v>
                </c:pt>
                <c:pt idx="7">
                  <c:v>0.63954783837395723</c:v>
                </c:pt>
                <c:pt idx="8">
                  <c:v>1</c:v>
                </c:pt>
              </c:numCache>
            </c:numRef>
          </c:xVal>
          <c:yVal>
            <c:numRef>
              <c:f>'SÃO JOÃO NEPOMUCENO-BICAS'!$O$2:$O$10</c:f>
              <c:numCache>
                <c:formatCode>0.00</c:formatCode>
                <c:ptCount val="9"/>
                <c:pt idx="0">
                  <c:v>3.0927835051546393E-2</c:v>
                </c:pt>
                <c:pt idx="1">
                  <c:v>0.14432989690721648</c:v>
                </c:pt>
                <c:pt idx="2">
                  <c:v>0.20618556701030927</c:v>
                </c:pt>
                <c:pt idx="3">
                  <c:v>0.22680412371134021</c:v>
                </c:pt>
                <c:pt idx="4">
                  <c:v>0.29896907216494845</c:v>
                </c:pt>
                <c:pt idx="5">
                  <c:v>0.35051546391752575</c:v>
                </c:pt>
                <c:pt idx="6">
                  <c:v>0.54639175257731953</c:v>
                </c:pt>
                <c:pt idx="7">
                  <c:v>0.68041237113402053</c:v>
                </c:pt>
                <c:pt idx="8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8F1-431E-AC8D-9E36B1E9ECC2}"/>
            </c:ext>
          </c:extLst>
        </c:ser>
        <c:ser>
          <c:idx val="3"/>
          <c:order val="3"/>
          <c:tx>
            <c:strRef>
              <c:f>'SÃO JOÃO NEPOMUCENO-BICAS'!$P$1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'SÃO JOÃO NEPOMUCENO-BICAS'!$I$2:$I$10</c:f>
              <c:numCache>
                <c:formatCode>0.00</c:formatCode>
                <c:ptCount val="9"/>
                <c:pt idx="0">
                  <c:v>2.7186761229314422E-2</c:v>
                </c:pt>
                <c:pt idx="1">
                  <c:v>5.891144262384175E-2</c:v>
                </c:pt>
                <c:pt idx="2">
                  <c:v>9.9671204586831888E-2</c:v>
                </c:pt>
                <c:pt idx="3">
                  <c:v>0.1450504062389609</c:v>
                </c:pt>
                <c:pt idx="4">
                  <c:v>0.19606804162930355</c:v>
                </c:pt>
                <c:pt idx="5">
                  <c:v>0.26459878807641096</c:v>
                </c:pt>
                <c:pt idx="6">
                  <c:v>0.44102062443955325</c:v>
                </c:pt>
                <c:pt idx="7">
                  <c:v>0.63954783837395723</c:v>
                </c:pt>
                <c:pt idx="8">
                  <c:v>1</c:v>
                </c:pt>
              </c:numCache>
            </c:numRef>
          </c:xVal>
          <c:yVal>
            <c:numRef>
              <c:f>'SÃO JOÃO NEPOMUCENO-BICAS'!$P$2:$P$10</c:f>
              <c:numCache>
                <c:formatCode>0.00</c:formatCode>
                <c:ptCount val="9"/>
                <c:pt idx="0">
                  <c:v>3.3333333333333333E-2</c:v>
                </c:pt>
                <c:pt idx="1">
                  <c:v>8.3333333333333343E-2</c:v>
                </c:pt>
                <c:pt idx="2">
                  <c:v>0.11666666666666667</c:v>
                </c:pt>
                <c:pt idx="3">
                  <c:v>0.11666666666666667</c:v>
                </c:pt>
                <c:pt idx="4">
                  <c:v>0.16666666666666669</c:v>
                </c:pt>
                <c:pt idx="5">
                  <c:v>0.2</c:v>
                </c:pt>
                <c:pt idx="6">
                  <c:v>0.3833333333333333</c:v>
                </c:pt>
                <c:pt idx="7">
                  <c:v>0.6333333333333333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8F1-431E-AC8D-9E36B1E9E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24576"/>
        <c:axId val="154332256"/>
      </c:scatterChart>
      <c:valAx>
        <c:axId val="15432457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332256"/>
        <c:crosses val="autoZero"/>
        <c:crossBetween val="midCat"/>
      </c:valAx>
      <c:valAx>
        <c:axId val="1543322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324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UBÁ!$J$1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UBÁ!$I$2:$I$21</c:f>
              <c:numCache>
                <c:formatCode>0.00</c:formatCode>
                <c:ptCount val="20"/>
                <c:pt idx="0">
                  <c:v>7.069991985055403E-3</c:v>
                </c:pt>
                <c:pt idx="1">
                  <c:v>1.7766980299453301E-2</c:v>
                </c:pt>
                <c:pt idx="2">
                  <c:v>2.9209327274825281E-2</c:v>
                </c:pt>
                <c:pt idx="3">
                  <c:v>4.2313917623834019E-2</c:v>
                </c:pt>
                <c:pt idx="4">
                  <c:v>5.5583796713560854E-2</c:v>
                </c:pt>
                <c:pt idx="5">
                  <c:v>7.2159450617649723E-2</c:v>
                </c:pt>
                <c:pt idx="6">
                  <c:v>9.4071124056996552E-2</c:v>
                </c:pt>
                <c:pt idx="7">
                  <c:v>0.11786958406491793</c:v>
                </c:pt>
                <c:pt idx="8">
                  <c:v>0.14251319970934131</c:v>
                </c:pt>
                <c:pt idx="9">
                  <c:v>0.16838556561495208</c:v>
                </c:pt>
                <c:pt idx="10">
                  <c:v>0.19437332177351699</c:v>
                </c:pt>
                <c:pt idx="11">
                  <c:v>0.2222104406348335</c:v>
                </c:pt>
                <c:pt idx="12">
                  <c:v>0.25567985130250648</c:v>
                </c:pt>
                <c:pt idx="13">
                  <c:v>0.28928336415604505</c:v>
                </c:pt>
                <c:pt idx="14">
                  <c:v>0.32904934024843213</c:v>
                </c:pt>
                <c:pt idx="15">
                  <c:v>0.38134607408054244</c:v>
                </c:pt>
                <c:pt idx="16">
                  <c:v>0.43750370340338879</c:v>
                </c:pt>
                <c:pt idx="17">
                  <c:v>0.49681741207730529</c:v>
                </c:pt>
                <c:pt idx="18">
                  <c:v>0.63201424601825673</c:v>
                </c:pt>
                <c:pt idx="19">
                  <c:v>1</c:v>
                </c:pt>
              </c:numCache>
            </c:numRef>
          </c:xVal>
          <c:yVal>
            <c:numRef>
              <c:f>UBÁ!$J$2:$J$21</c:f>
              <c:numCache>
                <c:formatCode>0.00</c:formatCode>
                <c:ptCount val="20"/>
                <c:pt idx="0">
                  <c:v>7.069991985055403E-3</c:v>
                </c:pt>
                <c:pt idx="1">
                  <c:v>1.7766980299453301E-2</c:v>
                </c:pt>
                <c:pt idx="2">
                  <c:v>2.9209327274825281E-2</c:v>
                </c:pt>
                <c:pt idx="3">
                  <c:v>4.2313917623834019E-2</c:v>
                </c:pt>
                <c:pt idx="4">
                  <c:v>5.5583796713560854E-2</c:v>
                </c:pt>
                <c:pt idx="5">
                  <c:v>7.2159450617649723E-2</c:v>
                </c:pt>
                <c:pt idx="6">
                  <c:v>9.4071124056996552E-2</c:v>
                </c:pt>
                <c:pt idx="7">
                  <c:v>0.11786958406491793</c:v>
                </c:pt>
                <c:pt idx="8">
                  <c:v>0.14251319970934131</c:v>
                </c:pt>
                <c:pt idx="9">
                  <c:v>0.16838556561495208</c:v>
                </c:pt>
                <c:pt idx="10">
                  <c:v>0.19437332177351699</c:v>
                </c:pt>
                <c:pt idx="11">
                  <c:v>0.2222104406348335</c:v>
                </c:pt>
                <c:pt idx="12">
                  <c:v>0.25567985130250648</c:v>
                </c:pt>
                <c:pt idx="13">
                  <c:v>0.28928336415604505</c:v>
                </c:pt>
                <c:pt idx="14">
                  <c:v>0.32904934024843213</c:v>
                </c:pt>
                <c:pt idx="15">
                  <c:v>0.38134607408054244</c:v>
                </c:pt>
                <c:pt idx="16">
                  <c:v>0.43750370340338879</c:v>
                </c:pt>
                <c:pt idx="17">
                  <c:v>0.49681741207730529</c:v>
                </c:pt>
                <c:pt idx="18">
                  <c:v>0.63201424601825673</c:v>
                </c:pt>
                <c:pt idx="1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C7-41FB-BC3D-91DBFE1BBECF}"/>
            </c:ext>
          </c:extLst>
        </c:ser>
        <c:ser>
          <c:idx val="1"/>
          <c:order val="1"/>
          <c:tx>
            <c:strRef>
              <c:f>UBÁ!$K$1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UBÁ!$I$2:$I$21</c:f>
              <c:numCache>
                <c:formatCode>0.00</c:formatCode>
                <c:ptCount val="20"/>
                <c:pt idx="0">
                  <c:v>7.069991985055403E-3</c:v>
                </c:pt>
                <c:pt idx="1">
                  <c:v>1.7766980299453301E-2</c:v>
                </c:pt>
                <c:pt idx="2">
                  <c:v>2.9209327274825281E-2</c:v>
                </c:pt>
                <c:pt idx="3">
                  <c:v>4.2313917623834019E-2</c:v>
                </c:pt>
                <c:pt idx="4">
                  <c:v>5.5583796713560854E-2</c:v>
                </c:pt>
                <c:pt idx="5">
                  <c:v>7.2159450617649723E-2</c:v>
                </c:pt>
                <c:pt idx="6">
                  <c:v>9.4071124056996552E-2</c:v>
                </c:pt>
                <c:pt idx="7">
                  <c:v>0.11786958406491793</c:v>
                </c:pt>
                <c:pt idx="8">
                  <c:v>0.14251319970934131</c:v>
                </c:pt>
                <c:pt idx="9">
                  <c:v>0.16838556561495208</c:v>
                </c:pt>
                <c:pt idx="10">
                  <c:v>0.19437332177351699</c:v>
                </c:pt>
                <c:pt idx="11">
                  <c:v>0.2222104406348335</c:v>
                </c:pt>
                <c:pt idx="12">
                  <c:v>0.25567985130250648</c:v>
                </c:pt>
                <c:pt idx="13">
                  <c:v>0.28928336415604505</c:v>
                </c:pt>
                <c:pt idx="14">
                  <c:v>0.32904934024843213</c:v>
                </c:pt>
                <c:pt idx="15">
                  <c:v>0.38134607408054244</c:v>
                </c:pt>
                <c:pt idx="16">
                  <c:v>0.43750370340338879</c:v>
                </c:pt>
                <c:pt idx="17">
                  <c:v>0.49681741207730529</c:v>
                </c:pt>
                <c:pt idx="18">
                  <c:v>0.63201424601825673</c:v>
                </c:pt>
                <c:pt idx="19">
                  <c:v>1</c:v>
                </c:pt>
              </c:numCache>
            </c:numRef>
          </c:xVal>
          <c:yVal>
            <c:numRef>
              <c:f>UBÁ!$K$2:$K$21</c:f>
              <c:numCache>
                <c:formatCode>0.00</c:formatCode>
                <c:ptCount val="20"/>
                <c:pt idx="0">
                  <c:v>9.3457943925233638E-3</c:v>
                </c:pt>
                <c:pt idx="1">
                  <c:v>2.803738317757009E-2</c:v>
                </c:pt>
                <c:pt idx="2">
                  <c:v>5.1401869158878497E-2</c:v>
                </c:pt>
                <c:pt idx="3">
                  <c:v>8.8785046728971945E-2</c:v>
                </c:pt>
                <c:pt idx="4">
                  <c:v>9.3457943925233627E-2</c:v>
                </c:pt>
                <c:pt idx="5">
                  <c:v>9.813084112149531E-2</c:v>
                </c:pt>
                <c:pt idx="6">
                  <c:v>0.14485981308411214</c:v>
                </c:pt>
                <c:pt idx="7">
                  <c:v>0.15887850467289719</c:v>
                </c:pt>
                <c:pt idx="8">
                  <c:v>0.1822429906542056</c:v>
                </c:pt>
                <c:pt idx="9">
                  <c:v>0.21962616822429906</c:v>
                </c:pt>
                <c:pt idx="10">
                  <c:v>0.24299065420560748</c:v>
                </c:pt>
                <c:pt idx="11">
                  <c:v>0.2570093457943925</c:v>
                </c:pt>
                <c:pt idx="12">
                  <c:v>0.28971962616822428</c:v>
                </c:pt>
                <c:pt idx="13">
                  <c:v>0.3644859813084112</c:v>
                </c:pt>
                <c:pt idx="14">
                  <c:v>0.40654205607476634</c:v>
                </c:pt>
                <c:pt idx="15">
                  <c:v>0.44392523364485981</c:v>
                </c:pt>
                <c:pt idx="16">
                  <c:v>0.60747663551401865</c:v>
                </c:pt>
                <c:pt idx="17">
                  <c:v>0.66822429906542047</c:v>
                </c:pt>
                <c:pt idx="18">
                  <c:v>0.74299065420560739</c:v>
                </c:pt>
                <c:pt idx="19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C7-41FB-BC3D-91DBFE1BBECF}"/>
            </c:ext>
          </c:extLst>
        </c:ser>
        <c:ser>
          <c:idx val="2"/>
          <c:order val="2"/>
          <c:tx>
            <c:strRef>
              <c:f>UBÁ!$L$1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UBÁ!$I$2:$I$21</c:f>
              <c:numCache>
                <c:formatCode>0.00</c:formatCode>
                <c:ptCount val="20"/>
                <c:pt idx="0">
                  <c:v>7.069991985055403E-3</c:v>
                </c:pt>
                <c:pt idx="1">
                  <c:v>1.7766980299453301E-2</c:v>
                </c:pt>
                <c:pt idx="2">
                  <c:v>2.9209327274825281E-2</c:v>
                </c:pt>
                <c:pt idx="3">
                  <c:v>4.2313917623834019E-2</c:v>
                </c:pt>
                <c:pt idx="4">
                  <c:v>5.5583796713560854E-2</c:v>
                </c:pt>
                <c:pt idx="5">
                  <c:v>7.2159450617649723E-2</c:v>
                </c:pt>
                <c:pt idx="6">
                  <c:v>9.4071124056996552E-2</c:v>
                </c:pt>
                <c:pt idx="7">
                  <c:v>0.11786958406491793</c:v>
                </c:pt>
                <c:pt idx="8">
                  <c:v>0.14251319970934131</c:v>
                </c:pt>
                <c:pt idx="9">
                  <c:v>0.16838556561495208</c:v>
                </c:pt>
                <c:pt idx="10">
                  <c:v>0.19437332177351699</c:v>
                </c:pt>
                <c:pt idx="11">
                  <c:v>0.2222104406348335</c:v>
                </c:pt>
                <c:pt idx="12">
                  <c:v>0.25567985130250648</c:v>
                </c:pt>
                <c:pt idx="13">
                  <c:v>0.28928336415604505</c:v>
                </c:pt>
                <c:pt idx="14">
                  <c:v>0.32904934024843213</c:v>
                </c:pt>
                <c:pt idx="15">
                  <c:v>0.38134607408054244</c:v>
                </c:pt>
                <c:pt idx="16">
                  <c:v>0.43750370340338879</c:v>
                </c:pt>
                <c:pt idx="17">
                  <c:v>0.49681741207730529</c:v>
                </c:pt>
                <c:pt idx="18">
                  <c:v>0.63201424601825673</c:v>
                </c:pt>
                <c:pt idx="19">
                  <c:v>1</c:v>
                </c:pt>
              </c:numCache>
            </c:numRef>
          </c:xVal>
          <c:yVal>
            <c:numRef>
              <c:f>UBÁ!$L$2:$L$21</c:f>
              <c:numCache>
                <c:formatCode>0.00</c:formatCode>
                <c:ptCount val="20"/>
                <c:pt idx="0">
                  <c:v>0</c:v>
                </c:pt>
                <c:pt idx="1">
                  <c:v>2.1052631578947368E-2</c:v>
                </c:pt>
                <c:pt idx="2">
                  <c:v>3.1578947368421054E-2</c:v>
                </c:pt>
                <c:pt idx="3">
                  <c:v>4.2105263157894736E-2</c:v>
                </c:pt>
                <c:pt idx="4">
                  <c:v>5.2631578947368418E-2</c:v>
                </c:pt>
                <c:pt idx="5">
                  <c:v>6.3157894736842107E-2</c:v>
                </c:pt>
                <c:pt idx="6">
                  <c:v>9.4736842105263161E-2</c:v>
                </c:pt>
                <c:pt idx="7">
                  <c:v>0.10526315789473685</c:v>
                </c:pt>
                <c:pt idx="8">
                  <c:v>0.12631578947368421</c:v>
                </c:pt>
                <c:pt idx="9">
                  <c:v>0.16842105263157894</c:v>
                </c:pt>
                <c:pt idx="10">
                  <c:v>0.2</c:v>
                </c:pt>
                <c:pt idx="11">
                  <c:v>0.23157894736842105</c:v>
                </c:pt>
                <c:pt idx="12">
                  <c:v>0.29473684210526319</c:v>
                </c:pt>
                <c:pt idx="13">
                  <c:v>0.38947368421052636</c:v>
                </c:pt>
                <c:pt idx="14">
                  <c:v>0.4</c:v>
                </c:pt>
                <c:pt idx="15">
                  <c:v>0.47368421052631582</c:v>
                </c:pt>
                <c:pt idx="16">
                  <c:v>0.54736842105263162</c:v>
                </c:pt>
                <c:pt idx="17">
                  <c:v>0.66315789473684217</c:v>
                </c:pt>
                <c:pt idx="18">
                  <c:v>0.72631578947368425</c:v>
                </c:pt>
                <c:pt idx="1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FC7-41FB-BC3D-91DBFE1BBECF}"/>
            </c:ext>
          </c:extLst>
        </c:ser>
        <c:ser>
          <c:idx val="3"/>
          <c:order val="3"/>
          <c:tx>
            <c:strRef>
              <c:f>UBÁ!$M$1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UBÁ!$I$2:$I$21</c:f>
              <c:numCache>
                <c:formatCode>0.00</c:formatCode>
                <c:ptCount val="20"/>
                <c:pt idx="0">
                  <c:v>7.069991985055403E-3</c:v>
                </c:pt>
                <c:pt idx="1">
                  <c:v>1.7766980299453301E-2</c:v>
                </c:pt>
                <c:pt idx="2">
                  <c:v>2.9209327274825281E-2</c:v>
                </c:pt>
                <c:pt idx="3">
                  <c:v>4.2313917623834019E-2</c:v>
                </c:pt>
                <c:pt idx="4">
                  <c:v>5.5583796713560854E-2</c:v>
                </c:pt>
                <c:pt idx="5">
                  <c:v>7.2159450617649723E-2</c:v>
                </c:pt>
                <c:pt idx="6">
                  <c:v>9.4071124056996552E-2</c:v>
                </c:pt>
                <c:pt idx="7">
                  <c:v>0.11786958406491793</c:v>
                </c:pt>
                <c:pt idx="8">
                  <c:v>0.14251319970934131</c:v>
                </c:pt>
                <c:pt idx="9">
                  <c:v>0.16838556561495208</c:v>
                </c:pt>
                <c:pt idx="10">
                  <c:v>0.19437332177351699</c:v>
                </c:pt>
                <c:pt idx="11">
                  <c:v>0.2222104406348335</c:v>
                </c:pt>
                <c:pt idx="12">
                  <c:v>0.25567985130250648</c:v>
                </c:pt>
                <c:pt idx="13">
                  <c:v>0.28928336415604505</c:v>
                </c:pt>
                <c:pt idx="14">
                  <c:v>0.32904934024843213</c:v>
                </c:pt>
                <c:pt idx="15">
                  <c:v>0.38134607408054244</c:v>
                </c:pt>
                <c:pt idx="16">
                  <c:v>0.43750370340338879</c:v>
                </c:pt>
                <c:pt idx="17">
                  <c:v>0.49681741207730529</c:v>
                </c:pt>
                <c:pt idx="18">
                  <c:v>0.63201424601825673</c:v>
                </c:pt>
                <c:pt idx="19">
                  <c:v>1</c:v>
                </c:pt>
              </c:numCache>
            </c:numRef>
          </c:xVal>
          <c:yVal>
            <c:numRef>
              <c:f>UBÁ!$M$2:$M$21</c:f>
              <c:numCache>
                <c:formatCode>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1.7391304347826087E-2</c:v>
                </c:pt>
                <c:pt idx="3">
                  <c:v>6.9565217391304349E-2</c:v>
                </c:pt>
                <c:pt idx="4">
                  <c:v>6.9565217391304349E-2</c:v>
                </c:pt>
                <c:pt idx="5">
                  <c:v>6.9565217391304349E-2</c:v>
                </c:pt>
                <c:pt idx="6">
                  <c:v>6.9565217391304349E-2</c:v>
                </c:pt>
                <c:pt idx="7">
                  <c:v>6.9565217391304349E-2</c:v>
                </c:pt>
                <c:pt idx="8">
                  <c:v>7.8260869565217397E-2</c:v>
                </c:pt>
                <c:pt idx="9">
                  <c:v>9.5652173913043481E-2</c:v>
                </c:pt>
                <c:pt idx="10">
                  <c:v>0.1391304347826087</c:v>
                </c:pt>
                <c:pt idx="11">
                  <c:v>0.16521739130434782</c:v>
                </c:pt>
                <c:pt idx="12">
                  <c:v>0.18260869565217391</c:v>
                </c:pt>
                <c:pt idx="13">
                  <c:v>0.30434782608695654</c:v>
                </c:pt>
                <c:pt idx="14">
                  <c:v>0.33913043478260874</c:v>
                </c:pt>
                <c:pt idx="15">
                  <c:v>0.41739130434782612</c:v>
                </c:pt>
                <c:pt idx="16">
                  <c:v>0.4956521739130435</c:v>
                </c:pt>
                <c:pt idx="17">
                  <c:v>0.69565217391304346</c:v>
                </c:pt>
                <c:pt idx="18">
                  <c:v>0.79130434782608694</c:v>
                </c:pt>
                <c:pt idx="1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FC7-41FB-BC3D-91DBFE1BB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108544"/>
        <c:axId val="621102304"/>
      </c:scatterChart>
      <c:valAx>
        <c:axId val="62110854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1102304"/>
        <c:crosses val="autoZero"/>
        <c:crossBetween val="midCat"/>
      </c:valAx>
      <c:valAx>
        <c:axId val="62110230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1108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UBÁ!$J$1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UBÁ!$I$2:$I$21</c:f>
              <c:numCache>
                <c:formatCode>0.00</c:formatCode>
                <c:ptCount val="20"/>
                <c:pt idx="0">
                  <c:v>7.069991985055403E-3</c:v>
                </c:pt>
                <c:pt idx="1">
                  <c:v>1.7766980299453301E-2</c:v>
                </c:pt>
                <c:pt idx="2">
                  <c:v>2.9209327274825281E-2</c:v>
                </c:pt>
                <c:pt idx="3">
                  <c:v>4.2313917623834019E-2</c:v>
                </c:pt>
                <c:pt idx="4">
                  <c:v>5.5583796713560854E-2</c:v>
                </c:pt>
                <c:pt idx="5">
                  <c:v>7.2159450617649723E-2</c:v>
                </c:pt>
                <c:pt idx="6">
                  <c:v>9.4071124056996552E-2</c:v>
                </c:pt>
                <c:pt idx="7">
                  <c:v>0.11786958406491793</c:v>
                </c:pt>
                <c:pt idx="8">
                  <c:v>0.14251319970934131</c:v>
                </c:pt>
                <c:pt idx="9">
                  <c:v>0.16838556561495208</c:v>
                </c:pt>
                <c:pt idx="10">
                  <c:v>0.19437332177351699</c:v>
                </c:pt>
                <c:pt idx="11">
                  <c:v>0.2222104406348335</c:v>
                </c:pt>
                <c:pt idx="12">
                  <c:v>0.25567985130250648</c:v>
                </c:pt>
                <c:pt idx="13">
                  <c:v>0.28928336415604505</c:v>
                </c:pt>
                <c:pt idx="14">
                  <c:v>0.32904934024843213</c:v>
                </c:pt>
                <c:pt idx="15">
                  <c:v>0.38134607408054244</c:v>
                </c:pt>
                <c:pt idx="16">
                  <c:v>0.43750370340338879</c:v>
                </c:pt>
                <c:pt idx="17">
                  <c:v>0.49681741207730529</c:v>
                </c:pt>
                <c:pt idx="18">
                  <c:v>0.63201424601825673</c:v>
                </c:pt>
                <c:pt idx="19">
                  <c:v>1</c:v>
                </c:pt>
              </c:numCache>
            </c:numRef>
          </c:xVal>
          <c:yVal>
            <c:numRef>
              <c:f>UBÁ!$J$2:$J$21</c:f>
              <c:numCache>
                <c:formatCode>0.00</c:formatCode>
                <c:ptCount val="20"/>
                <c:pt idx="0">
                  <c:v>7.069991985055403E-3</c:v>
                </c:pt>
                <c:pt idx="1">
                  <c:v>1.7766980299453301E-2</c:v>
                </c:pt>
                <c:pt idx="2">
                  <c:v>2.9209327274825281E-2</c:v>
                </c:pt>
                <c:pt idx="3">
                  <c:v>4.2313917623834019E-2</c:v>
                </c:pt>
                <c:pt idx="4">
                  <c:v>5.5583796713560854E-2</c:v>
                </c:pt>
                <c:pt idx="5">
                  <c:v>7.2159450617649723E-2</c:v>
                </c:pt>
                <c:pt idx="6">
                  <c:v>9.4071124056996552E-2</c:v>
                </c:pt>
                <c:pt idx="7">
                  <c:v>0.11786958406491793</c:v>
                </c:pt>
                <c:pt idx="8">
                  <c:v>0.14251319970934131</c:v>
                </c:pt>
                <c:pt idx="9">
                  <c:v>0.16838556561495208</c:v>
                </c:pt>
                <c:pt idx="10">
                  <c:v>0.19437332177351699</c:v>
                </c:pt>
                <c:pt idx="11">
                  <c:v>0.2222104406348335</c:v>
                </c:pt>
                <c:pt idx="12">
                  <c:v>0.25567985130250648</c:v>
                </c:pt>
                <c:pt idx="13">
                  <c:v>0.28928336415604505</c:v>
                </c:pt>
                <c:pt idx="14">
                  <c:v>0.32904934024843213</c:v>
                </c:pt>
                <c:pt idx="15">
                  <c:v>0.38134607408054244</c:v>
                </c:pt>
                <c:pt idx="16">
                  <c:v>0.43750370340338879</c:v>
                </c:pt>
                <c:pt idx="17">
                  <c:v>0.49681741207730529</c:v>
                </c:pt>
                <c:pt idx="18">
                  <c:v>0.63201424601825673</c:v>
                </c:pt>
                <c:pt idx="1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8B-4B47-9538-95DE8D68B965}"/>
            </c:ext>
          </c:extLst>
        </c:ser>
        <c:ser>
          <c:idx val="1"/>
          <c:order val="1"/>
          <c:tx>
            <c:strRef>
              <c:f>UBÁ!$N$1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UBÁ!$I$2:$I$21</c:f>
              <c:numCache>
                <c:formatCode>0.00</c:formatCode>
                <c:ptCount val="20"/>
                <c:pt idx="0">
                  <c:v>7.069991985055403E-3</c:v>
                </c:pt>
                <c:pt idx="1">
                  <c:v>1.7766980299453301E-2</c:v>
                </c:pt>
                <c:pt idx="2">
                  <c:v>2.9209327274825281E-2</c:v>
                </c:pt>
                <c:pt idx="3">
                  <c:v>4.2313917623834019E-2</c:v>
                </c:pt>
                <c:pt idx="4">
                  <c:v>5.5583796713560854E-2</c:v>
                </c:pt>
                <c:pt idx="5">
                  <c:v>7.2159450617649723E-2</c:v>
                </c:pt>
                <c:pt idx="6">
                  <c:v>9.4071124056996552E-2</c:v>
                </c:pt>
                <c:pt idx="7">
                  <c:v>0.11786958406491793</c:v>
                </c:pt>
                <c:pt idx="8">
                  <c:v>0.14251319970934131</c:v>
                </c:pt>
                <c:pt idx="9">
                  <c:v>0.16838556561495208</c:v>
                </c:pt>
                <c:pt idx="10">
                  <c:v>0.19437332177351699</c:v>
                </c:pt>
                <c:pt idx="11">
                  <c:v>0.2222104406348335</c:v>
                </c:pt>
                <c:pt idx="12">
                  <c:v>0.25567985130250648</c:v>
                </c:pt>
                <c:pt idx="13">
                  <c:v>0.28928336415604505</c:v>
                </c:pt>
                <c:pt idx="14">
                  <c:v>0.32904934024843213</c:v>
                </c:pt>
                <c:pt idx="15">
                  <c:v>0.38134607408054244</c:v>
                </c:pt>
                <c:pt idx="16">
                  <c:v>0.43750370340338879</c:v>
                </c:pt>
                <c:pt idx="17">
                  <c:v>0.49681741207730529</c:v>
                </c:pt>
                <c:pt idx="18">
                  <c:v>0.63201424601825673</c:v>
                </c:pt>
                <c:pt idx="19">
                  <c:v>1</c:v>
                </c:pt>
              </c:numCache>
            </c:numRef>
          </c:xVal>
          <c:yVal>
            <c:numRef>
              <c:f>UBÁ!$N$2:$N$21</c:f>
              <c:numCache>
                <c:formatCode>0.00</c:formatCode>
                <c:ptCount val="20"/>
                <c:pt idx="0">
                  <c:v>1.2779552715654952E-2</c:v>
                </c:pt>
                <c:pt idx="1">
                  <c:v>2.2364217252396165E-2</c:v>
                </c:pt>
                <c:pt idx="2">
                  <c:v>3.8338658146964855E-2</c:v>
                </c:pt>
                <c:pt idx="3">
                  <c:v>8.9456869009584661E-2</c:v>
                </c:pt>
                <c:pt idx="4">
                  <c:v>9.5846645367412137E-2</c:v>
                </c:pt>
                <c:pt idx="5">
                  <c:v>0.10223642172523961</c:v>
                </c:pt>
                <c:pt idx="6">
                  <c:v>0.11182108626198083</c:v>
                </c:pt>
                <c:pt idx="7">
                  <c:v>0.13738019169329074</c:v>
                </c:pt>
                <c:pt idx="8">
                  <c:v>0.14376996805111822</c:v>
                </c:pt>
                <c:pt idx="9">
                  <c:v>0.27156549520766771</c:v>
                </c:pt>
                <c:pt idx="10">
                  <c:v>0.30670926517571884</c:v>
                </c:pt>
                <c:pt idx="11">
                  <c:v>0.32268370607028751</c:v>
                </c:pt>
                <c:pt idx="12">
                  <c:v>0.32907348242811496</c:v>
                </c:pt>
                <c:pt idx="13">
                  <c:v>0.40575079872204467</c:v>
                </c:pt>
                <c:pt idx="14">
                  <c:v>0.49201277955271561</c:v>
                </c:pt>
                <c:pt idx="15">
                  <c:v>0.53993610223642163</c:v>
                </c:pt>
                <c:pt idx="16">
                  <c:v>0.61661341853035134</c:v>
                </c:pt>
                <c:pt idx="17">
                  <c:v>0.70926517571884973</c:v>
                </c:pt>
                <c:pt idx="18">
                  <c:v>0.78913738019169322</c:v>
                </c:pt>
                <c:pt idx="19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8B-4B47-9538-95DE8D68B965}"/>
            </c:ext>
          </c:extLst>
        </c:ser>
        <c:ser>
          <c:idx val="2"/>
          <c:order val="2"/>
          <c:tx>
            <c:strRef>
              <c:f>UBÁ!$O$1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UBÁ!$I$2:$I$21</c:f>
              <c:numCache>
                <c:formatCode>0.00</c:formatCode>
                <c:ptCount val="20"/>
                <c:pt idx="0">
                  <c:v>7.069991985055403E-3</c:v>
                </c:pt>
                <c:pt idx="1">
                  <c:v>1.7766980299453301E-2</c:v>
                </c:pt>
                <c:pt idx="2">
                  <c:v>2.9209327274825281E-2</c:v>
                </c:pt>
                <c:pt idx="3">
                  <c:v>4.2313917623834019E-2</c:v>
                </c:pt>
                <c:pt idx="4">
                  <c:v>5.5583796713560854E-2</c:v>
                </c:pt>
                <c:pt idx="5">
                  <c:v>7.2159450617649723E-2</c:v>
                </c:pt>
                <c:pt idx="6">
                  <c:v>9.4071124056996552E-2</c:v>
                </c:pt>
                <c:pt idx="7">
                  <c:v>0.11786958406491793</c:v>
                </c:pt>
                <c:pt idx="8">
                  <c:v>0.14251319970934131</c:v>
                </c:pt>
                <c:pt idx="9">
                  <c:v>0.16838556561495208</c:v>
                </c:pt>
                <c:pt idx="10">
                  <c:v>0.19437332177351699</c:v>
                </c:pt>
                <c:pt idx="11">
                  <c:v>0.2222104406348335</c:v>
                </c:pt>
                <c:pt idx="12">
                  <c:v>0.25567985130250648</c:v>
                </c:pt>
                <c:pt idx="13">
                  <c:v>0.28928336415604505</c:v>
                </c:pt>
                <c:pt idx="14">
                  <c:v>0.32904934024843213</c:v>
                </c:pt>
                <c:pt idx="15">
                  <c:v>0.38134607408054244</c:v>
                </c:pt>
                <c:pt idx="16">
                  <c:v>0.43750370340338879</c:v>
                </c:pt>
                <c:pt idx="17">
                  <c:v>0.49681741207730529</c:v>
                </c:pt>
                <c:pt idx="18">
                  <c:v>0.63201424601825673</c:v>
                </c:pt>
                <c:pt idx="19">
                  <c:v>1</c:v>
                </c:pt>
              </c:numCache>
            </c:numRef>
          </c:xVal>
          <c:yVal>
            <c:numRef>
              <c:f>UBÁ!$O$2:$O$21</c:f>
              <c:numCache>
                <c:formatCode>0.00</c:formatCode>
                <c:ptCount val="20"/>
                <c:pt idx="0">
                  <c:v>2.2222222222222223E-2</c:v>
                </c:pt>
                <c:pt idx="1">
                  <c:v>2.5925925925925929E-2</c:v>
                </c:pt>
                <c:pt idx="2">
                  <c:v>3.7037037037037042E-2</c:v>
                </c:pt>
                <c:pt idx="3">
                  <c:v>7.7777777777777779E-2</c:v>
                </c:pt>
                <c:pt idx="4">
                  <c:v>7.7777777777777779E-2</c:v>
                </c:pt>
                <c:pt idx="5">
                  <c:v>9.2592592592592587E-2</c:v>
                </c:pt>
                <c:pt idx="6">
                  <c:v>0.12222222222222222</c:v>
                </c:pt>
                <c:pt idx="7">
                  <c:v>0.13703703703703704</c:v>
                </c:pt>
                <c:pt idx="8">
                  <c:v>0.15555555555555556</c:v>
                </c:pt>
                <c:pt idx="9">
                  <c:v>0.28148148148148144</c:v>
                </c:pt>
                <c:pt idx="10">
                  <c:v>0.31111111111111106</c:v>
                </c:pt>
                <c:pt idx="11">
                  <c:v>0.33703703703703697</c:v>
                </c:pt>
                <c:pt idx="12">
                  <c:v>0.3518518518518518</c:v>
                </c:pt>
                <c:pt idx="13">
                  <c:v>0.42962962962962958</c:v>
                </c:pt>
                <c:pt idx="14">
                  <c:v>0.44814814814814807</c:v>
                </c:pt>
                <c:pt idx="15">
                  <c:v>0.4814814814814814</c:v>
                </c:pt>
                <c:pt idx="16">
                  <c:v>0.53703703703703698</c:v>
                </c:pt>
                <c:pt idx="17">
                  <c:v>0.70370370370370361</c:v>
                </c:pt>
                <c:pt idx="18">
                  <c:v>0.75925925925925919</c:v>
                </c:pt>
                <c:pt idx="19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18B-4B47-9538-95DE8D68B965}"/>
            </c:ext>
          </c:extLst>
        </c:ser>
        <c:ser>
          <c:idx val="3"/>
          <c:order val="3"/>
          <c:tx>
            <c:strRef>
              <c:f>UBÁ!$P$1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UBÁ!$I$2:$I$21</c:f>
              <c:numCache>
                <c:formatCode>0.00</c:formatCode>
                <c:ptCount val="20"/>
                <c:pt idx="0">
                  <c:v>7.069991985055403E-3</c:v>
                </c:pt>
                <c:pt idx="1">
                  <c:v>1.7766980299453301E-2</c:v>
                </c:pt>
                <c:pt idx="2">
                  <c:v>2.9209327274825281E-2</c:v>
                </c:pt>
                <c:pt idx="3">
                  <c:v>4.2313917623834019E-2</c:v>
                </c:pt>
                <c:pt idx="4">
                  <c:v>5.5583796713560854E-2</c:v>
                </c:pt>
                <c:pt idx="5">
                  <c:v>7.2159450617649723E-2</c:v>
                </c:pt>
                <c:pt idx="6">
                  <c:v>9.4071124056996552E-2</c:v>
                </c:pt>
                <c:pt idx="7">
                  <c:v>0.11786958406491793</c:v>
                </c:pt>
                <c:pt idx="8">
                  <c:v>0.14251319970934131</c:v>
                </c:pt>
                <c:pt idx="9">
                  <c:v>0.16838556561495208</c:v>
                </c:pt>
                <c:pt idx="10">
                  <c:v>0.19437332177351699</c:v>
                </c:pt>
                <c:pt idx="11">
                  <c:v>0.2222104406348335</c:v>
                </c:pt>
                <c:pt idx="12">
                  <c:v>0.25567985130250648</c:v>
                </c:pt>
                <c:pt idx="13">
                  <c:v>0.28928336415604505</c:v>
                </c:pt>
                <c:pt idx="14">
                  <c:v>0.32904934024843213</c:v>
                </c:pt>
                <c:pt idx="15">
                  <c:v>0.38134607408054244</c:v>
                </c:pt>
                <c:pt idx="16">
                  <c:v>0.43750370340338879</c:v>
                </c:pt>
                <c:pt idx="17">
                  <c:v>0.49681741207730529</c:v>
                </c:pt>
                <c:pt idx="18">
                  <c:v>0.63201424601825673</c:v>
                </c:pt>
                <c:pt idx="19">
                  <c:v>1</c:v>
                </c:pt>
              </c:numCache>
            </c:numRef>
          </c:xVal>
          <c:yVal>
            <c:numRef>
              <c:f>UBÁ!$P$2:$P$21</c:f>
              <c:numCache>
                <c:formatCode>0.00</c:formatCode>
                <c:ptCount val="20"/>
                <c:pt idx="0">
                  <c:v>2.0408163265306121E-2</c:v>
                </c:pt>
                <c:pt idx="1">
                  <c:v>4.7619047619047616E-2</c:v>
                </c:pt>
                <c:pt idx="2">
                  <c:v>6.1224489795918366E-2</c:v>
                </c:pt>
                <c:pt idx="3">
                  <c:v>0.18367346938775508</c:v>
                </c:pt>
                <c:pt idx="4">
                  <c:v>0.19727891156462582</c:v>
                </c:pt>
                <c:pt idx="5">
                  <c:v>0.21088435374149656</c:v>
                </c:pt>
                <c:pt idx="6">
                  <c:v>0.2857142857142857</c:v>
                </c:pt>
                <c:pt idx="7">
                  <c:v>0.41496598639455784</c:v>
                </c:pt>
                <c:pt idx="8">
                  <c:v>0.42176870748299322</c:v>
                </c:pt>
                <c:pt idx="9">
                  <c:v>0.47619047619047622</c:v>
                </c:pt>
                <c:pt idx="10">
                  <c:v>0.51700680272108845</c:v>
                </c:pt>
                <c:pt idx="11">
                  <c:v>0.54421768707482998</c:v>
                </c:pt>
                <c:pt idx="12">
                  <c:v>0.55782312925170074</c:v>
                </c:pt>
                <c:pt idx="13">
                  <c:v>0.61904761904761907</c:v>
                </c:pt>
                <c:pt idx="14">
                  <c:v>0.61904761904761907</c:v>
                </c:pt>
                <c:pt idx="15">
                  <c:v>0.63945578231292521</c:v>
                </c:pt>
                <c:pt idx="16">
                  <c:v>0.67346938775510212</c:v>
                </c:pt>
                <c:pt idx="17">
                  <c:v>0.77551020408163274</c:v>
                </c:pt>
                <c:pt idx="18">
                  <c:v>0.83673469387755106</c:v>
                </c:pt>
                <c:pt idx="1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18B-4B47-9538-95DE8D68B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955808"/>
        <c:axId val="562960608"/>
      </c:scatterChart>
      <c:valAx>
        <c:axId val="56295580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960608"/>
        <c:crosses val="autoZero"/>
        <c:crossBetween val="midCat"/>
      </c:valAx>
      <c:valAx>
        <c:axId val="562960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955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106680</xdr:colOff>
      <xdr:row>0</xdr:row>
      <xdr:rowOff>64770</xdr:rowOff>
    </xdr:from>
    <xdr:to>
      <xdr:col>23</xdr:col>
      <xdr:colOff>411480</xdr:colOff>
      <xdr:row>12</xdr:row>
      <xdr:rowOff>148590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7D2E1A1-A567-CACF-F6B2-27DF7E5AE6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99060</xdr:colOff>
      <xdr:row>12</xdr:row>
      <xdr:rowOff>179070</xdr:rowOff>
    </xdr:from>
    <xdr:to>
      <xdr:col>23</xdr:col>
      <xdr:colOff>403860</xdr:colOff>
      <xdr:row>27</xdr:row>
      <xdr:rowOff>179070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8A44DFC-8647-0938-EF11-4A47A0522D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99060</xdr:colOff>
      <xdr:row>0</xdr:row>
      <xdr:rowOff>26670</xdr:rowOff>
    </xdr:from>
    <xdr:to>
      <xdr:col>23</xdr:col>
      <xdr:colOff>403860</xdr:colOff>
      <xdr:row>13</xdr:row>
      <xdr:rowOff>110490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8695997-986B-8F9D-C0F7-DEC6E3F623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99060</xdr:colOff>
      <xdr:row>13</xdr:row>
      <xdr:rowOff>156210</xdr:rowOff>
    </xdr:from>
    <xdr:to>
      <xdr:col>23</xdr:col>
      <xdr:colOff>403860</xdr:colOff>
      <xdr:row>27</xdr:row>
      <xdr:rowOff>156210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9FB6EFD-AFFD-A34C-B207-97687D56AA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205740</xdr:colOff>
      <xdr:row>0</xdr:row>
      <xdr:rowOff>41910</xdr:rowOff>
    </xdr:from>
    <xdr:to>
      <xdr:col>23</xdr:col>
      <xdr:colOff>510540</xdr:colOff>
      <xdr:row>13</xdr:row>
      <xdr:rowOff>125730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7984824-0501-1023-75FB-FDB1DBBE51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160020</xdr:colOff>
      <xdr:row>13</xdr:row>
      <xdr:rowOff>140970</xdr:rowOff>
    </xdr:from>
    <xdr:to>
      <xdr:col>23</xdr:col>
      <xdr:colOff>464820</xdr:colOff>
      <xdr:row>27</xdr:row>
      <xdr:rowOff>140970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3837957-9E49-CBA8-BF03-54CE39B81B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76200</xdr:colOff>
      <xdr:row>0</xdr:row>
      <xdr:rowOff>41910</xdr:rowOff>
    </xdr:from>
    <xdr:to>
      <xdr:col>23</xdr:col>
      <xdr:colOff>381000</xdr:colOff>
      <xdr:row>12</xdr:row>
      <xdr:rowOff>308610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BEB191F-DEF2-C033-6F8F-1229DF25E6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76200</xdr:colOff>
      <xdr:row>12</xdr:row>
      <xdr:rowOff>354330</xdr:rowOff>
    </xdr:from>
    <xdr:to>
      <xdr:col>23</xdr:col>
      <xdr:colOff>381000</xdr:colOff>
      <xdr:row>27</xdr:row>
      <xdr:rowOff>171450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AEDA917-5F9F-15D0-64D5-0E2CC60834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114300</xdr:colOff>
      <xdr:row>0</xdr:row>
      <xdr:rowOff>41910</xdr:rowOff>
    </xdr:from>
    <xdr:to>
      <xdr:col>23</xdr:col>
      <xdr:colOff>419100</xdr:colOff>
      <xdr:row>13</xdr:row>
      <xdr:rowOff>125730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308224C-49C8-3CA4-11F2-E408B8FFE4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114300</xdr:colOff>
      <xdr:row>13</xdr:row>
      <xdr:rowOff>148590</xdr:rowOff>
    </xdr:from>
    <xdr:to>
      <xdr:col>23</xdr:col>
      <xdr:colOff>419100</xdr:colOff>
      <xdr:row>27</xdr:row>
      <xdr:rowOff>148590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40591E2-2235-321B-E7FF-7BC3DCAF4C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45720</xdr:colOff>
      <xdr:row>0</xdr:row>
      <xdr:rowOff>57150</xdr:rowOff>
    </xdr:from>
    <xdr:to>
      <xdr:col>23</xdr:col>
      <xdr:colOff>350520</xdr:colOff>
      <xdr:row>13</xdr:row>
      <xdr:rowOff>140970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BD342A0-4E0A-CC4A-4578-D14E14C223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60960</xdr:colOff>
      <xdr:row>13</xdr:row>
      <xdr:rowOff>163830</xdr:rowOff>
    </xdr:from>
    <xdr:to>
      <xdr:col>23</xdr:col>
      <xdr:colOff>365760</xdr:colOff>
      <xdr:row>27</xdr:row>
      <xdr:rowOff>163830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36245D4F-8C93-3EAE-692E-29DBA9FF10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121920</xdr:colOff>
      <xdr:row>0</xdr:row>
      <xdr:rowOff>26670</xdr:rowOff>
    </xdr:from>
    <xdr:to>
      <xdr:col>23</xdr:col>
      <xdr:colOff>426720</xdr:colOff>
      <xdr:row>12</xdr:row>
      <xdr:rowOff>110490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7FF9BED-6D15-BE4A-016A-53E2C4194F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129540</xdr:colOff>
      <xdr:row>12</xdr:row>
      <xdr:rowOff>148590</xdr:rowOff>
    </xdr:from>
    <xdr:to>
      <xdr:col>23</xdr:col>
      <xdr:colOff>434340</xdr:colOff>
      <xdr:row>27</xdr:row>
      <xdr:rowOff>148590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64A02C7-D3B4-F50D-1066-B6F65D328B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91440</xdr:colOff>
      <xdr:row>0</xdr:row>
      <xdr:rowOff>87630</xdr:rowOff>
    </xdr:from>
    <xdr:to>
      <xdr:col>23</xdr:col>
      <xdr:colOff>396240</xdr:colOff>
      <xdr:row>12</xdr:row>
      <xdr:rowOff>171450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D569A8A-40B8-7AB6-BBD8-F88693763C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83820</xdr:colOff>
      <xdr:row>13</xdr:row>
      <xdr:rowOff>19050</xdr:rowOff>
    </xdr:from>
    <xdr:to>
      <xdr:col>23</xdr:col>
      <xdr:colOff>388620</xdr:colOff>
      <xdr:row>28</xdr:row>
      <xdr:rowOff>19050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4982EF97-EB8F-169F-3E05-CCC55FF338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125691</xdr:colOff>
      <xdr:row>0</xdr:row>
      <xdr:rowOff>93482</xdr:rowOff>
    </xdr:from>
    <xdr:to>
      <xdr:col>23</xdr:col>
      <xdr:colOff>408495</xdr:colOff>
      <xdr:row>14</xdr:row>
      <xdr:rowOff>24352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FF4BC4B-99A6-4F21-FB1D-374518DBBC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117835</xdr:colOff>
      <xdr:row>14</xdr:row>
      <xdr:rowOff>85627</xdr:rowOff>
    </xdr:from>
    <xdr:to>
      <xdr:col>23</xdr:col>
      <xdr:colOff>400639</xdr:colOff>
      <xdr:row>28</xdr:row>
      <xdr:rowOff>110765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E3EC780-5C0B-3552-473C-4EC854290A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6D35C-D72E-4456-82E1-624D28492067}">
  <dimension ref="A1:P15"/>
  <sheetViews>
    <sheetView workbookViewId="0">
      <selection activeCell="J2" sqref="J2:P2"/>
    </sheetView>
  </sheetViews>
  <sheetFormatPr defaultRowHeight="14.4" x14ac:dyDescent="0.3"/>
  <cols>
    <col min="1" max="1" width="13.77734375" customWidth="1"/>
  </cols>
  <sheetData>
    <row r="1" spans="1:16" ht="36.6" customHeight="1" x14ac:dyDescent="0.3">
      <c r="A1" s="1" t="s">
        <v>94</v>
      </c>
      <c r="B1" s="2" t="s">
        <v>95</v>
      </c>
      <c r="C1" s="3" t="s">
        <v>96</v>
      </c>
      <c r="D1" s="3" t="s">
        <v>97</v>
      </c>
      <c r="E1" s="3" t="s">
        <v>98</v>
      </c>
      <c r="F1" s="2" t="s">
        <v>99</v>
      </c>
      <c r="G1" s="3" t="s">
        <v>100</v>
      </c>
      <c r="H1" s="3" t="s">
        <v>101</v>
      </c>
      <c r="I1" s="4" t="s">
        <v>95</v>
      </c>
      <c r="J1" s="5" t="s">
        <v>95</v>
      </c>
      <c r="K1" s="6" t="s">
        <v>96</v>
      </c>
      <c r="L1" s="6" t="s">
        <v>97</v>
      </c>
      <c r="M1" s="6" t="s">
        <v>98</v>
      </c>
      <c r="N1" s="5" t="s">
        <v>99</v>
      </c>
      <c r="O1" s="6" t="s">
        <v>100</v>
      </c>
      <c r="P1" s="6" t="s">
        <v>101</v>
      </c>
    </row>
    <row r="2" spans="1:16" x14ac:dyDescent="0.3">
      <c r="A2" s="8" t="s">
        <v>1</v>
      </c>
      <c r="B2" s="8">
        <v>4.0202755665487991E-2</v>
      </c>
      <c r="C2" s="8">
        <v>2.7027027027027029E-2</v>
      </c>
      <c r="D2" s="8">
        <v>4.7619047619047616E-2</v>
      </c>
      <c r="E2" s="8">
        <v>0</v>
      </c>
      <c r="F2" s="8">
        <v>2.0833333333333332E-2</v>
      </c>
      <c r="G2" s="8">
        <v>0</v>
      </c>
      <c r="H2" s="8">
        <v>0</v>
      </c>
      <c r="I2" s="8">
        <v>4.0202755665487991E-2</v>
      </c>
      <c r="J2" s="8">
        <v>4.0202755665487991E-2</v>
      </c>
      <c r="K2" s="8">
        <v>2.7027027027027029E-2</v>
      </c>
      <c r="L2" s="8">
        <v>4.7619047619047616E-2</v>
      </c>
      <c r="M2" s="8">
        <v>0</v>
      </c>
      <c r="N2" s="8">
        <v>2.0833333333333332E-2</v>
      </c>
      <c r="O2" s="8">
        <v>0</v>
      </c>
      <c r="P2" s="8">
        <v>0</v>
      </c>
    </row>
    <row r="3" spans="1:16" x14ac:dyDescent="0.3">
      <c r="A3" s="8" t="s">
        <v>3</v>
      </c>
      <c r="B3" s="8">
        <v>6.2742775523001615E-2</v>
      </c>
      <c r="C3" s="8">
        <v>8.1081081081081086E-2</v>
      </c>
      <c r="D3" s="8">
        <v>4.7619047619047616E-2</v>
      </c>
      <c r="E3" s="8">
        <v>0.2</v>
      </c>
      <c r="F3" s="8">
        <v>2.0833333333333332E-2</v>
      </c>
      <c r="G3" s="8">
        <v>0.14285714285714285</v>
      </c>
      <c r="H3" s="8">
        <v>7.407407407407407E-2</v>
      </c>
      <c r="I3" s="8">
        <v>0.10294553118848961</v>
      </c>
      <c r="J3" s="8">
        <f t="shared" ref="J3:P6" si="0">J2+B3</f>
        <v>0.10294553118848961</v>
      </c>
      <c r="K3" s="8">
        <f t="shared" si="0"/>
        <v>0.10810810810810811</v>
      </c>
      <c r="L3" s="8">
        <f t="shared" si="0"/>
        <v>9.5238095238095233E-2</v>
      </c>
      <c r="M3" s="8">
        <f t="shared" si="0"/>
        <v>0.2</v>
      </c>
      <c r="N3" s="8">
        <f t="shared" si="0"/>
        <v>4.1666666666666664E-2</v>
      </c>
      <c r="O3" s="8">
        <f t="shared" si="0"/>
        <v>0.14285714285714285</v>
      </c>
      <c r="P3" s="8">
        <f t="shared" si="0"/>
        <v>7.407407407407407E-2</v>
      </c>
    </row>
    <row r="4" spans="1:16" x14ac:dyDescent="0.3">
      <c r="A4" s="8" t="s">
        <v>4</v>
      </c>
      <c r="B4" s="8">
        <v>9.1797453360971282E-2</v>
      </c>
      <c r="C4" s="8">
        <v>8.1081081081081086E-2</v>
      </c>
      <c r="D4" s="8">
        <v>4.7619047619047616E-2</v>
      </c>
      <c r="E4" s="8">
        <v>0.15</v>
      </c>
      <c r="F4" s="8">
        <v>8.3333333333333329E-2</v>
      </c>
      <c r="G4" s="8">
        <v>0.14285714285714285</v>
      </c>
      <c r="H4" s="8">
        <v>0</v>
      </c>
      <c r="I4" s="8">
        <v>0.19474298454946087</v>
      </c>
      <c r="J4" s="8">
        <f t="shared" si="0"/>
        <v>0.19474298454946087</v>
      </c>
      <c r="K4" s="8">
        <f t="shared" si="0"/>
        <v>0.1891891891891892</v>
      </c>
      <c r="L4" s="8">
        <f t="shared" si="0"/>
        <v>0.14285714285714285</v>
      </c>
      <c r="M4" s="8">
        <f t="shared" si="0"/>
        <v>0.35</v>
      </c>
      <c r="N4" s="8">
        <f t="shared" si="0"/>
        <v>0.125</v>
      </c>
      <c r="O4" s="8">
        <f t="shared" si="0"/>
        <v>0.2857142857142857</v>
      </c>
      <c r="P4" s="8">
        <f t="shared" si="0"/>
        <v>7.407407407407407E-2</v>
      </c>
    </row>
    <row r="5" spans="1:16" x14ac:dyDescent="0.3">
      <c r="A5" s="8" t="s">
        <v>2</v>
      </c>
      <c r="B5" s="8">
        <v>0.18796704349492241</v>
      </c>
      <c r="C5" s="8">
        <v>0.1891891891891892</v>
      </c>
      <c r="D5" s="8">
        <v>9.5238095238095233E-2</v>
      </c>
      <c r="E5" s="8">
        <v>0.1</v>
      </c>
      <c r="F5" s="8">
        <v>4.1666666666666664E-2</v>
      </c>
      <c r="G5" s="8">
        <v>5.7142857142857141E-2</v>
      </c>
      <c r="H5" s="8">
        <v>3.7037037037037035E-2</v>
      </c>
      <c r="I5" s="8">
        <v>0.38271002804438325</v>
      </c>
      <c r="J5" s="8">
        <f t="shared" si="0"/>
        <v>0.38271002804438325</v>
      </c>
      <c r="K5" s="8">
        <f t="shared" si="0"/>
        <v>0.3783783783783784</v>
      </c>
      <c r="L5" s="8">
        <f t="shared" si="0"/>
        <v>0.23809523809523808</v>
      </c>
      <c r="M5" s="8">
        <f t="shared" si="0"/>
        <v>0.44999999999999996</v>
      </c>
      <c r="N5" s="8">
        <f t="shared" si="0"/>
        <v>0.16666666666666666</v>
      </c>
      <c r="O5" s="8">
        <f t="shared" si="0"/>
        <v>0.34285714285714286</v>
      </c>
      <c r="P5" s="8">
        <f t="shared" si="0"/>
        <v>0.1111111111111111</v>
      </c>
    </row>
    <row r="6" spans="1:16" x14ac:dyDescent="0.3">
      <c r="A6" s="8" t="s">
        <v>0</v>
      </c>
      <c r="B6" s="8">
        <v>0.61728997195561675</v>
      </c>
      <c r="C6" s="8">
        <v>0.6216216216216216</v>
      </c>
      <c r="D6" s="8">
        <v>0.76190476190476186</v>
      </c>
      <c r="E6" s="8">
        <v>0.55000000000000004</v>
      </c>
      <c r="F6" s="8">
        <v>0.83333333333333337</v>
      </c>
      <c r="G6" s="8">
        <v>0.65714285714285714</v>
      </c>
      <c r="H6" s="8">
        <v>0.88888888888888884</v>
      </c>
      <c r="I6" s="8">
        <v>1</v>
      </c>
      <c r="J6" s="8">
        <f t="shared" si="0"/>
        <v>1</v>
      </c>
      <c r="K6" s="8">
        <f t="shared" si="0"/>
        <v>1</v>
      </c>
      <c r="L6" s="8">
        <f t="shared" si="0"/>
        <v>1</v>
      </c>
      <c r="M6" s="8">
        <f t="shared" si="0"/>
        <v>1</v>
      </c>
      <c r="N6" s="8">
        <f t="shared" si="0"/>
        <v>1</v>
      </c>
      <c r="O6" s="8">
        <f t="shared" si="0"/>
        <v>1</v>
      </c>
      <c r="P6" s="8">
        <f t="shared" si="0"/>
        <v>1</v>
      </c>
    </row>
    <row r="8" spans="1:16" ht="28.8" x14ac:dyDescent="0.3">
      <c r="B8" s="1" t="s">
        <v>94</v>
      </c>
      <c r="C8" s="3" t="s">
        <v>102</v>
      </c>
      <c r="D8" s="3" t="s">
        <v>103</v>
      </c>
      <c r="E8" s="3" t="s">
        <v>104</v>
      </c>
      <c r="F8" s="3" t="s">
        <v>105</v>
      </c>
      <c r="G8" s="3" t="s">
        <v>106</v>
      </c>
      <c r="H8" s="3" t="s">
        <v>107</v>
      </c>
      <c r="J8" s="7"/>
      <c r="K8" s="9" t="s">
        <v>108</v>
      </c>
      <c r="L8" s="9" t="s">
        <v>109</v>
      </c>
      <c r="M8" s="9" t="s">
        <v>110</v>
      </c>
      <c r="N8" s="9" t="s">
        <v>111</v>
      </c>
      <c r="O8" s="9" t="s">
        <v>112</v>
      </c>
      <c r="P8" s="9" t="s">
        <v>113</v>
      </c>
    </row>
    <row r="9" spans="1:16" x14ac:dyDescent="0.3">
      <c r="B9" s="8" t="s">
        <v>1</v>
      </c>
      <c r="C9" s="8">
        <f>C2-B2</f>
        <v>-1.3175728638460962E-2</v>
      </c>
      <c r="D9" s="8">
        <f>D2-B2</f>
        <v>7.4162919535596256E-3</v>
      </c>
      <c r="E9" s="8">
        <f>E2-B2</f>
        <v>-4.0202755665487991E-2</v>
      </c>
      <c r="F9" s="8">
        <f>F2-B2</f>
        <v>-1.9369422332154659E-2</v>
      </c>
      <c r="G9" s="8">
        <f>G2-B2</f>
        <v>-4.0202755665487991E-2</v>
      </c>
      <c r="H9" s="8">
        <f>H2-B2</f>
        <v>-4.0202755665487991E-2</v>
      </c>
      <c r="J9" s="8" t="s">
        <v>1</v>
      </c>
      <c r="K9" s="7">
        <f>(J2-0) * ((K2+0))</f>
        <v>1.0865609639321078E-3</v>
      </c>
      <c r="L9" s="7">
        <f>(J2-0) * ((L2+0))</f>
        <v>1.9144169364518091E-3</v>
      </c>
      <c r="M9" s="7">
        <f>(J2-0) * ((M2+0))</f>
        <v>0</v>
      </c>
      <c r="N9" s="7">
        <f>(J2-0) * ((N2+0))</f>
        <v>8.3755740969766648E-4</v>
      </c>
      <c r="O9" s="7">
        <f>(J2-0) * ((O2+0))</f>
        <v>0</v>
      </c>
      <c r="P9" s="7">
        <f>(J2-0) * ((P2+0))</f>
        <v>0</v>
      </c>
    </row>
    <row r="10" spans="1:16" x14ac:dyDescent="0.3">
      <c r="B10" s="8" t="s">
        <v>3</v>
      </c>
      <c r="C10" s="8">
        <f t="shared" ref="C10:C13" si="1">C3-B3</f>
        <v>1.8338305558079471E-2</v>
      </c>
      <c r="D10" s="8">
        <f t="shared" ref="D10:D13" si="2">D3-B3</f>
        <v>-1.5123727903953998E-2</v>
      </c>
      <c r="E10" s="8">
        <f t="shared" ref="E10:E13" si="3">E3-B3</f>
        <v>0.1372572244769984</v>
      </c>
      <c r="F10" s="8">
        <f t="shared" ref="F10:F13" si="4">F3-B3</f>
        <v>-4.1909442189668286E-2</v>
      </c>
      <c r="G10" s="8">
        <f t="shared" ref="G10:G13" si="5">G3-B3</f>
        <v>8.0114367334141234E-2</v>
      </c>
      <c r="H10" s="8">
        <f t="shared" ref="H10:H13" si="6">H3-B3</f>
        <v>1.1331298551072455E-2</v>
      </c>
      <c r="J10" s="8" t="s">
        <v>3</v>
      </c>
      <c r="K10" s="7">
        <f>(J3-J2) * ((K3+K2))</f>
        <v>8.4787534490542733E-3</v>
      </c>
      <c r="L10" s="7">
        <f>(J3-J2) * ((L3+L2))</f>
        <v>8.9632536461430878E-3</v>
      </c>
      <c r="M10" s="7">
        <f>(J3-J2) * ((M3+M2))</f>
        <v>1.2548555104600324E-2</v>
      </c>
      <c r="N10" s="7">
        <f>(J3-J2) * ((N3+N2))</f>
        <v>3.9214234701876009E-3</v>
      </c>
      <c r="O10" s="7">
        <f>(J3-J2) * ((O3+O2))</f>
        <v>8.9632536461430878E-3</v>
      </c>
      <c r="P10" s="7">
        <f>(J3-J2) * ((P3+P2))</f>
        <v>4.6476130017038229E-3</v>
      </c>
    </row>
    <row r="11" spans="1:16" x14ac:dyDescent="0.3">
      <c r="B11" s="8" t="s">
        <v>4</v>
      </c>
      <c r="C11" s="8">
        <f t="shared" si="1"/>
        <v>-1.0716372279890196E-2</v>
      </c>
      <c r="D11" s="8">
        <f t="shared" si="2"/>
        <v>-4.4178405741923665E-2</v>
      </c>
      <c r="E11" s="8">
        <f t="shared" si="3"/>
        <v>5.8202546639028713E-2</v>
      </c>
      <c r="F11" s="8">
        <f t="shared" si="4"/>
        <v>-8.464120027637953E-3</v>
      </c>
      <c r="G11" s="8">
        <f t="shared" si="5"/>
        <v>5.1059689496171567E-2</v>
      </c>
      <c r="H11" s="8">
        <f t="shared" si="6"/>
        <v>-9.1797453360971282E-2</v>
      </c>
      <c r="J11" s="8" t="s">
        <v>4</v>
      </c>
      <c r="K11" s="7">
        <f t="shared" ref="K11:K13" si="7">(J4-J3) * ((K4+K3))</f>
        <v>2.7291134782991458E-2</v>
      </c>
      <c r="L11" s="7">
        <f t="shared" ref="L11:L13" si="8">(J4-J3) * ((L4+L3))</f>
        <v>2.1856536514516967E-2</v>
      </c>
      <c r="M11" s="7">
        <f t="shared" ref="M11:M13" si="9">(J4-J3) * ((M4+M3))</f>
        <v>5.0488599348534204E-2</v>
      </c>
      <c r="N11" s="7">
        <f t="shared" ref="N11:N13" si="10">(J4-J3) * ((N4+N3))</f>
        <v>1.5299575560161878E-2</v>
      </c>
      <c r="O11" s="7">
        <f t="shared" ref="O11:O13" si="11">(J4-J3) * ((O4+O3))</f>
        <v>3.9341765726130538E-2</v>
      </c>
      <c r="P11" s="7">
        <f t="shared" ref="P11:P13" si="12">(J4-J3) * ((P4+P3))</f>
        <v>1.3599622720143891E-2</v>
      </c>
    </row>
    <row r="12" spans="1:16" x14ac:dyDescent="0.3">
      <c r="B12" s="8" t="s">
        <v>2</v>
      </c>
      <c r="C12" s="8">
        <f t="shared" si="1"/>
        <v>1.2221456942667908E-3</v>
      </c>
      <c r="D12" s="8">
        <f t="shared" si="2"/>
        <v>-9.2728948256827176E-2</v>
      </c>
      <c r="E12" s="8">
        <f t="shared" si="3"/>
        <v>-8.7967043494922403E-2</v>
      </c>
      <c r="F12" s="8">
        <f t="shared" si="4"/>
        <v>-0.14630037682825575</v>
      </c>
      <c r="G12" s="8">
        <f t="shared" si="5"/>
        <v>-0.13082418635206527</v>
      </c>
      <c r="H12" s="8">
        <f t="shared" si="6"/>
        <v>-0.15093000645788537</v>
      </c>
      <c r="J12" s="8" t="s">
        <v>2</v>
      </c>
      <c r="K12" s="7">
        <f t="shared" si="7"/>
        <v>0.10668399765928027</v>
      </c>
      <c r="L12" s="7">
        <f t="shared" si="8"/>
        <v>7.1606492759970428E-2</v>
      </c>
      <c r="M12" s="7">
        <f t="shared" si="9"/>
        <v>0.1503736347959379</v>
      </c>
      <c r="N12" s="7">
        <f t="shared" si="10"/>
        <v>5.4823721019352352E-2</v>
      </c>
      <c r="O12" s="7">
        <f t="shared" si="11"/>
        <v>0.11815071305395121</v>
      </c>
      <c r="P12" s="7">
        <f t="shared" si="12"/>
        <v>3.4808711758318955E-2</v>
      </c>
    </row>
    <row r="13" spans="1:16" x14ac:dyDescent="0.3">
      <c r="B13" s="8" t="s">
        <v>0</v>
      </c>
      <c r="C13" s="8">
        <f t="shared" si="1"/>
        <v>4.3316496660048553E-3</v>
      </c>
      <c r="D13" s="8">
        <f t="shared" si="2"/>
        <v>0.14461478994914512</v>
      </c>
      <c r="E13" s="8">
        <f t="shared" si="3"/>
        <v>-6.7289971955616701E-2</v>
      </c>
      <c r="F13" s="8">
        <f t="shared" si="4"/>
        <v>0.21604336137771663</v>
      </c>
      <c r="G13" s="8">
        <f t="shared" si="5"/>
        <v>3.9852885187240394E-2</v>
      </c>
      <c r="H13" s="8">
        <f t="shared" si="6"/>
        <v>0.27159891693327209</v>
      </c>
      <c r="J13" s="8" t="s">
        <v>0</v>
      </c>
      <c r="K13" s="7">
        <f t="shared" si="7"/>
        <v>0.85085915053341776</v>
      </c>
      <c r="L13" s="7">
        <f t="shared" si="8"/>
        <v>0.76426377480219221</v>
      </c>
      <c r="M13" s="7">
        <f t="shared" si="9"/>
        <v>0.89507045933564422</v>
      </c>
      <c r="N13" s="7">
        <f t="shared" si="10"/>
        <v>0.72017163394821959</v>
      </c>
      <c r="O13" s="7">
        <f t="shared" si="11"/>
        <v>0.82893224805468546</v>
      </c>
      <c r="P13" s="7">
        <f t="shared" si="12"/>
        <v>0.68587774661735201</v>
      </c>
    </row>
    <row r="14" spans="1:16" x14ac:dyDescent="0.3">
      <c r="J14" s="9" t="s">
        <v>114</v>
      </c>
      <c r="K14" s="9">
        <f>SUM(K9:K13)</f>
        <v>0.99439959738867589</v>
      </c>
      <c r="L14" s="9">
        <f t="shared" ref="L14:P14" si="13">SUM(L9:L13)</f>
        <v>0.86860447465927448</v>
      </c>
      <c r="M14" s="9">
        <f t="shared" si="13"/>
        <v>1.1084812485847166</v>
      </c>
      <c r="N14" s="9">
        <f t="shared" si="13"/>
        <v>0.79505391140761905</v>
      </c>
      <c r="O14" s="9">
        <f t="shared" si="13"/>
        <v>0.99538798048091026</v>
      </c>
      <c r="P14" s="9">
        <f t="shared" si="13"/>
        <v>0.73893369409751863</v>
      </c>
    </row>
    <row r="15" spans="1:16" x14ac:dyDescent="0.3">
      <c r="J15" s="10" t="s">
        <v>115</v>
      </c>
      <c r="K15" s="10">
        <f>1-K14</f>
        <v>5.6004026113241068E-3</v>
      </c>
      <c r="L15" s="10">
        <f t="shared" ref="L15:P15" si="14">1-L14</f>
        <v>0.13139552534072552</v>
      </c>
      <c r="M15" s="10">
        <f t="shared" si="14"/>
        <v>-0.10848124858471664</v>
      </c>
      <c r="N15" s="10">
        <f t="shared" si="14"/>
        <v>0.20494608859238095</v>
      </c>
      <c r="O15" s="10">
        <f t="shared" si="14"/>
        <v>4.6120195190897384E-3</v>
      </c>
      <c r="P15" s="10">
        <f t="shared" si="14"/>
        <v>0.26106630590248137</v>
      </c>
    </row>
  </sheetData>
  <sortState xmlns:xlrd2="http://schemas.microsoft.com/office/spreadsheetml/2017/richdata2" ref="A2:P7">
    <sortCondition ref="B1:B7"/>
  </sortState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8142A-2B16-496E-AD05-A526A805E511}">
  <dimension ref="A1:P28"/>
  <sheetViews>
    <sheetView workbookViewId="0">
      <selection activeCell="J2" sqref="J2:P2"/>
    </sheetView>
  </sheetViews>
  <sheetFormatPr defaultRowHeight="14.4" x14ac:dyDescent="0.3"/>
  <sheetData>
    <row r="1" spans="1:16" ht="36.6" customHeight="1" x14ac:dyDescent="0.3">
      <c r="A1" s="1" t="s">
        <v>94</v>
      </c>
      <c r="B1" s="2" t="s">
        <v>95</v>
      </c>
      <c r="C1" s="3" t="s">
        <v>96</v>
      </c>
      <c r="D1" s="3" t="s">
        <v>97</v>
      </c>
      <c r="E1" s="3" t="s">
        <v>98</v>
      </c>
      <c r="F1" s="2" t="s">
        <v>99</v>
      </c>
      <c r="G1" s="3" t="s">
        <v>100</v>
      </c>
      <c r="H1" s="3" t="s">
        <v>101</v>
      </c>
      <c r="I1" s="4" t="s">
        <v>95</v>
      </c>
      <c r="J1" s="5" t="s">
        <v>95</v>
      </c>
      <c r="K1" s="6" t="s">
        <v>96</v>
      </c>
      <c r="L1" s="6" t="s">
        <v>97</v>
      </c>
      <c r="M1" s="6" t="s">
        <v>98</v>
      </c>
      <c r="N1" s="5" t="s">
        <v>99</v>
      </c>
      <c r="O1" s="6" t="s">
        <v>100</v>
      </c>
      <c r="P1" s="6" t="s">
        <v>101</v>
      </c>
    </row>
    <row r="2" spans="1:16" x14ac:dyDescent="0.3">
      <c r="A2" s="8" t="s">
        <v>14</v>
      </c>
      <c r="B2" s="8">
        <v>1.9804049034175333E-2</v>
      </c>
      <c r="C2" s="8">
        <v>8.4745762711864406E-3</v>
      </c>
      <c r="D2" s="8">
        <v>0</v>
      </c>
      <c r="E2" s="8">
        <v>0</v>
      </c>
      <c r="F2" s="8">
        <v>1.2658227848101266E-2</v>
      </c>
      <c r="G2" s="8">
        <v>0</v>
      </c>
      <c r="H2" s="8">
        <v>0</v>
      </c>
      <c r="I2" s="8">
        <v>1.9804049034175333E-2</v>
      </c>
      <c r="J2" s="8">
        <v>1.9804049034175333E-2</v>
      </c>
      <c r="K2" s="8">
        <v>8.4745762711864406E-3</v>
      </c>
      <c r="L2" s="8">
        <v>0</v>
      </c>
      <c r="M2" s="8">
        <v>0</v>
      </c>
      <c r="N2" s="8">
        <v>1.2658227848101266E-2</v>
      </c>
      <c r="O2" s="8">
        <v>0</v>
      </c>
      <c r="P2" s="8">
        <v>0</v>
      </c>
    </row>
    <row r="3" spans="1:16" x14ac:dyDescent="0.3">
      <c r="A3" s="8" t="s">
        <v>10</v>
      </c>
      <c r="B3" s="8">
        <v>2.4780212976721148E-2</v>
      </c>
      <c r="C3" s="8">
        <v>1.6949152542372881E-2</v>
      </c>
      <c r="D3" s="8">
        <v>0</v>
      </c>
      <c r="E3" s="8">
        <v>2.0833333333333332E-2</v>
      </c>
      <c r="F3" s="8">
        <v>1.2658227848101266E-2</v>
      </c>
      <c r="G3" s="8">
        <v>4.6153846153846156E-2</v>
      </c>
      <c r="H3" s="8">
        <v>0</v>
      </c>
      <c r="I3" s="8">
        <v>4.4584262010896478E-2</v>
      </c>
      <c r="J3" s="8">
        <f>J2+B3</f>
        <v>4.4584262010896478E-2</v>
      </c>
      <c r="K3" s="8">
        <f>K2+C3</f>
        <v>2.5423728813559324E-2</v>
      </c>
      <c r="L3" s="8">
        <f t="shared" ref="L3:P12" si="0">L2+D3</f>
        <v>0</v>
      </c>
      <c r="M3" s="8">
        <f t="shared" si="0"/>
        <v>2.0833333333333332E-2</v>
      </c>
      <c r="N3" s="8">
        <f t="shared" si="0"/>
        <v>2.5316455696202531E-2</v>
      </c>
      <c r="O3" s="8">
        <f t="shared" si="0"/>
        <v>4.6153846153846156E-2</v>
      </c>
      <c r="P3" s="8">
        <f t="shared" si="0"/>
        <v>0</v>
      </c>
    </row>
    <row r="4" spans="1:16" x14ac:dyDescent="0.3">
      <c r="A4" s="8" t="s">
        <v>7</v>
      </c>
      <c r="B4" s="8">
        <v>4.2285785042100052E-2</v>
      </c>
      <c r="C4" s="8">
        <v>2.5423728813559324E-2</v>
      </c>
      <c r="D4" s="8">
        <v>4.6511627906976744E-2</v>
      </c>
      <c r="E4" s="8">
        <v>4.1666666666666664E-2</v>
      </c>
      <c r="F4" s="8">
        <v>6.3291139240506333E-2</v>
      </c>
      <c r="G4" s="8">
        <v>5.3846153846153849E-2</v>
      </c>
      <c r="H4" s="8">
        <v>4.2253521126760563E-2</v>
      </c>
      <c r="I4" s="8">
        <v>8.687004705299653E-2</v>
      </c>
      <c r="J4" s="8">
        <f t="shared" ref="J4:K12" si="1">J3+B4</f>
        <v>8.687004705299653E-2</v>
      </c>
      <c r="K4" s="8">
        <f t="shared" si="1"/>
        <v>5.0847457627118647E-2</v>
      </c>
      <c r="L4" s="8">
        <f t="shared" si="0"/>
        <v>4.6511627906976744E-2</v>
      </c>
      <c r="M4" s="8">
        <f t="shared" si="0"/>
        <v>6.25E-2</v>
      </c>
      <c r="N4" s="8">
        <f t="shared" si="0"/>
        <v>8.8607594936708861E-2</v>
      </c>
      <c r="O4" s="8">
        <f t="shared" si="0"/>
        <v>0.1</v>
      </c>
      <c r="P4" s="8">
        <f t="shared" si="0"/>
        <v>4.2253521126760563E-2</v>
      </c>
    </row>
    <row r="5" spans="1:16" x14ac:dyDescent="0.3">
      <c r="A5" s="8" t="s">
        <v>6</v>
      </c>
      <c r="B5" s="8">
        <v>4.3214462605250123E-2</v>
      </c>
      <c r="C5" s="8">
        <v>1.6949152542372881E-2</v>
      </c>
      <c r="D5" s="8">
        <v>4.6511627906976744E-2</v>
      </c>
      <c r="E5" s="8">
        <v>2.0833333333333332E-2</v>
      </c>
      <c r="F5" s="8">
        <v>3.7974683544303799E-2</v>
      </c>
      <c r="G5" s="8">
        <v>3.8461538461538464E-2</v>
      </c>
      <c r="H5" s="8">
        <v>5.6338028169014086E-2</v>
      </c>
      <c r="I5" s="8">
        <v>0.13008450965824664</v>
      </c>
      <c r="J5" s="8">
        <f t="shared" si="1"/>
        <v>0.13008450965824664</v>
      </c>
      <c r="K5" s="8">
        <f t="shared" si="1"/>
        <v>6.7796610169491525E-2</v>
      </c>
      <c r="L5" s="8">
        <f t="shared" si="0"/>
        <v>9.3023255813953487E-2</v>
      </c>
      <c r="M5" s="8">
        <f t="shared" si="0"/>
        <v>8.3333333333333329E-2</v>
      </c>
      <c r="N5" s="8">
        <f t="shared" si="0"/>
        <v>0.12658227848101267</v>
      </c>
      <c r="O5" s="8">
        <f t="shared" si="0"/>
        <v>0.13846153846153847</v>
      </c>
      <c r="P5" s="8">
        <f t="shared" si="0"/>
        <v>9.8591549295774655E-2</v>
      </c>
    </row>
    <row r="6" spans="1:16" x14ac:dyDescent="0.3">
      <c r="A6" s="8" t="s">
        <v>13</v>
      </c>
      <c r="B6" s="8">
        <v>5.5387877662209012E-2</v>
      </c>
      <c r="C6" s="8">
        <v>3.3898305084745763E-2</v>
      </c>
      <c r="D6" s="8">
        <v>4.6511627906976744E-2</v>
      </c>
      <c r="E6" s="8">
        <v>4.1666666666666664E-2</v>
      </c>
      <c r="F6" s="8">
        <v>3.7974683544303799E-2</v>
      </c>
      <c r="G6" s="8">
        <v>1.5384615384615385E-2</v>
      </c>
      <c r="H6" s="8">
        <v>0</v>
      </c>
      <c r="I6" s="8">
        <v>0.18547238732045565</v>
      </c>
      <c r="J6" s="8">
        <f t="shared" si="1"/>
        <v>0.18547238732045565</v>
      </c>
      <c r="K6" s="8">
        <f t="shared" si="1"/>
        <v>0.10169491525423729</v>
      </c>
      <c r="L6" s="8">
        <f t="shared" si="0"/>
        <v>0.13953488372093023</v>
      </c>
      <c r="M6" s="8">
        <f t="shared" si="0"/>
        <v>0.125</v>
      </c>
      <c r="N6" s="8">
        <f t="shared" si="0"/>
        <v>0.16455696202531647</v>
      </c>
      <c r="O6" s="8">
        <f t="shared" si="0"/>
        <v>0.15384615384615385</v>
      </c>
      <c r="P6" s="8">
        <f t="shared" si="0"/>
        <v>9.8591549295774655E-2</v>
      </c>
    </row>
    <row r="7" spans="1:16" x14ac:dyDescent="0.3">
      <c r="A7" s="8" t="s">
        <v>15</v>
      </c>
      <c r="B7" s="8">
        <v>5.9458580980683504E-2</v>
      </c>
      <c r="C7" s="8">
        <v>8.4745762711864403E-2</v>
      </c>
      <c r="D7" s="8">
        <v>2.3255813953488372E-2</v>
      </c>
      <c r="E7" s="8">
        <v>0.14583333333333334</v>
      </c>
      <c r="F7" s="8">
        <v>0.10126582278481013</v>
      </c>
      <c r="G7" s="8">
        <v>9.2307692307692313E-2</v>
      </c>
      <c r="H7" s="8">
        <v>4.2253521126760563E-2</v>
      </c>
      <c r="I7" s="8">
        <v>0.24493096830113914</v>
      </c>
      <c r="J7" s="8">
        <f t="shared" si="1"/>
        <v>0.24493096830113914</v>
      </c>
      <c r="K7" s="8">
        <f t="shared" si="1"/>
        <v>0.1864406779661017</v>
      </c>
      <c r="L7" s="8">
        <f t="shared" si="0"/>
        <v>0.16279069767441862</v>
      </c>
      <c r="M7" s="8">
        <f t="shared" si="0"/>
        <v>0.27083333333333337</v>
      </c>
      <c r="N7" s="8">
        <f t="shared" si="0"/>
        <v>0.26582278481012661</v>
      </c>
      <c r="O7" s="8">
        <f t="shared" si="0"/>
        <v>0.24615384615384617</v>
      </c>
      <c r="P7" s="8">
        <f t="shared" si="0"/>
        <v>0.14084507042253522</v>
      </c>
    </row>
    <row r="8" spans="1:16" x14ac:dyDescent="0.3">
      <c r="A8" s="8" t="s">
        <v>12</v>
      </c>
      <c r="B8" s="8">
        <v>6.297981674096087E-2</v>
      </c>
      <c r="C8" s="8">
        <v>8.4745762711864403E-2</v>
      </c>
      <c r="D8" s="8">
        <v>6.9767441860465115E-2</v>
      </c>
      <c r="E8" s="8">
        <v>2.0833333333333332E-2</v>
      </c>
      <c r="F8" s="8">
        <v>0.10126582278481013</v>
      </c>
      <c r="G8" s="8">
        <v>1.5384615384615385E-2</v>
      </c>
      <c r="H8" s="8">
        <v>4.2253521126760563E-2</v>
      </c>
      <c r="I8" s="8">
        <v>0.30791078504210001</v>
      </c>
      <c r="J8" s="8">
        <f t="shared" si="1"/>
        <v>0.30791078504210001</v>
      </c>
      <c r="K8" s="8">
        <f t="shared" si="1"/>
        <v>0.2711864406779661</v>
      </c>
      <c r="L8" s="8">
        <f t="shared" si="0"/>
        <v>0.23255813953488375</v>
      </c>
      <c r="M8" s="8">
        <f t="shared" si="0"/>
        <v>0.29166666666666669</v>
      </c>
      <c r="N8" s="8">
        <f t="shared" si="0"/>
        <v>0.36708860759493672</v>
      </c>
      <c r="O8" s="8">
        <f t="shared" si="0"/>
        <v>0.26153846153846155</v>
      </c>
      <c r="P8" s="8">
        <f t="shared" si="0"/>
        <v>0.18309859154929578</v>
      </c>
    </row>
    <row r="9" spans="1:16" x14ac:dyDescent="0.3">
      <c r="A9" s="8" t="s">
        <v>11</v>
      </c>
      <c r="B9" s="8">
        <v>8.5902674591381872E-2</v>
      </c>
      <c r="C9" s="8">
        <v>5.9322033898305086E-2</v>
      </c>
      <c r="D9" s="8">
        <v>0.2558139534883721</v>
      </c>
      <c r="E9" s="8">
        <v>0.1875</v>
      </c>
      <c r="F9" s="8">
        <v>0.10126582278481013</v>
      </c>
      <c r="G9" s="8">
        <v>8.461538461538462E-2</v>
      </c>
      <c r="H9" s="8">
        <v>0.16901408450704225</v>
      </c>
      <c r="I9" s="8">
        <v>0.39381345963348191</v>
      </c>
      <c r="J9" s="8">
        <f t="shared" si="1"/>
        <v>0.39381345963348191</v>
      </c>
      <c r="K9" s="8">
        <f t="shared" si="1"/>
        <v>0.33050847457627119</v>
      </c>
      <c r="L9" s="8">
        <f t="shared" si="0"/>
        <v>0.48837209302325585</v>
      </c>
      <c r="M9" s="8">
        <f t="shared" si="0"/>
        <v>0.47916666666666669</v>
      </c>
      <c r="N9" s="8">
        <f t="shared" si="0"/>
        <v>0.46835443037974683</v>
      </c>
      <c r="O9" s="8">
        <f t="shared" si="0"/>
        <v>0.34615384615384615</v>
      </c>
      <c r="P9" s="8">
        <f t="shared" si="0"/>
        <v>0.352112676056338</v>
      </c>
    </row>
    <row r="10" spans="1:16" x14ac:dyDescent="0.3">
      <c r="A10" s="8" t="s">
        <v>8</v>
      </c>
      <c r="B10" s="8">
        <v>0.15493437345220407</v>
      </c>
      <c r="C10" s="8">
        <v>7.6271186440677971E-2</v>
      </c>
      <c r="D10" s="8">
        <v>9.3023255813953487E-2</v>
      </c>
      <c r="E10" s="8">
        <v>0.16666666666666666</v>
      </c>
      <c r="F10" s="8">
        <v>0.13924050632911392</v>
      </c>
      <c r="G10" s="8">
        <v>2.3076923076923078E-2</v>
      </c>
      <c r="H10" s="8">
        <v>4.2253521126760563E-2</v>
      </c>
      <c r="I10" s="8">
        <v>0.54874783308568598</v>
      </c>
      <c r="J10" s="8">
        <f t="shared" si="1"/>
        <v>0.54874783308568598</v>
      </c>
      <c r="K10" s="8">
        <f t="shared" si="1"/>
        <v>0.40677966101694918</v>
      </c>
      <c r="L10" s="8">
        <f t="shared" si="0"/>
        <v>0.58139534883720934</v>
      </c>
      <c r="M10" s="8">
        <f t="shared" si="0"/>
        <v>0.64583333333333337</v>
      </c>
      <c r="N10" s="8">
        <f t="shared" si="0"/>
        <v>0.60759493670886078</v>
      </c>
      <c r="O10" s="8">
        <f t="shared" si="0"/>
        <v>0.36923076923076925</v>
      </c>
      <c r="P10" s="8">
        <f t="shared" si="0"/>
        <v>0.39436619718309857</v>
      </c>
    </row>
    <row r="11" spans="1:16" x14ac:dyDescent="0.3">
      <c r="A11" s="8" t="s">
        <v>9</v>
      </c>
      <c r="B11" s="8">
        <v>0.1956955794947994</v>
      </c>
      <c r="C11" s="8">
        <v>0.48305084745762711</v>
      </c>
      <c r="D11" s="8">
        <v>0.23255813953488372</v>
      </c>
      <c r="E11" s="8">
        <v>0.22916666666666666</v>
      </c>
      <c r="F11" s="8">
        <v>0.17721518987341772</v>
      </c>
      <c r="G11" s="8">
        <v>0.41538461538461541</v>
      </c>
      <c r="H11" s="8">
        <v>0.42253521126760563</v>
      </c>
      <c r="I11" s="8">
        <v>0.74444341258048541</v>
      </c>
      <c r="J11" s="8">
        <f t="shared" si="1"/>
        <v>0.74444341258048541</v>
      </c>
      <c r="K11" s="8">
        <f t="shared" si="1"/>
        <v>0.88983050847457634</v>
      </c>
      <c r="L11" s="8">
        <f t="shared" si="0"/>
        <v>0.81395348837209303</v>
      </c>
      <c r="M11" s="8">
        <f t="shared" si="0"/>
        <v>0.875</v>
      </c>
      <c r="N11" s="8">
        <f t="shared" si="0"/>
        <v>0.78481012658227844</v>
      </c>
      <c r="O11" s="8">
        <f t="shared" si="0"/>
        <v>0.78461538461538471</v>
      </c>
      <c r="P11" s="8">
        <f t="shared" si="0"/>
        <v>0.81690140845070425</v>
      </c>
    </row>
    <row r="12" spans="1:16" x14ac:dyDescent="0.3">
      <c r="A12" s="8" t="s">
        <v>5</v>
      </c>
      <c r="B12" s="8">
        <v>0.25555658741951459</v>
      </c>
      <c r="C12" s="8">
        <v>0.11016949152542373</v>
      </c>
      <c r="D12" s="8">
        <v>0.18604651162790697</v>
      </c>
      <c r="E12" s="8">
        <v>0.125</v>
      </c>
      <c r="F12" s="8">
        <v>0.21518987341772153</v>
      </c>
      <c r="G12" s="8">
        <v>0.2153846153846154</v>
      </c>
      <c r="H12" s="8">
        <v>0.18309859154929578</v>
      </c>
      <c r="I12" s="8">
        <v>1</v>
      </c>
      <c r="J12" s="8">
        <f t="shared" si="1"/>
        <v>1</v>
      </c>
      <c r="K12" s="8">
        <f t="shared" si="1"/>
        <v>1</v>
      </c>
      <c r="L12" s="8">
        <f t="shared" si="0"/>
        <v>1</v>
      </c>
      <c r="M12" s="8">
        <f t="shared" si="0"/>
        <v>1</v>
      </c>
      <c r="N12" s="8">
        <f t="shared" si="0"/>
        <v>1</v>
      </c>
      <c r="O12" s="8">
        <f t="shared" si="0"/>
        <v>1</v>
      </c>
      <c r="P12" s="8">
        <f t="shared" si="0"/>
        <v>1</v>
      </c>
    </row>
    <row r="15" spans="1:16" ht="28.8" x14ac:dyDescent="0.3">
      <c r="B15" s="1" t="s">
        <v>94</v>
      </c>
      <c r="C15" s="3" t="s">
        <v>102</v>
      </c>
      <c r="D15" s="3" t="s">
        <v>103</v>
      </c>
      <c r="E15" s="3" t="s">
        <v>104</v>
      </c>
      <c r="F15" s="3" t="s">
        <v>105</v>
      </c>
      <c r="G15" s="3" t="s">
        <v>106</v>
      </c>
      <c r="H15" s="3" t="s">
        <v>107</v>
      </c>
      <c r="J15" s="7"/>
      <c r="K15" s="9" t="s">
        <v>108</v>
      </c>
      <c r="L15" s="9" t="s">
        <v>109</v>
      </c>
      <c r="M15" s="9" t="s">
        <v>110</v>
      </c>
      <c r="N15" s="9" t="s">
        <v>111</v>
      </c>
      <c r="O15" s="9" t="s">
        <v>112</v>
      </c>
      <c r="P15" s="9" t="s">
        <v>113</v>
      </c>
    </row>
    <row r="16" spans="1:16" x14ac:dyDescent="0.3">
      <c r="B16" s="8" t="s">
        <v>14</v>
      </c>
      <c r="C16" s="8">
        <f>C2-B2</f>
        <v>-1.1329472762988893E-2</v>
      </c>
      <c r="D16" s="8">
        <f>D2-B2</f>
        <v>-1.9804049034175333E-2</v>
      </c>
      <c r="E16" s="8">
        <f>E2-B2</f>
        <v>-1.9804049034175333E-2</v>
      </c>
      <c r="F16" s="8">
        <f>F2-B2</f>
        <v>-7.1458211860740677E-3</v>
      </c>
      <c r="G16" s="8">
        <f>G2-B2</f>
        <v>-1.9804049034175333E-2</v>
      </c>
      <c r="H16" s="8">
        <f>H2-B2</f>
        <v>-1.9804049034175333E-2</v>
      </c>
      <c r="J16" s="8" t="s">
        <v>14</v>
      </c>
      <c r="K16" s="7">
        <f>(J2-0) * ((K2+0))</f>
        <v>1.6783092401843503E-4</v>
      </c>
      <c r="L16" s="7">
        <f>(J2-0) * ((L2+0))</f>
        <v>0</v>
      </c>
      <c r="M16" s="7">
        <f>(J2-0) * ((M2+0))</f>
        <v>0</v>
      </c>
      <c r="N16" s="7">
        <f>(J2-0) * ((N2+0))</f>
        <v>2.5068416498956117E-4</v>
      </c>
      <c r="O16" s="7">
        <f>(J2-0) * ((O2+0))</f>
        <v>0</v>
      </c>
      <c r="P16" s="7">
        <f>(J2-0) * ((P2+0))</f>
        <v>0</v>
      </c>
    </row>
    <row r="17" spans="2:16" x14ac:dyDescent="0.3">
      <c r="B17" s="8" t="s">
        <v>10</v>
      </c>
      <c r="C17" s="8">
        <f t="shared" ref="C17:C26" si="2">C3-B3</f>
        <v>-7.8310604343482665E-3</v>
      </c>
      <c r="D17" s="8">
        <f t="shared" ref="D17:D26" si="3">D3-B3</f>
        <v>-2.4780212976721148E-2</v>
      </c>
      <c r="E17" s="8">
        <f t="shared" ref="E17:E26" si="4">E3-B3</f>
        <v>-3.9468796433878156E-3</v>
      </c>
      <c r="F17" s="8">
        <f t="shared" ref="F17:F26" si="5">F3-B3</f>
        <v>-1.2121985128619882E-2</v>
      </c>
      <c r="G17" s="8">
        <f t="shared" ref="G17:G26" si="6">G3-B3</f>
        <v>2.1373633177125009E-2</v>
      </c>
      <c r="H17" s="8">
        <f t="shared" ref="H17:H26" si="7">H3-B3</f>
        <v>-2.4780212976721148E-2</v>
      </c>
      <c r="J17" s="8" t="s">
        <v>10</v>
      </c>
      <c r="K17" s="7">
        <f>(J3-J2) * ((K3+K2))</f>
        <v>8.4000721954986932E-4</v>
      </c>
      <c r="L17" s="7">
        <f>(J3-J2) * ((L3+L2))</f>
        <v>0</v>
      </c>
      <c r="M17" s="7">
        <f>(J3-J2) * ((M3+M2))</f>
        <v>5.1625443701502384E-4</v>
      </c>
      <c r="N17" s="7">
        <f>(J3-J2) * ((N3+N2))</f>
        <v>9.4102074595143591E-4</v>
      </c>
      <c r="O17" s="7">
        <f>(J3-J2) * ((O3+O2))</f>
        <v>1.1437021373871298E-3</v>
      </c>
      <c r="P17" s="7">
        <f>(J3-J2) * ((P3+P2))</f>
        <v>0</v>
      </c>
    </row>
    <row r="18" spans="2:16" x14ac:dyDescent="0.3">
      <c r="B18" s="8" t="s">
        <v>7</v>
      </c>
      <c r="C18" s="8">
        <f t="shared" si="2"/>
        <v>-1.6862056228540728E-2</v>
      </c>
      <c r="D18" s="8">
        <f t="shared" si="3"/>
        <v>4.2258428648766916E-3</v>
      </c>
      <c r="E18" s="8">
        <f t="shared" si="4"/>
        <v>-6.191183754333876E-4</v>
      </c>
      <c r="F18" s="8">
        <f t="shared" si="5"/>
        <v>2.1005354198406281E-2</v>
      </c>
      <c r="G18" s="8">
        <f t="shared" si="6"/>
        <v>1.1560368804053797E-2</v>
      </c>
      <c r="H18" s="8">
        <f t="shared" si="7"/>
        <v>-3.2263915339489357E-5</v>
      </c>
      <c r="J18" s="8" t="s">
        <v>7</v>
      </c>
      <c r="K18" s="7">
        <f t="shared" ref="K18:K26" si="8">(J4-J3) * ((K4+K3))</f>
        <v>3.2251869947364448E-3</v>
      </c>
      <c r="L18" s="7">
        <f t="shared" ref="L18:L26" si="9">(J4-J3) * ((L4+L3))</f>
        <v>1.9667806996325607E-3</v>
      </c>
      <c r="M18" s="7">
        <f t="shared" ref="M18:M26" si="10">(J4-J3) * ((M4+M3))</f>
        <v>3.5238154201750042E-3</v>
      </c>
      <c r="N18" s="7">
        <f t="shared" ref="N18:N26" si="11">(J4-J3) * ((N4+N3))</f>
        <v>4.8173679161886132E-3</v>
      </c>
      <c r="O18" s="7">
        <f t="shared" ref="O18:O26" si="12">(J4-J3) * ((O4+O3))</f>
        <v>6.1802301215377001E-3</v>
      </c>
      <c r="P18" s="7">
        <f t="shared" ref="P18:P26" si="13">(J4-J3) * ((P4+P3))</f>
        <v>1.7867233116380303E-3</v>
      </c>
    </row>
    <row r="19" spans="2:16" x14ac:dyDescent="0.3">
      <c r="B19" s="8" t="s">
        <v>6</v>
      </c>
      <c r="C19" s="8">
        <f t="shared" si="2"/>
        <v>-2.6265310062877242E-2</v>
      </c>
      <c r="D19" s="8">
        <f t="shared" si="3"/>
        <v>3.2971653017266206E-3</v>
      </c>
      <c r="E19" s="8">
        <f t="shared" si="4"/>
        <v>-2.2381129271916791E-2</v>
      </c>
      <c r="F19" s="8">
        <f t="shared" si="5"/>
        <v>-5.2397790609463243E-3</v>
      </c>
      <c r="G19" s="8">
        <f t="shared" si="6"/>
        <v>-4.7529241437116593E-3</v>
      </c>
      <c r="H19" s="8">
        <f t="shared" si="7"/>
        <v>1.3123565563763963E-2</v>
      </c>
      <c r="J19" s="8" t="s">
        <v>6</v>
      </c>
      <c r="K19" s="7">
        <f t="shared" si="8"/>
        <v>5.1271396311313687E-3</v>
      </c>
      <c r="L19" s="7">
        <f t="shared" si="9"/>
        <v>6.0299250146860616E-3</v>
      </c>
      <c r="M19" s="7">
        <f t="shared" si="10"/>
        <v>6.3021091299323064E-3</v>
      </c>
      <c r="N19" s="7">
        <f t="shared" si="11"/>
        <v>9.2993147378386317E-3</v>
      </c>
      <c r="O19" s="7">
        <f t="shared" si="12"/>
        <v>1.0304987236636564E-2</v>
      </c>
      <c r="P19" s="7">
        <f t="shared" si="13"/>
        <v>6.0865440289084661E-3</v>
      </c>
    </row>
    <row r="20" spans="2:16" x14ac:dyDescent="0.3">
      <c r="B20" s="8" t="s">
        <v>13</v>
      </c>
      <c r="C20" s="8">
        <f t="shared" si="2"/>
        <v>-2.1489572577463249E-2</v>
      </c>
      <c r="D20" s="8">
        <f t="shared" si="3"/>
        <v>-8.8762497552322683E-3</v>
      </c>
      <c r="E20" s="8">
        <f t="shared" si="4"/>
        <v>-1.3721210995542348E-2</v>
      </c>
      <c r="F20" s="8">
        <f t="shared" si="5"/>
        <v>-1.7413194117905213E-2</v>
      </c>
      <c r="G20" s="8">
        <f t="shared" si="6"/>
        <v>-4.0003262277593626E-2</v>
      </c>
      <c r="H20" s="8">
        <f t="shared" si="7"/>
        <v>-5.5387877662209012E-2</v>
      </c>
      <c r="J20" s="8" t="s">
        <v>13</v>
      </c>
      <c r="K20" s="7">
        <f t="shared" si="8"/>
        <v>9.3877758749506789E-3</v>
      </c>
      <c r="L20" s="7">
        <f t="shared" si="9"/>
        <v>1.2880901781909072E-2</v>
      </c>
      <c r="M20" s="7">
        <f t="shared" si="10"/>
        <v>1.1539141179626877E-2</v>
      </c>
      <c r="N20" s="7">
        <f t="shared" si="11"/>
        <v>1.6125584635833003E-2</v>
      </c>
      <c r="O20" s="7">
        <f t="shared" si="12"/>
        <v>1.6190302701261098E-2</v>
      </c>
      <c r="P20" s="7">
        <f t="shared" si="13"/>
        <v>1.0921553341844031E-2</v>
      </c>
    </row>
    <row r="21" spans="2:16" x14ac:dyDescent="0.3">
      <c r="B21" s="8" t="s">
        <v>15</v>
      </c>
      <c r="C21" s="8">
        <f t="shared" si="2"/>
        <v>2.5287181731180899E-2</v>
      </c>
      <c r="D21" s="8">
        <f t="shared" si="3"/>
        <v>-3.6202767027195132E-2</v>
      </c>
      <c r="E21" s="8">
        <f t="shared" si="4"/>
        <v>8.6374752352649839E-2</v>
      </c>
      <c r="F21" s="8">
        <f t="shared" si="5"/>
        <v>4.1807241804126621E-2</v>
      </c>
      <c r="G21" s="8">
        <f t="shared" si="6"/>
        <v>3.2849111327008809E-2</v>
      </c>
      <c r="H21" s="8">
        <f t="shared" si="7"/>
        <v>-1.7205059853922941E-2</v>
      </c>
      <c r="J21" s="8" t="s">
        <v>15</v>
      </c>
      <c r="K21" s="7">
        <f t="shared" si="8"/>
        <v>1.7132133502908802E-2</v>
      </c>
      <c r="L21" s="7">
        <f t="shared" si="9"/>
        <v>1.7975850063927566E-2</v>
      </c>
      <c r="M21" s="7">
        <f t="shared" si="10"/>
        <v>2.3535688304853884E-2</v>
      </c>
      <c r="N21" s="7">
        <f t="shared" si="11"/>
        <v>2.5589769029661254E-2</v>
      </c>
      <c r="O21" s="7">
        <f t="shared" si="12"/>
        <v>2.3783432392273398E-2</v>
      </c>
      <c r="P21" s="7">
        <f t="shared" si="13"/>
        <v>1.4236561643262246E-2</v>
      </c>
    </row>
    <row r="22" spans="2:16" x14ac:dyDescent="0.3">
      <c r="B22" s="8" t="s">
        <v>12</v>
      </c>
      <c r="C22" s="8">
        <f t="shared" si="2"/>
        <v>2.1765945970903533E-2</v>
      </c>
      <c r="D22" s="8">
        <f t="shared" si="3"/>
        <v>6.7876251195042453E-3</v>
      </c>
      <c r="E22" s="8">
        <f t="shared" si="4"/>
        <v>-4.2146483407627541E-2</v>
      </c>
      <c r="F22" s="8">
        <f t="shared" si="5"/>
        <v>3.8286006043849255E-2</v>
      </c>
      <c r="G22" s="8">
        <f t="shared" si="6"/>
        <v>-4.7595201356345485E-2</v>
      </c>
      <c r="H22" s="8">
        <f t="shared" si="7"/>
        <v>-2.0726295614200307E-2</v>
      </c>
      <c r="J22" s="8" t="s">
        <v>12</v>
      </c>
      <c r="K22" s="7">
        <f t="shared" si="8"/>
        <v>2.8821272067897346E-2</v>
      </c>
      <c r="L22" s="7">
        <f t="shared" si="9"/>
        <v>2.4898997316193834E-2</v>
      </c>
      <c r="M22" s="7">
        <f t="shared" si="10"/>
        <v>3.5426146916790489E-2</v>
      </c>
      <c r="N22" s="7">
        <f t="shared" si="11"/>
        <v>3.9860643506937264E-2</v>
      </c>
      <c r="O22" s="7">
        <f t="shared" si="12"/>
        <v>3.1974368499257055E-2</v>
      </c>
      <c r="P22" s="7">
        <f t="shared" si="13"/>
        <v>2.0401912465381693E-2</v>
      </c>
    </row>
    <row r="23" spans="2:16" x14ac:dyDescent="0.3">
      <c r="B23" s="8" t="s">
        <v>11</v>
      </c>
      <c r="C23" s="8">
        <f t="shared" si="2"/>
        <v>-2.6580640693076786E-2</v>
      </c>
      <c r="D23" s="8">
        <f t="shared" si="3"/>
        <v>0.16991127889699023</v>
      </c>
      <c r="E23" s="8">
        <f t="shared" si="4"/>
        <v>0.10159732540861813</v>
      </c>
      <c r="F23" s="8">
        <f t="shared" si="5"/>
        <v>1.5363148193428253E-2</v>
      </c>
      <c r="G23" s="8">
        <f t="shared" si="6"/>
        <v>-1.2872899759972523E-3</v>
      </c>
      <c r="H23" s="8">
        <f t="shared" si="7"/>
        <v>8.3111409915660378E-2</v>
      </c>
      <c r="J23" s="8" t="s">
        <v>11</v>
      </c>
      <c r="K23" s="7">
        <f t="shared" si="8"/>
        <v>5.1687202508373851E-2</v>
      </c>
      <c r="L23" s="7">
        <f t="shared" si="9"/>
        <v>6.192983517053114E-2</v>
      </c>
      <c r="M23" s="7">
        <f t="shared" si="10"/>
        <v>6.6216644997523555E-2</v>
      </c>
      <c r="N23" s="7">
        <f t="shared" si="11"/>
        <v>7.176679143077476E-2</v>
      </c>
      <c r="O23" s="7">
        <f t="shared" si="12"/>
        <v>5.2202394559378237E-2</v>
      </c>
      <c r="P23" s="7">
        <f t="shared" si="13"/>
        <v>4.5976079358767775E-2</v>
      </c>
    </row>
    <row r="24" spans="2:16" x14ac:dyDescent="0.3">
      <c r="B24" s="8" t="s">
        <v>8</v>
      </c>
      <c r="C24" s="8">
        <f t="shared" si="2"/>
        <v>-7.8663187011526095E-2</v>
      </c>
      <c r="D24" s="8">
        <f t="shared" si="3"/>
        <v>-6.1911117638250579E-2</v>
      </c>
      <c r="E24" s="8">
        <f t="shared" si="4"/>
        <v>1.1732293214462591E-2</v>
      </c>
      <c r="F24" s="8">
        <f t="shared" si="5"/>
        <v>-1.5693867123090149E-2</v>
      </c>
      <c r="G24" s="8">
        <f t="shared" si="6"/>
        <v>-0.13185745037528099</v>
      </c>
      <c r="H24" s="8">
        <f t="shared" si="7"/>
        <v>-0.1126808523254435</v>
      </c>
      <c r="J24" s="8" t="s">
        <v>8</v>
      </c>
      <c r="K24" s="7">
        <f t="shared" si="8"/>
        <v>0.11423127534187927</v>
      </c>
      <c r="L24" s="7">
        <f t="shared" si="9"/>
        <v>0.16574374834421832</v>
      </c>
      <c r="M24" s="7">
        <f t="shared" si="10"/>
        <v>0.17430117013372959</v>
      </c>
      <c r="N24" s="7">
        <f t="shared" si="11"/>
        <v>0.16670154105616894</v>
      </c>
      <c r="O24" s="7">
        <f t="shared" si="12"/>
        <v>0.11083766716196138</v>
      </c>
      <c r="P24" s="7">
        <f t="shared" si="13"/>
        <v>0.11565523652065936</v>
      </c>
    </row>
    <row r="25" spans="2:16" x14ac:dyDescent="0.3">
      <c r="B25" s="8" t="s">
        <v>9</v>
      </c>
      <c r="C25" s="8">
        <f t="shared" si="2"/>
        <v>0.28735526796282773</v>
      </c>
      <c r="D25" s="8">
        <f t="shared" si="3"/>
        <v>3.6862560040084313E-2</v>
      </c>
      <c r="E25" s="8">
        <f t="shared" si="4"/>
        <v>3.3471087171867253E-2</v>
      </c>
      <c r="F25" s="8">
        <f t="shared" si="5"/>
        <v>-1.8480389621381682E-2</v>
      </c>
      <c r="G25" s="8">
        <f t="shared" si="6"/>
        <v>0.219689035889816</v>
      </c>
      <c r="H25" s="8">
        <f t="shared" si="7"/>
        <v>0.22683963177280622</v>
      </c>
      <c r="J25" s="8" t="s">
        <v>9</v>
      </c>
      <c r="K25" s="7">
        <f t="shared" si="8"/>
        <v>0.25374087849749422</v>
      </c>
      <c r="L25" s="7">
        <f t="shared" si="9"/>
        <v>0.27306359929506896</v>
      </c>
      <c r="M25" s="7">
        <f t="shared" si="10"/>
        <v>0.29762036048167417</v>
      </c>
      <c r="N25" s="7">
        <f t="shared" si="11"/>
        <v>0.27248751575225233</v>
      </c>
      <c r="O25" s="7">
        <f t="shared" si="12"/>
        <v>0.2258025917247686</v>
      </c>
      <c r="P25" s="7">
        <f t="shared" si="13"/>
        <v>0.23703971600778523</v>
      </c>
    </row>
    <row r="26" spans="2:16" x14ac:dyDescent="0.3">
      <c r="B26" s="8" t="s">
        <v>5</v>
      </c>
      <c r="C26" s="8">
        <f t="shared" si="2"/>
        <v>-0.14538709589409088</v>
      </c>
      <c r="D26" s="8">
        <f t="shared" si="3"/>
        <v>-6.9510075791607617E-2</v>
      </c>
      <c r="E26" s="8">
        <f t="shared" si="4"/>
        <v>-0.13055658741951459</v>
      </c>
      <c r="F26" s="8">
        <f t="shared" si="5"/>
        <v>-4.0366714001793064E-2</v>
      </c>
      <c r="G26" s="8">
        <f t="shared" si="6"/>
        <v>-4.0171972034899195E-2</v>
      </c>
      <c r="H26" s="8">
        <f t="shared" si="7"/>
        <v>-7.2457995870218811E-2</v>
      </c>
      <c r="J26" s="8" t="s">
        <v>5</v>
      </c>
      <c r="K26" s="7">
        <f t="shared" si="8"/>
        <v>0.48295863554704876</v>
      </c>
      <c r="L26" s="7">
        <f t="shared" si="9"/>
        <v>0.46356776322609627</v>
      </c>
      <c r="M26" s="7">
        <f t="shared" si="10"/>
        <v>0.47916860141158985</v>
      </c>
      <c r="N26" s="7">
        <f t="shared" si="11"/>
        <v>0.45611998514115892</v>
      </c>
      <c r="O26" s="7">
        <f t="shared" si="12"/>
        <v>0.45607021754867222</v>
      </c>
      <c r="P26" s="7">
        <f t="shared" si="13"/>
        <v>0.46432112362137157</v>
      </c>
    </row>
    <row r="27" spans="2:16" x14ac:dyDescent="0.3">
      <c r="J27" s="11" t="s">
        <v>114</v>
      </c>
      <c r="K27" s="9">
        <f>SUM(K16:K26)</f>
        <v>0.96731933810998905</v>
      </c>
      <c r="L27" s="9">
        <f t="shared" ref="L27:P27" si="14">SUM(L16:L26)</f>
        <v>1.0280574009122638</v>
      </c>
      <c r="M27" s="9">
        <f t="shared" si="14"/>
        <v>1.0981499324129107</v>
      </c>
      <c r="N27" s="9">
        <f t="shared" si="14"/>
        <v>1.0639602181177548</v>
      </c>
      <c r="O27" s="9">
        <f t="shared" si="14"/>
        <v>0.93448989408313343</v>
      </c>
      <c r="P27" s="9">
        <f t="shared" si="14"/>
        <v>0.91642545029961842</v>
      </c>
    </row>
    <row r="28" spans="2:16" x14ac:dyDescent="0.3">
      <c r="J28" s="12" t="s">
        <v>115</v>
      </c>
      <c r="K28" s="10">
        <f>1-K27</f>
        <v>3.2680661890010954E-2</v>
      </c>
      <c r="L28" s="10">
        <f t="shared" ref="L28:P28" si="15">1-L27</f>
        <v>-2.805740091226383E-2</v>
      </c>
      <c r="M28" s="10">
        <f t="shared" si="15"/>
        <v>-9.8149932412910701E-2</v>
      </c>
      <c r="N28" s="10">
        <f t="shared" si="15"/>
        <v>-6.3960218117754764E-2</v>
      </c>
      <c r="O28" s="10">
        <f t="shared" si="15"/>
        <v>6.5510105916866568E-2</v>
      </c>
      <c r="P28" s="10">
        <f t="shared" si="15"/>
        <v>8.3574549700381584E-2</v>
      </c>
    </row>
  </sheetData>
  <sortState xmlns:xlrd2="http://schemas.microsoft.com/office/spreadsheetml/2017/richdata2" ref="A2:P13">
    <sortCondition ref="B1:B13"/>
  </sortState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3615D-9ED9-49F0-B91A-B62412E74A83}">
  <dimension ref="A1:P29"/>
  <sheetViews>
    <sheetView workbookViewId="0">
      <selection activeCell="J2" sqref="J2:P2"/>
    </sheetView>
  </sheetViews>
  <sheetFormatPr defaultRowHeight="14.4" x14ac:dyDescent="0.3"/>
  <sheetData>
    <row r="1" spans="1:16" ht="36.6" customHeight="1" x14ac:dyDescent="0.3">
      <c r="A1" s="1" t="s">
        <v>94</v>
      </c>
      <c r="B1" s="2" t="s">
        <v>95</v>
      </c>
      <c r="C1" s="3" t="s">
        <v>96</v>
      </c>
      <c r="D1" s="3" t="s">
        <v>97</v>
      </c>
      <c r="E1" s="3" t="s">
        <v>98</v>
      </c>
      <c r="F1" s="2" t="s">
        <v>99</v>
      </c>
      <c r="G1" s="3" t="s">
        <v>100</v>
      </c>
      <c r="H1" s="3" t="s">
        <v>101</v>
      </c>
      <c r="I1" s="4" t="s">
        <v>95</v>
      </c>
      <c r="J1" s="5" t="s">
        <v>95</v>
      </c>
      <c r="K1" s="6" t="s">
        <v>96</v>
      </c>
      <c r="L1" s="6" t="s">
        <v>97</v>
      </c>
      <c r="M1" s="6" t="s">
        <v>98</v>
      </c>
      <c r="N1" s="5" t="s">
        <v>99</v>
      </c>
      <c r="O1" s="6" t="s">
        <v>100</v>
      </c>
      <c r="P1" s="6" t="s">
        <v>101</v>
      </c>
    </row>
    <row r="2" spans="1:16" x14ac:dyDescent="0.3">
      <c r="A2" s="8" t="s">
        <v>27</v>
      </c>
      <c r="B2" s="8">
        <v>4.1551531984850574E-3</v>
      </c>
      <c r="C2" s="8">
        <v>8.2449941107184919E-3</v>
      </c>
      <c r="D2" s="8">
        <v>9.3676814988290398E-3</v>
      </c>
      <c r="E2" s="8">
        <v>4.1580041580041582E-3</v>
      </c>
      <c r="F2" s="8">
        <v>1.0443864229765013E-2</v>
      </c>
      <c r="G2" s="8">
        <v>1.001669449081803E-2</v>
      </c>
      <c r="H2" s="8">
        <v>4.7846889952153108E-3</v>
      </c>
      <c r="I2" s="8">
        <v>4.1551531984850574E-3</v>
      </c>
      <c r="J2" s="8">
        <v>4.1551531984850574E-3</v>
      </c>
      <c r="K2" s="8">
        <v>8.2449941107184919E-3</v>
      </c>
      <c r="L2" s="8">
        <v>9.3676814988290398E-3</v>
      </c>
      <c r="M2" s="8">
        <v>4.1580041580041582E-3</v>
      </c>
      <c r="N2" s="8">
        <v>1.0443864229765013E-2</v>
      </c>
      <c r="O2" s="8">
        <v>1.001669449081803E-2</v>
      </c>
      <c r="P2" s="8">
        <v>4.7846889952153108E-3</v>
      </c>
    </row>
    <row r="3" spans="1:16" x14ac:dyDescent="0.3">
      <c r="A3" s="8" t="s">
        <v>19</v>
      </c>
      <c r="B3" s="8">
        <v>4.2122251233784047E-3</v>
      </c>
      <c r="C3" s="8">
        <v>3.5335689045936395E-3</v>
      </c>
      <c r="D3" s="8">
        <v>4.6838407494145199E-3</v>
      </c>
      <c r="E3" s="8">
        <v>2.0790020790020791E-3</v>
      </c>
      <c r="F3" s="8">
        <v>7.832898172323759E-3</v>
      </c>
      <c r="G3" s="8">
        <v>8.3472454090150246E-3</v>
      </c>
      <c r="H3" s="8">
        <v>7.1770334928229667E-3</v>
      </c>
      <c r="I3" s="8">
        <v>8.3673783218634612E-3</v>
      </c>
      <c r="J3" s="8">
        <f t="shared" ref="J3:P13" si="0">J2+B3</f>
        <v>8.3673783218634612E-3</v>
      </c>
      <c r="K3" s="8">
        <f t="shared" si="0"/>
        <v>1.1778563015312132E-2</v>
      </c>
      <c r="L3" s="13">
        <f t="shared" si="0"/>
        <v>1.405152224824356E-2</v>
      </c>
      <c r="M3" s="8">
        <f t="shared" si="0"/>
        <v>6.2370062370062374E-3</v>
      </c>
      <c r="N3" s="8">
        <f t="shared" si="0"/>
        <v>1.8276762402088774E-2</v>
      </c>
      <c r="O3" s="8">
        <f t="shared" si="0"/>
        <v>1.8363939899833055E-2</v>
      </c>
      <c r="P3" s="8">
        <f t="shared" si="0"/>
        <v>1.1961722488038277E-2</v>
      </c>
    </row>
    <row r="4" spans="1:16" x14ac:dyDescent="0.3">
      <c r="A4" s="8" t="s">
        <v>24</v>
      </c>
      <c r="B4" s="8">
        <v>4.3105156606947238E-3</v>
      </c>
      <c r="C4" s="8">
        <v>2.3557126030624262E-3</v>
      </c>
      <c r="D4" s="8">
        <v>2.34192037470726E-3</v>
      </c>
      <c r="E4" s="8">
        <v>0</v>
      </c>
      <c r="F4" s="8">
        <v>6.5274151436031328E-3</v>
      </c>
      <c r="G4" s="8">
        <v>1.001669449081803E-2</v>
      </c>
      <c r="H4" s="8">
        <v>4.7846889952153108E-3</v>
      </c>
      <c r="I4" s="8">
        <v>1.2677893982558185E-2</v>
      </c>
      <c r="J4" s="8">
        <f t="shared" si="0"/>
        <v>1.2677893982558185E-2</v>
      </c>
      <c r="K4" s="8">
        <f t="shared" si="0"/>
        <v>1.4134275618374558E-2</v>
      </c>
      <c r="L4" s="13">
        <f t="shared" si="0"/>
        <v>1.6393442622950821E-2</v>
      </c>
      <c r="M4" s="8">
        <f t="shared" si="0"/>
        <v>6.2370062370062374E-3</v>
      </c>
      <c r="N4" s="8">
        <f t="shared" si="0"/>
        <v>2.4804177545691905E-2</v>
      </c>
      <c r="O4" s="8">
        <f t="shared" si="0"/>
        <v>2.8380634390651083E-2</v>
      </c>
      <c r="P4" s="8">
        <f t="shared" si="0"/>
        <v>1.6746411483253589E-2</v>
      </c>
    </row>
    <row r="5" spans="1:16" x14ac:dyDescent="0.3">
      <c r="A5" s="8" t="s">
        <v>20</v>
      </c>
      <c r="B5" s="8">
        <v>4.9066002095807908E-3</v>
      </c>
      <c r="C5" s="8">
        <v>1.1778563015312132E-2</v>
      </c>
      <c r="D5" s="8">
        <v>1.405152224824356E-2</v>
      </c>
      <c r="E5" s="8">
        <v>4.1580041580041582E-3</v>
      </c>
      <c r="F5" s="8">
        <v>3.9164490861618795E-3</v>
      </c>
      <c r="G5" s="8">
        <v>6.6777963272120202E-3</v>
      </c>
      <c r="H5" s="8">
        <v>4.7846889952153108E-3</v>
      </c>
      <c r="I5" s="8">
        <v>1.7584494192138977E-2</v>
      </c>
      <c r="J5" s="8">
        <f t="shared" si="0"/>
        <v>1.7584494192138977E-2</v>
      </c>
      <c r="K5" s="8">
        <f t="shared" si="0"/>
        <v>2.591283863368669E-2</v>
      </c>
      <c r="L5" s="13">
        <f t="shared" si="0"/>
        <v>3.0444964871194378E-2</v>
      </c>
      <c r="M5" s="8">
        <f t="shared" si="0"/>
        <v>1.0395010395010396E-2</v>
      </c>
      <c r="N5" s="8">
        <f t="shared" si="0"/>
        <v>2.8720626631853784E-2</v>
      </c>
      <c r="O5" s="8">
        <f t="shared" si="0"/>
        <v>3.5058430717863104E-2</v>
      </c>
      <c r="P5" s="8">
        <f t="shared" si="0"/>
        <v>2.1531100478468901E-2</v>
      </c>
    </row>
    <row r="6" spans="1:16" x14ac:dyDescent="0.3">
      <c r="A6" s="8" t="s">
        <v>18</v>
      </c>
      <c r="B6" s="8">
        <v>5.0984252904723174E-3</v>
      </c>
      <c r="C6" s="8">
        <v>5.8892815076560662E-3</v>
      </c>
      <c r="D6" s="8">
        <v>4.6838407494145199E-3</v>
      </c>
      <c r="E6" s="8">
        <v>6.2370062370062374E-3</v>
      </c>
      <c r="F6" s="8">
        <v>2.6109660574412533E-3</v>
      </c>
      <c r="G6" s="8">
        <v>1.8363939899833055E-2</v>
      </c>
      <c r="H6" s="8">
        <v>2.8708133971291867E-2</v>
      </c>
      <c r="I6" s="8">
        <v>2.2682919482611294E-2</v>
      </c>
      <c r="J6" s="8">
        <f t="shared" si="0"/>
        <v>2.2682919482611294E-2</v>
      </c>
      <c r="K6" s="8">
        <f t="shared" si="0"/>
        <v>3.180212014134276E-2</v>
      </c>
      <c r="L6" s="13">
        <f t="shared" si="0"/>
        <v>3.5128805620608897E-2</v>
      </c>
      <c r="M6" s="8">
        <f t="shared" si="0"/>
        <v>1.6632016632016633E-2</v>
      </c>
      <c r="N6" s="8">
        <f t="shared" si="0"/>
        <v>3.1331592689295036E-2</v>
      </c>
      <c r="O6" s="8">
        <f t="shared" si="0"/>
        <v>5.3422370617696155E-2</v>
      </c>
      <c r="P6" s="8">
        <f t="shared" si="0"/>
        <v>5.0239234449760764E-2</v>
      </c>
    </row>
    <row r="7" spans="1:16" x14ac:dyDescent="0.3">
      <c r="A7" s="8" t="s">
        <v>17</v>
      </c>
      <c r="B7" s="8">
        <v>5.425003527362025E-3</v>
      </c>
      <c r="C7" s="8">
        <v>8.2449941107184919E-3</v>
      </c>
      <c r="D7" s="8">
        <v>0</v>
      </c>
      <c r="E7" s="8">
        <v>2.0790020790020791E-3</v>
      </c>
      <c r="F7" s="8">
        <v>3.9164490861618795E-3</v>
      </c>
      <c r="G7" s="8">
        <v>6.6777963272120202E-3</v>
      </c>
      <c r="H7" s="8">
        <v>0</v>
      </c>
      <c r="I7" s="8">
        <v>2.8107923009973321E-2</v>
      </c>
      <c r="J7" s="8">
        <f t="shared" si="0"/>
        <v>2.8107923009973321E-2</v>
      </c>
      <c r="K7" s="8">
        <f t="shared" si="0"/>
        <v>4.0047114252061256E-2</v>
      </c>
      <c r="L7" s="13">
        <f t="shared" si="0"/>
        <v>3.5128805620608897E-2</v>
      </c>
      <c r="M7" s="8">
        <f t="shared" si="0"/>
        <v>1.8711018711018712E-2</v>
      </c>
      <c r="N7" s="8">
        <f t="shared" si="0"/>
        <v>3.5248041775456915E-2</v>
      </c>
      <c r="O7" s="8">
        <f t="shared" si="0"/>
        <v>6.0100166944908176E-2</v>
      </c>
      <c r="P7" s="8">
        <f t="shared" si="0"/>
        <v>5.0239234449760764E-2</v>
      </c>
    </row>
    <row r="8" spans="1:16" x14ac:dyDescent="0.3">
      <c r="A8" s="8" t="s">
        <v>21</v>
      </c>
      <c r="B8" s="8">
        <v>6.2335224633511049E-3</v>
      </c>
      <c r="C8" s="8">
        <v>3.5335689045936395E-3</v>
      </c>
      <c r="D8" s="8">
        <v>2.34192037470726E-3</v>
      </c>
      <c r="E8" s="8">
        <v>0</v>
      </c>
      <c r="F8" s="8">
        <v>6.5274151436031328E-3</v>
      </c>
      <c r="G8" s="8">
        <v>8.3472454090150246E-3</v>
      </c>
      <c r="H8" s="8">
        <v>2.6315789473684209E-2</v>
      </c>
      <c r="I8" s="8">
        <v>3.4341445473324426E-2</v>
      </c>
      <c r="J8" s="8">
        <f t="shared" si="0"/>
        <v>3.4341445473324426E-2</v>
      </c>
      <c r="K8" s="8">
        <f t="shared" si="0"/>
        <v>4.3580683156654892E-2</v>
      </c>
      <c r="L8" s="13">
        <f t="shared" si="0"/>
        <v>3.7470725995316159E-2</v>
      </c>
      <c r="M8" s="8">
        <f t="shared" si="0"/>
        <v>1.8711018711018712E-2</v>
      </c>
      <c r="N8" s="8">
        <f t="shared" si="0"/>
        <v>4.1775456919060046E-2</v>
      </c>
      <c r="O8" s="8">
        <f t="shared" si="0"/>
        <v>6.8447412353923195E-2</v>
      </c>
      <c r="P8" s="8">
        <f t="shared" si="0"/>
        <v>7.6555023923444973E-2</v>
      </c>
    </row>
    <row r="9" spans="1:16" x14ac:dyDescent="0.3">
      <c r="A9" s="8" t="s">
        <v>26</v>
      </c>
      <c r="B9" s="8">
        <v>6.3175450194440878E-3</v>
      </c>
      <c r="C9" s="8">
        <v>4.7114252061248524E-3</v>
      </c>
      <c r="D9" s="8">
        <v>4.6838407494145199E-3</v>
      </c>
      <c r="E9" s="8">
        <v>0</v>
      </c>
      <c r="F9" s="8">
        <v>3.9164490861618795E-3</v>
      </c>
      <c r="G9" s="8">
        <v>1.6694490818030051E-3</v>
      </c>
      <c r="H9" s="8">
        <v>0</v>
      </c>
      <c r="I9" s="8">
        <v>4.0658990492768513E-2</v>
      </c>
      <c r="J9" s="8">
        <f t="shared" si="0"/>
        <v>4.0658990492768513E-2</v>
      </c>
      <c r="K9" s="8">
        <f t="shared" si="0"/>
        <v>4.8292108362779744E-2</v>
      </c>
      <c r="L9" s="13">
        <f t="shared" si="0"/>
        <v>4.2154566744730677E-2</v>
      </c>
      <c r="M9" s="8">
        <f t="shared" si="0"/>
        <v>1.8711018711018712E-2</v>
      </c>
      <c r="N9" s="8">
        <f t="shared" si="0"/>
        <v>4.5691906005221924E-2</v>
      </c>
      <c r="O9" s="8">
        <f t="shared" si="0"/>
        <v>7.0116861435726194E-2</v>
      </c>
      <c r="P9" s="8">
        <f t="shared" si="0"/>
        <v>7.6555023923444973E-2</v>
      </c>
    </row>
    <row r="10" spans="1:16" x14ac:dyDescent="0.3">
      <c r="A10" s="8" t="s">
        <v>22</v>
      </c>
      <c r="B10" s="8">
        <v>6.3635196256081727E-3</v>
      </c>
      <c r="C10" s="8">
        <v>7.0671378091872791E-3</v>
      </c>
      <c r="D10" s="8">
        <v>9.3676814988290398E-3</v>
      </c>
      <c r="E10" s="8">
        <v>8.3160083160083165E-3</v>
      </c>
      <c r="F10" s="8">
        <v>3.9164490861618795E-3</v>
      </c>
      <c r="G10" s="8">
        <v>8.3472454090150246E-3</v>
      </c>
      <c r="H10" s="8">
        <v>1.4354066985645933E-2</v>
      </c>
      <c r="I10" s="8">
        <v>4.7022510118376687E-2</v>
      </c>
      <c r="J10" s="8">
        <f t="shared" si="0"/>
        <v>4.7022510118376687E-2</v>
      </c>
      <c r="K10" s="8">
        <f t="shared" si="0"/>
        <v>5.5359246171967025E-2</v>
      </c>
      <c r="L10" s="13">
        <f t="shared" si="0"/>
        <v>5.1522248243559721E-2</v>
      </c>
      <c r="M10" s="8">
        <f t="shared" si="0"/>
        <v>2.7027027027027029E-2</v>
      </c>
      <c r="N10" s="8">
        <f t="shared" si="0"/>
        <v>4.9608355091383803E-2</v>
      </c>
      <c r="O10" s="8">
        <f t="shared" si="0"/>
        <v>7.8464106844741213E-2</v>
      </c>
      <c r="P10" s="8">
        <f t="shared" si="0"/>
        <v>9.0909090909090912E-2</v>
      </c>
    </row>
    <row r="11" spans="1:16" x14ac:dyDescent="0.3">
      <c r="A11" s="8" t="s">
        <v>25</v>
      </c>
      <c r="B11" s="8">
        <v>1.4210909298443363E-2</v>
      </c>
      <c r="C11" s="8">
        <v>1.2956419316843345E-2</v>
      </c>
      <c r="D11" s="8">
        <v>1.405152224824356E-2</v>
      </c>
      <c r="E11" s="8">
        <v>2.4948024948024949E-2</v>
      </c>
      <c r="F11" s="8">
        <v>1.6971279373368148E-2</v>
      </c>
      <c r="G11" s="8">
        <v>1.6694490818030049E-2</v>
      </c>
      <c r="H11" s="8">
        <v>1.6746411483253589E-2</v>
      </c>
      <c r="I11" s="8">
        <v>6.1233419416820048E-2</v>
      </c>
      <c r="J11" s="8">
        <f t="shared" si="0"/>
        <v>6.1233419416820048E-2</v>
      </c>
      <c r="K11" s="8">
        <f t="shared" si="0"/>
        <v>6.8315665488810365E-2</v>
      </c>
      <c r="L11" s="13">
        <f t="shared" si="0"/>
        <v>6.5573770491803282E-2</v>
      </c>
      <c r="M11" s="8">
        <f t="shared" si="0"/>
        <v>5.1975051975051978E-2</v>
      </c>
      <c r="N11" s="8">
        <f t="shared" si="0"/>
        <v>6.6579634464751958E-2</v>
      </c>
      <c r="O11" s="8">
        <f t="shared" si="0"/>
        <v>9.5158597662771266E-2</v>
      </c>
      <c r="P11" s="8">
        <f t="shared" si="0"/>
        <v>0.1076555023923445</v>
      </c>
    </row>
    <row r="12" spans="1:16" x14ac:dyDescent="0.3">
      <c r="A12" s="8" t="s">
        <v>23</v>
      </c>
      <c r="B12" s="8">
        <v>2.3187054819169193E-2</v>
      </c>
      <c r="C12" s="8">
        <v>1.6489988221436984E-2</v>
      </c>
      <c r="D12" s="8">
        <v>3.9812646370023422E-2</v>
      </c>
      <c r="E12" s="8">
        <v>2.7027027027027029E-2</v>
      </c>
      <c r="F12" s="8">
        <v>1.95822454308094E-2</v>
      </c>
      <c r="G12" s="8">
        <v>2.5041736227045076E-2</v>
      </c>
      <c r="H12" s="8">
        <v>2.8708133971291867E-2</v>
      </c>
      <c r="I12" s="8">
        <v>8.4420474235989237E-2</v>
      </c>
      <c r="J12" s="8">
        <f t="shared" si="0"/>
        <v>8.4420474235989237E-2</v>
      </c>
      <c r="K12" s="8">
        <f t="shared" si="0"/>
        <v>8.4805653710247342E-2</v>
      </c>
      <c r="L12" s="13">
        <f t="shared" si="0"/>
        <v>0.1053864168618267</v>
      </c>
      <c r="M12" s="8">
        <f t="shared" si="0"/>
        <v>7.9002079002079006E-2</v>
      </c>
      <c r="N12" s="8">
        <f t="shared" si="0"/>
        <v>8.6161879895561358E-2</v>
      </c>
      <c r="O12" s="8">
        <f t="shared" si="0"/>
        <v>0.12020033388981634</v>
      </c>
      <c r="P12" s="8">
        <f t="shared" si="0"/>
        <v>0.13636363636363638</v>
      </c>
    </row>
    <row r="13" spans="1:16" x14ac:dyDescent="0.3">
      <c r="A13" s="8" t="s">
        <v>16</v>
      </c>
      <c r="B13" s="8">
        <v>0.9155795257640108</v>
      </c>
      <c r="C13" s="8">
        <v>0.9151943462897526</v>
      </c>
      <c r="D13" s="8">
        <v>0.8946135831381733</v>
      </c>
      <c r="E13" s="8">
        <v>0.92099792099792099</v>
      </c>
      <c r="F13" s="8">
        <v>0.91383812010443866</v>
      </c>
      <c r="G13" s="8">
        <v>0.87979966611018368</v>
      </c>
      <c r="H13" s="8">
        <v>0.86363636363636365</v>
      </c>
      <c r="I13" s="8">
        <v>1</v>
      </c>
      <c r="J13" s="8">
        <f t="shared" si="0"/>
        <v>1</v>
      </c>
      <c r="K13" s="8">
        <f t="shared" si="0"/>
        <v>1</v>
      </c>
      <c r="L13" s="13">
        <f t="shared" si="0"/>
        <v>1</v>
      </c>
      <c r="M13" s="8">
        <f t="shared" si="0"/>
        <v>1</v>
      </c>
      <c r="N13" s="8">
        <f t="shared" si="0"/>
        <v>1</v>
      </c>
      <c r="O13" s="8">
        <f t="shared" si="0"/>
        <v>1</v>
      </c>
      <c r="P13" s="8">
        <f t="shared" si="0"/>
        <v>1</v>
      </c>
    </row>
    <row r="15" spans="1:16" ht="28.8" x14ac:dyDescent="0.3">
      <c r="B15" s="1" t="s">
        <v>94</v>
      </c>
      <c r="C15" s="3" t="s">
        <v>102</v>
      </c>
      <c r="D15" s="3" t="s">
        <v>103</v>
      </c>
      <c r="E15" s="3" t="s">
        <v>104</v>
      </c>
      <c r="F15" s="3" t="s">
        <v>105</v>
      </c>
      <c r="G15" s="3" t="s">
        <v>106</v>
      </c>
      <c r="H15" s="3" t="s">
        <v>107</v>
      </c>
      <c r="J15" s="7"/>
      <c r="K15" s="9" t="s">
        <v>108</v>
      </c>
      <c r="L15" s="9" t="s">
        <v>109</v>
      </c>
      <c r="M15" s="9" t="s">
        <v>110</v>
      </c>
      <c r="N15" s="9" t="s">
        <v>111</v>
      </c>
      <c r="O15" s="9" t="s">
        <v>112</v>
      </c>
      <c r="P15" s="9" t="s">
        <v>113</v>
      </c>
    </row>
    <row r="16" spans="1:16" x14ac:dyDescent="0.3">
      <c r="B16" s="8" t="s">
        <v>27</v>
      </c>
      <c r="C16" s="8">
        <f>C2-B2</f>
        <v>4.0898409122334346E-3</v>
      </c>
      <c r="D16" s="8">
        <f>D2-B2</f>
        <v>5.2125283003439825E-3</v>
      </c>
      <c r="E16" s="8">
        <f>E2-B2</f>
        <v>2.8509595191008805E-6</v>
      </c>
      <c r="F16" s="8">
        <f>F2-B2</f>
        <v>6.2887110312799558E-3</v>
      </c>
      <c r="G16" s="8">
        <f>G2-B2</f>
        <v>5.8615412923329726E-3</v>
      </c>
      <c r="H16" s="8">
        <f>H2-B2</f>
        <v>6.2953579673025346E-4</v>
      </c>
      <c r="J16" s="8" t="s">
        <v>27</v>
      </c>
      <c r="K16" s="7">
        <f>($J2-0) * ((K2+0))</f>
        <v>3.4259213650642403E-5</v>
      </c>
      <c r="L16" s="7">
        <f t="shared" ref="L16:P16" si="1">($J2-0) * ((L2+0))</f>
        <v>3.892415174224878E-5</v>
      </c>
      <c r="M16" s="7">
        <f t="shared" si="1"/>
        <v>1.7277144276445145E-5</v>
      </c>
      <c r="N16" s="7">
        <f t="shared" si="1"/>
        <v>4.3395855858851773E-5</v>
      </c>
      <c r="O16" s="7">
        <f t="shared" si="1"/>
        <v>4.1620900151770191E-5</v>
      </c>
      <c r="P16" s="7">
        <f t="shared" si="1"/>
        <v>1.9881115782225155E-5</v>
      </c>
    </row>
    <row r="17" spans="2:16" x14ac:dyDescent="0.3">
      <c r="B17" s="8" t="s">
        <v>19</v>
      </c>
      <c r="C17" s="8">
        <f t="shared" ref="C17:C27" si="2">C3-B3</f>
        <v>-6.7865621878476518E-4</v>
      </c>
      <c r="D17" s="8">
        <f t="shared" ref="D17:D27" si="3">D3-B3</f>
        <v>4.7161562603611519E-4</v>
      </c>
      <c r="E17" s="8">
        <f t="shared" ref="E17:E27" si="4">E3-B3</f>
        <v>-2.1332230443763256E-3</v>
      </c>
      <c r="F17" s="8">
        <f t="shared" ref="F17:F27" si="5">F3-B3</f>
        <v>3.6206730489453543E-3</v>
      </c>
      <c r="G17" s="8">
        <f t="shared" ref="G17:G27" si="6">G3-B3</f>
        <v>4.1350202856366199E-3</v>
      </c>
      <c r="H17" s="8">
        <f t="shared" ref="H17:H27" si="7">H3-B3</f>
        <v>2.9648083694445619E-3</v>
      </c>
      <c r="J17" s="8" t="s">
        <v>19</v>
      </c>
      <c r="K17" s="7">
        <f>($J3-$J2) * ((K3+K2))</f>
        <v>8.4343730385668859E-5</v>
      </c>
      <c r="L17" s="7">
        <f t="shared" ref="L17:P17" si="8">($J3-$J2) * ((L3+L2))</f>
        <v>9.8646958392936847E-5</v>
      </c>
      <c r="M17" s="7">
        <f t="shared" si="8"/>
        <v>4.3786123943642456E-5</v>
      </c>
      <c r="N17" s="7">
        <f t="shared" si="8"/>
        <v>1.209777450578654E-4</v>
      </c>
      <c r="O17" s="7">
        <f t="shared" si="8"/>
        <v>1.1954562119771762E-4</v>
      </c>
      <c r="P17" s="7">
        <f t="shared" si="8"/>
        <v>7.0539655176193365E-5</v>
      </c>
    </row>
    <row r="18" spans="2:16" x14ac:dyDescent="0.3">
      <c r="B18" s="8" t="s">
        <v>24</v>
      </c>
      <c r="C18" s="8">
        <f t="shared" si="2"/>
        <v>-1.9548030576322976E-3</v>
      </c>
      <c r="D18" s="8">
        <f t="shared" si="3"/>
        <v>-1.9685952859874638E-3</v>
      </c>
      <c r="E18" s="8">
        <f t="shared" si="4"/>
        <v>-4.3105156606947238E-3</v>
      </c>
      <c r="F18" s="8">
        <f t="shared" si="5"/>
        <v>2.216899482908409E-3</v>
      </c>
      <c r="G18" s="8">
        <f t="shared" si="6"/>
        <v>5.7061788301233062E-3</v>
      </c>
      <c r="H18" s="8">
        <f t="shared" si="7"/>
        <v>4.7417333452058705E-4</v>
      </c>
      <c r="J18" s="8" t="s">
        <v>24</v>
      </c>
      <c r="K18" s="7">
        <f t="shared" ref="K18:P27" si="9">($J4-$J3) * ((K4+K3))</f>
        <v>1.1169769674356174E-4</v>
      </c>
      <c r="L18" s="7">
        <f t="shared" si="9"/>
        <v>1.3123349786658408E-4</v>
      </c>
      <c r="M18" s="7">
        <f t="shared" si="9"/>
        <v>5.3769426120932105E-5</v>
      </c>
      <c r="N18" s="7">
        <f t="shared" si="9"/>
        <v>1.8570106632235755E-4</v>
      </c>
      <c r="O18" s="7">
        <f t="shared" si="9"/>
        <v>2.0149321953163982E-4</v>
      </c>
      <c r="P18" s="7">
        <f t="shared" si="9"/>
        <v>1.2374686107257581E-4</v>
      </c>
    </row>
    <row r="19" spans="2:16" x14ac:dyDescent="0.3">
      <c r="B19" s="8" t="s">
        <v>20</v>
      </c>
      <c r="C19" s="8">
        <f t="shared" si="2"/>
        <v>6.8719628057313416E-3</v>
      </c>
      <c r="D19" s="8">
        <f t="shared" si="3"/>
        <v>9.1449220386627689E-3</v>
      </c>
      <c r="E19" s="8">
        <f t="shared" si="4"/>
        <v>-7.4859605157663253E-4</v>
      </c>
      <c r="F19" s="8">
        <f t="shared" si="5"/>
        <v>-9.9015112341891125E-4</v>
      </c>
      <c r="G19" s="8">
        <f t="shared" si="6"/>
        <v>1.7711961176312295E-3</v>
      </c>
      <c r="H19" s="8">
        <f t="shared" si="7"/>
        <v>-1.2191121436547995E-4</v>
      </c>
      <c r="J19" s="8" t="s">
        <v>20</v>
      </c>
      <c r="K19" s="7">
        <f t="shared" si="9"/>
        <v>1.9649517918226967E-4</v>
      </c>
      <c r="L19" s="7">
        <f t="shared" si="9"/>
        <v>2.2981734002720339E-4</v>
      </c>
      <c r="M19" s="7">
        <f t="shared" si="9"/>
        <v>8.1606656292404039E-5</v>
      </c>
      <c r="N19" s="7">
        <f t="shared" si="9"/>
        <v>2.6262481539531657E-4</v>
      </c>
      <c r="O19" s="7">
        <f t="shared" si="9"/>
        <v>3.1127013015704524E-4</v>
      </c>
      <c r="P19" s="7">
        <f t="shared" si="9"/>
        <v>1.8781244821361887E-4</v>
      </c>
    </row>
    <row r="20" spans="2:16" x14ac:dyDescent="0.3">
      <c r="B20" s="8" t="s">
        <v>18</v>
      </c>
      <c r="C20" s="8">
        <f t="shared" si="2"/>
        <v>7.9085621718374879E-4</v>
      </c>
      <c r="D20" s="8">
        <f t="shared" si="3"/>
        <v>-4.1458454105779748E-4</v>
      </c>
      <c r="E20" s="8">
        <f t="shared" si="4"/>
        <v>1.13858094653392E-3</v>
      </c>
      <c r="F20" s="8">
        <f t="shared" si="5"/>
        <v>-2.4874592330310641E-3</v>
      </c>
      <c r="G20" s="8">
        <f t="shared" si="6"/>
        <v>1.3265514609360738E-2</v>
      </c>
      <c r="H20" s="8">
        <f t="shared" si="7"/>
        <v>2.360970868081955E-2</v>
      </c>
      <c r="J20" s="8" t="s">
        <v>18</v>
      </c>
      <c r="K20" s="7">
        <f t="shared" si="9"/>
        <v>2.9425540545717732E-4</v>
      </c>
      <c r="L20" s="7">
        <f t="shared" si="9"/>
        <v>3.3432296986703712E-4</v>
      </c>
      <c r="M20" s="7">
        <f t="shared" si="9"/>
        <v>1.3779527812087344E-4</v>
      </c>
      <c r="N20" s="7">
        <f t="shared" si="9"/>
        <v>3.0617175373593542E-4</v>
      </c>
      <c r="O20" s="7">
        <f t="shared" si="9"/>
        <v>4.5111275525047207E-4</v>
      </c>
      <c r="P20" s="7">
        <f t="shared" si="9"/>
        <v>3.6591569070375479E-4</v>
      </c>
    </row>
    <row r="21" spans="2:16" x14ac:dyDescent="0.3">
      <c r="B21" s="8" t="s">
        <v>17</v>
      </c>
      <c r="C21" s="8">
        <f t="shared" si="2"/>
        <v>2.8199905833564669E-3</v>
      </c>
      <c r="D21" s="8">
        <f t="shared" si="3"/>
        <v>-5.425003527362025E-3</v>
      </c>
      <c r="E21" s="8">
        <f t="shared" si="4"/>
        <v>-3.3460014483599459E-3</v>
      </c>
      <c r="F21" s="8">
        <f t="shared" si="5"/>
        <v>-1.5085544412001455E-3</v>
      </c>
      <c r="G21" s="8">
        <f t="shared" si="6"/>
        <v>1.2527927998499952E-3</v>
      </c>
      <c r="H21" s="8">
        <f t="shared" si="7"/>
        <v>-5.425003527362025E-3</v>
      </c>
      <c r="J21" s="8" t="s">
        <v>17</v>
      </c>
      <c r="K21" s="7">
        <f t="shared" si="9"/>
        <v>3.8978235002247783E-4</v>
      </c>
      <c r="L21" s="7">
        <f t="shared" si="9"/>
        <v>3.8114778880763653E-4</v>
      </c>
      <c r="M21" s="7">
        <f t="shared" si="9"/>
        <v>1.9173609140364753E-4</v>
      </c>
      <c r="N21" s="7">
        <f t="shared" si="9"/>
        <v>3.6119475182175374E-4</v>
      </c>
      <c r="O21" s="7">
        <f t="shared" si="9"/>
        <v>6.1586016671221671E-4</v>
      </c>
      <c r="P21" s="7">
        <f t="shared" si="9"/>
        <v>5.4509604820384002E-4</v>
      </c>
    </row>
    <row r="22" spans="2:16" x14ac:dyDescent="0.3">
      <c r="B22" s="8" t="s">
        <v>21</v>
      </c>
      <c r="C22" s="8">
        <f t="shared" si="2"/>
        <v>-2.6999535587574654E-3</v>
      </c>
      <c r="D22" s="8">
        <f t="shared" si="3"/>
        <v>-3.891602088643845E-3</v>
      </c>
      <c r="E22" s="8">
        <f t="shared" si="4"/>
        <v>-6.2335224633511049E-3</v>
      </c>
      <c r="F22" s="8">
        <f t="shared" si="5"/>
        <v>2.9389268025202791E-4</v>
      </c>
      <c r="G22" s="8">
        <f t="shared" si="6"/>
        <v>2.1137229456639197E-3</v>
      </c>
      <c r="H22" s="8">
        <f t="shared" si="7"/>
        <v>2.0082267010333103E-2</v>
      </c>
      <c r="J22" s="8" t="s">
        <v>21</v>
      </c>
      <c r="K22" s="7">
        <f t="shared" si="9"/>
        <v>5.212957537078075E-4</v>
      </c>
      <c r="L22" s="7">
        <f t="shared" si="9"/>
        <v>4.5255081115663765E-4</v>
      </c>
      <c r="M22" s="7">
        <f t="shared" si="9"/>
        <v>2.3327111089463599E-4</v>
      </c>
      <c r="N22" s="7">
        <f t="shared" si="9"/>
        <v>4.8012770931816611E-4</v>
      </c>
      <c r="O22" s="7">
        <f t="shared" si="9"/>
        <v>8.0130422316867296E-4</v>
      </c>
      <c r="P22" s="7">
        <f t="shared" si="9"/>
        <v>7.9037485779332199E-4</v>
      </c>
    </row>
    <row r="23" spans="2:16" x14ac:dyDescent="0.3">
      <c r="B23" s="8" t="s">
        <v>26</v>
      </c>
      <c r="C23" s="8">
        <f t="shared" si="2"/>
        <v>-1.6061198133192353E-3</v>
      </c>
      <c r="D23" s="8">
        <f t="shared" si="3"/>
        <v>-1.6337042700295679E-3</v>
      </c>
      <c r="E23" s="8">
        <f t="shared" si="4"/>
        <v>-6.3175450194440878E-3</v>
      </c>
      <c r="F23" s="8">
        <f t="shared" si="5"/>
        <v>-2.4010959332822083E-3</v>
      </c>
      <c r="G23" s="8">
        <f t="shared" si="6"/>
        <v>-4.6480959376410825E-3</v>
      </c>
      <c r="H23" s="8">
        <f t="shared" si="7"/>
        <v>-6.3175450194440878E-3</v>
      </c>
      <c r="J23" s="8" t="s">
        <v>26</v>
      </c>
      <c r="K23" s="7">
        <f t="shared" si="9"/>
        <v>5.8041049648602922E-4</v>
      </c>
      <c r="L23" s="7">
        <f t="shared" si="9"/>
        <v>5.0303637157166027E-4</v>
      </c>
      <c r="M23" s="7">
        <f t="shared" si="9"/>
        <v>2.3641540613304274E-4</v>
      </c>
      <c r="N23" s="7">
        <f t="shared" si="9"/>
        <v>5.5257900300620594E-4</v>
      </c>
      <c r="O23" s="7">
        <f t="shared" si="9"/>
        <v>8.753860377526862E-4</v>
      </c>
      <c r="P23" s="7">
        <f t="shared" si="9"/>
        <v>9.6727962020196534E-4</v>
      </c>
    </row>
    <row r="24" spans="2:16" x14ac:dyDescent="0.3">
      <c r="B24" s="8" t="s">
        <v>22</v>
      </c>
      <c r="C24" s="8">
        <f t="shared" si="2"/>
        <v>7.0361818357910638E-4</v>
      </c>
      <c r="D24" s="8">
        <f t="shared" si="3"/>
        <v>3.0041618732208671E-3</v>
      </c>
      <c r="E24" s="8">
        <f t="shared" si="4"/>
        <v>1.9524886904001438E-3</v>
      </c>
      <c r="F24" s="8">
        <f t="shared" si="5"/>
        <v>-2.4470705394462932E-3</v>
      </c>
      <c r="G24" s="8">
        <f t="shared" si="6"/>
        <v>1.983725783406852E-3</v>
      </c>
      <c r="H24" s="8">
        <f t="shared" si="7"/>
        <v>7.9905473600377606E-3</v>
      </c>
      <c r="J24" s="8" t="s">
        <v>22</v>
      </c>
      <c r="K24" s="7">
        <f t="shared" si="9"/>
        <v>6.5958742880273193E-4</v>
      </c>
      <c r="L24" s="7">
        <f t="shared" si="9"/>
        <v>5.9611425064245191E-4</v>
      </c>
      <c r="M24" s="7">
        <f t="shared" si="9"/>
        <v>2.9105495169101837E-4</v>
      </c>
      <c r="N24" s="7">
        <f t="shared" si="9"/>
        <v>6.0644508181383376E-4</v>
      </c>
      <c r="O24" s="7">
        <f t="shared" si="9"/>
        <v>9.4549790764461995E-4</v>
      </c>
      <c r="P24" s="7">
        <f t="shared" si="9"/>
        <v>1.065661181321943E-3</v>
      </c>
    </row>
    <row r="25" spans="2:16" x14ac:dyDescent="0.3">
      <c r="B25" s="8" t="s">
        <v>25</v>
      </c>
      <c r="C25" s="8">
        <f t="shared" si="2"/>
        <v>-1.2544899816000175E-3</v>
      </c>
      <c r="D25" s="8">
        <f t="shared" si="3"/>
        <v>-1.5938705019980307E-4</v>
      </c>
      <c r="E25" s="8">
        <f t="shared" si="4"/>
        <v>1.0737115649581587E-2</v>
      </c>
      <c r="F25" s="8">
        <f t="shared" si="5"/>
        <v>2.760370074924785E-3</v>
      </c>
      <c r="G25" s="8">
        <f t="shared" si="6"/>
        <v>2.4835815195866865E-3</v>
      </c>
      <c r="H25" s="8">
        <f t="shared" si="7"/>
        <v>2.5355021848102264E-3</v>
      </c>
      <c r="J25" s="8" t="s">
        <v>25</v>
      </c>
      <c r="K25" s="7">
        <f t="shared" si="9"/>
        <v>1.7575329521043028E-3</v>
      </c>
      <c r="L25" s="7">
        <f t="shared" si="9"/>
        <v>1.6640409014570682E-3</v>
      </c>
      <c r="M25" s="7">
        <f t="shared" si="9"/>
        <v>1.1226913790870015E-3</v>
      </c>
      <c r="N25" s="7">
        <f t="shared" si="9"/>
        <v>1.65113698115073E-3</v>
      </c>
      <c r="O25" s="7">
        <f t="shared" si="9"/>
        <v>2.4673365059066934E-3</v>
      </c>
      <c r="P25" s="7">
        <f t="shared" si="9"/>
        <v>2.8217834252889928E-3</v>
      </c>
    </row>
    <row r="26" spans="2:16" x14ac:dyDescent="0.3">
      <c r="B26" s="8" t="s">
        <v>23</v>
      </c>
      <c r="C26" s="8">
        <f t="shared" si="2"/>
        <v>-6.697066597732209E-3</v>
      </c>
      <c r="D26" s="8">
        <f t="shared" si="3"/>
        <v>1.6625591550854229E-2</v>
      </c>
      <c r="E26" s="8">
        <f t="shared" si="4"/>
        <v>3.8399722078578356E-3</v>
      </c>
      <c r="F26" s="8">
        <f t="shared" si="5"/>
        <v>-3.6048093883597927E-3</v>
      </c>
      <c r="G26" s="8">
        <f t="shared" si="6"/>
        <v>1.8546814078758828E-3</v>
      </c>
      <c r="H26" s="8">
        <f t="shared" si="7"/>
        <v>5.5210791521226737E-3</v>
      </c>
      <c r="J26" s="8" t="s">
        <v>23</v>
      </c>
      <c r="K26" s="7">
        <f t="shared" si="9"/>
        <v>3.5504324222520546E-3</v>
      </c>
      <c r="L26" s="7">
        <f t="shared" si="9"/>
        <v>3.964063236064054E-3</v>
      </c>
      <c r="M26" s="7">
        <f t="shared" si="9"/>
        <v>3.0369739160242392E-3</v>
      </c>
      <c r="N26" s="7">
        <f t="shared" si="9"/>
        <v>3.5416258666355026E-3</v>
      </c>
      <c r="O26" s="7">
        <f t="shared" si="9"/>
        <v>4.9935393517075545E-3</v>
      </c>
      <c r="P26" s="7">
        <f t="shared" si="9"/>
        <v>5.6580851472613821E-3</v>
      </c>
    </row>
    <row r="27" spans="2:16" x14ac:dyDescent="0.3">
      <c r="B27" s="8" t="s">
        <v>16</v>
      </c>
      <c r="C27" s="8">
        <f t="shared" si="2"/>
        <v>-3.8517947425820154E-4</v>
      </c>
      <c r="D27" s="8">
        <f t="shared" si="3"/>
        <v>-2.0965942625837508E-2</v>
      </c>
      <c r="E27" s="8">
        <f t="shared" si="4"/>
        <v>5.4183952339101893E-3</v>
      </c>
      <c r="F27" s="8">
        <f t="shared" si="5"/>
        <v>-1.7414056595721483E-3</v>
      </c>
      <c r="G27" s="8">
        <f t="shared" si="6"/>
        <v>-3.5779859653827129E-2</v>
      </c>
      <c r="H27" s="8">
        <f t="shared" si="7"/>
        <v>-5.1943162127647158E-2</v>
      </c>
      <c r="J27" s="8" t="s">
        <v>16</v>
      </c>
      <c r="K27" s="7">
        <f t="shared" si="9"/>
        <v>0.99322584597014596</v>
      </c>
      <c r="L27" s="7">
        <f t="shared" si="9"/>
        <v>1.0120691713363303</v>
      </c>
      <c r="M27" s="7">
        <f t="shared" si="9"/>
        <v>0.98791221179110533</v>
      </c>
      <c r="N27" s="7">
        <f t="shared" si="9"/>
        <v>0.99446757889772464</v>
      </c>
      <c r="O27" s="7">
        <f t="shared" si="9"/>
        <v>1.0256324904635246</v>
      </c>
      <c r="P27" s="7">
        <f t="shared" si="9"/>
        <v>1.0404312792772852</v>
      </c>
    </row>
    <row r="28" spans="2:16" x14ac:dyDescent="0.3">
      <c r="J28" s="9" t="s">
        <v>114</v>
      </c>
      <c r="K28" s="9">
        <f t="shared" ref="K28:P28" si="10">SUM(K16:K27)</f>
        <v>1.0014059385989407</v>
      </c>
      <c r="L28" s="9">
        <f t="shared" si="10"/>
        <v>1.0204630696139259</v>
      </c>
      <c r="M28" s="9">
        <f t="shared" si="10"/>
        <v>0.99335858927509324</v>
      </c>
      <c r="N28" s="9">
        <f t="shared" si="10"/>
        <v>1.0025795595278411</v>
      </c>
      <c r="O28" s="9">
        <f t="shared" si="10"/>
        <v>1.0374564572827056</v>
      </c>
      <c r="P28" s="9">
        <f t="shared" si="10"/>
        <v>1.0530474553283049</v>
      </c>
    </row>
    <row r="29" spans="2:16" x14ac:dyDescent="0.3">
      <c r="J29" s="10" t="s">
        <v>115</v>
      </c>
      <c r="K29" s="10">
        <f>1-K28</f>
        <v>-1.4059385989406703E-3</v>
      </c>
      <c r="L29" s="10">
        <f t="shared" ref="L29:P29" si="11">1-L28</f>
        <v>-2.0463069613925855E-2</v>
      </c>
      <c r="M29" s="10">
        <f t="shared" si="11"/>
        <v>6.64141072490676E-3</v>
      </c>
      <c r="N29" s="10">
        <f t="shared" si="11"/>
        <v>-2.5795595278410577E-3</v>
      </c>
      <c r="O29" s="10">
        <f t="shared" si="11"/>
        <v>-3.7456457282705635E-2</v>
      </c>
      <c r="P29" s="10">
        <f t="shared" si="11"/>
        <v>-5.3047455328304904E-2</v>
      </c>
    </row>
  </sheetData>
  <sortState xmlns:xlrd2="http://schemas.microsoft.com/office/spreadsheetml/2017/richdata2" ref="A2:P14">
    <sortCondition ref="B1:B14"/>
  </sortState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B56F0-6277-4297-93E9-0E5A3FD3ACEF}">
  <dimension ref="A1:P25"/>
  <sheetViews>
    <sheetView zoomScale="93" zoomScaleNormal="100" workbookViewId="0">
      <selection activeCell="J2" sqref="J2:P2"/>
    </sheetView>
  </sheetViews>
  <sheetFormatPr defaultRowHeight="14.4" x14ac:dyDescent="0.3"/>
  <sheetData>
    <row r="1" spans="1:16" ht="36.6" customHeight="1" x14ac:dyDescent="0.3">
      <c r="A1" s="1" t="s">
        <v>94</v>
      </c>
      <c r="B1" s="2" t="s">
        <v>95</v>
      </c>
      <c r="C1" s="3" t="s">
        <v>96</v>
      </c>
      <c r="D1" s="3" t="s">
        <v>97</v>
      </c>
      <c r="E1" s="3" t="s">
        <v>98</v>
      </c>
      <c r="F1" s="2" t="s">
        <v>99</v>
      </c>
      <c r="G1" s="3" t="s">
        <v>100</v>
      </c>
      <c r="H1" s="3" t="s">
        <v>101</v>
      </c>
      <c r="I1" s="4" t="s">
        <v>95</v>
      </c>
      <c r="J1" s="5" t="s">
        <v>95</v>
      </c>
      <c r="K1" s="6" t="s">
        <v>96</v>
      </c>
      <c r="L1" s="6" t="s">
        <v>97</v>
      </c>
      <c r="M1" s="6" t="s">
        <v>98</v>
      </c>
      <c r="N1" s="5" t="s">
        <v>99</v>
      </c>
      <c r="O1" s="6" t="s">
        <v>100</v>
      </c>
      <c r="P1" s="6" t="s">
        <v>101</v>
      </c>
    </row>
    <row r="2" spans="1:16" x14ac:dyDescent="0.3">
      <c r="A2" s="7" t="s">
        <v>28</v>
      </c>
      <c r="B2" s="8">
        <v>1.4521484322105047E-2</v>
      </c>
      <c r="C2" s="8">
        <v>3.7499999999999999E-2</v>
      </c>
      <c r="D2" s="8">
        <v>2.0408163265306121E-2</v>
      </c>
      <c r="E2" s="8">
        <v>0</v>
      </c>
      <c r="F2" s="8">
        <v>0</v>
      </c>
      <c r="G2" s="8">
        <v>4.6153846153846156E-2</v>
      </c>
      <c r="H2" s="8">
        <v>0</v>
      </c>
      <c r="I2" s="8">
        <v>1.4521484322105047E-2</v>
      </c>
      <c r="J2" s="8">
        <v>1.4521484322105047E-2</v>
      </c>
      <c r="K2" s="8">
        <v>3.7499999999999999E-2</v>
      </c>
      <c r="L2" s="8">
        <v>2.0408163265306121E-2</v>
      </c>
      <c r="M2" s="8">
        <v>0</v>
      </c>
      <c r="N2" s="8">
        <v>0</v>
      </c>
      <c r="O2" s="8">
        <v>4.6153846153846156E-2</v>
      </c>
      <c r="P2" s="8">
        <v>0</v>
      </c>
    </row>
    <row r="3" spans="1:16" x14ac:dyDescent="0.3">
      <c r="A3" s="7" t="s">
        <v>37</v>
      </c>
      <c r="B3" s="8">
        <v>2.1172876618839473E-2</v>
      </c>
      <c r="C3" s="8">
        <v>0</v>
      </c>
      <c r="D3" s="8">
        <v>0</v>
      </c>
      <c r="E3" s="8">
        <v>6.25E-2</v>
      </c>
      <c r="F3" s="8">
        <v>3.8461538461538464E-2</v>
      </c>
      <c r="G3" s="8">
        <v>3.0769230769230771E-2</v>
      </c>
      <c r="H3" s="8">
        <v>0</v>
      </c>
      <c r="I3" s="8">
        <v>3.5694360940944518E-2</v>
      </c>
      <c r="J3" s="8">
        <f>J2+B3</f>
        <v>3.5694360940944518E-2</v>
      </c>
      <c r="K3" s="8">
        <f t="shared" ref="K3:P11" si="0">K2+C3</f>
        <v>3.7499999999999999E-2</v>
      </c>
      <c r="L3" s="8">
        <f t="shared" si="0"/>
        <v>2.0408163265306121E-2</v>
      </c>
      <c r="M3" s="8">
        <f t="shared" si="0"/>
        <v>6.25E-2</v>
      </c>
      <c r="N3" s="8">
        <f t="shared" si="0"/>
        <v>3.8461538461538464E-2</v>
      </c>
      <c r="O3" s="8">
        <f t="shared" si="0"/>
        <v>7.6923076923076927E-2</v>
      </c>
      <c r="P3" s="8">
        <f t="shared" si="0"/>
        <v>0</v>
      </c>
    </row>
    <row r="4" spans="1:16" x14ac:dyDescent="0.3">
      <c r="A4" s="7" t="s">
        <v>32</v>
      </c>
      <c r="B4" s="8">
        <v>2.3805268032693651E-2</v>
      </c>
      <c r="C4" s="8">
        <v>2.5000000000000001E-2</v>
      </c>
      <c r="D4" s="8">
        <v>0</v>
      </c>
      <c r="E4" s="8">
        <v>4.1666666666666664E-2</v>
      </c>
      <c r="F4" s="8">
        <v>1.282051282051282E-2</v>
      </c>
      <c r="G4" s="8">
        <v>3.0769230769230771E-2</v>
      </c>
      <c r="H4" s="8">
        <v>0</v>
      </c>
      <c r="I4" s="8">
        <v>5.9499628973638169E-2</v>
      </c>
      <c r="J4" s="8">
        <f t="shared" ref="J4:J11" si="1">J3+B4</f>
        <v>5.9499628973638169E-2</v>
      </c>
      <c r="K4" s="8">
        <f t="shared" si="0"/>
        <v>6.25E-2</v>
      </c>
      <c r="L4" s="8">
        <f t="shared" si="0"/>
        <v>2.0408163265306121E-2</v>
      </c>
      <c r="M4" s="8">
        <f t="shared" si="0"/>
        <v>0.10416666666666666</v>
      </c>
      <c r="N4" s="8">
        <f t="shared" si="0"/>
        <v>5.128205128205128E-2</v>
      </c>
      <c r="O4" s="8">
        <f t="shared" si="0"/>
        <v>0.1076923076923077</v>
      </c>
      <c r="P4" s="8">
        <f t="shared" si="0"/>
        <v>0</v>
      </c>
    </row>
    <row r="5" spans="1:16" x14ac:dyDescent="0.3">
      <c r="A5" s="7" t="s">
        <v>35</v>
      </c>
      <c r="B5" s="8">
        <v>3.5781024032758652E-2</v>
      </c>
      <c r="C5" s="8">
        <v>7.4999999999999997E-2</v>
      </c>
      <c r="D5" s="8">
        <v>4.0816326530612242E-2</v>
      </c>
      <c r="E5" s="8">
        <v>8.3333333333333329E-2</v>
      </c>
      <c r="F5" s="8">
        <v>5.128205128205128E-2</v>
      </c>
      <c r="G5" s="8">
        <v>3.0769230769230771E-2</v>
      </c>
      <c r="H5" s="8">
        <v>0</v>
      </c>
      <c r="I5" s="8">
        <v>9.528065300639682E-2</v>
      </c>
      <c r="J5" s="8">
        <f t="shared" si="1"/>
        <v>9.528065300639682E-2</v>
      </c>
      <c r="K5" s="8">
        <f t="shared" si="0"/>
        <v>0.13750000000000001</v>
      </c>
      <c r="L5" s="8">
        <f t="shared" si="0"/>
        <v>6.1224489795918366E-2</v>
      </c>
      <c r="M5" s="8">
        <f t="shared" si="0"/>
        <v>0.1875</v>
      </c>
      <c r="N5" s="8">
        <f t="shared" si="0"/>
        <v>0.10256410256410256</v>
      </c>
      <c r="O5" s="8">
        <f t="shared" si="0"/>
        <v>0.13846153846153847</v>
      </c>
      <c r="P5" s="8">
        <f t="shared" si="0"/>
        <v>0</v>
      </c>
    </row>
    <row r="6" spans="1:16" x14ac:dyDescent="0.3">
      <c r="A6" s="7" t="s">
        <v>31</v>
      </c>
      <c r="B6" s="8">
        <v>3.609517774058487E-2</v>
      </c>
      <c r="C6" s="8">
        <v>3.7499999999999999E-2</v>
      </c>
      <c r="D6" s="8">
        <v>0.14285714285714285</v>
      </c>
      <c r="E6" s="8">
        <v>8.3333333333333329E-2</v>
      </c>
      <c r="F6" s="8">
        <v>7.6923076923076927E-2</v>
      </c>
      <c r="G6" s="8">
        <v>3.0769230769230771E-2</v>
      </c>
      <c r="H6" s="8">
        <v>6.25E-2</v>
      </c>
      <c r="I6" s="8">
        <v>0.1313758307469817</v>
      </c>
      <c r="J6" s="8">
        <f t="shared" si="1"/>
        <v>0.1313758307469817</v>
      </c>
      <c r="K6" s="8">
        <f t="shared" si="0"/>
        <v>0.17500000000000002</v>
      </c>
      <c r="L6" s="8">
        <f t="shared" si="0"/>
        <v>0.20408163265306123</v>
      </c>
      <c r="M6" s="8">
        <f t="shared" si="0"/>
        <v>0.27083333333333331</v>
      </c>
      <c r="N6" s="8">
        <f t="shared" si="0"/>
        <v>0.17948717948717949</v>
      </c>
      <c r="O6" s="8">
        <f t="shared" si="0"/>
        <v>0.16923076923076924</v>
      </c>
      <c r="P6" s="8">
        <f t="shared" si="0"/>
        <v>6.25E-2</v>
      </c>
    </row>
    <row r="7" spans="1:16" x14ac:dyDescent="0.3">
      <c r="A7" s="7" t="s">
        <v>33</v>
      </c>
      <c r="B7" s="8">
        <v>3.7135134842354423E-2</v>
      </c>
      <c r="C7" s="8">
        <v>3.7499999999999999E-2</v>
      </c>
      <c r="D7" s="8">
        <v>8.1632653061224483E-2</v>
      </c>
      <c r="E7" s="8">
        <v>2.0833333333333332E-2</v>
      </c>
      <c r="F7" s="8">
        <v>0</v>
      </c>
      <c r="G7" s="8">
        <v>0</v>
      </c>
      <c r="H7" s="8">
        <v>0</v>
      </c>
      <c r="I7" s="8">
        <v>0.16851096558933612</v>
      </c>
      <c r="J7" s="8">
        <f t="shared" si="1"/>
        <v>0.16851096558933612</v>
      </c>
      <c r="K7" s="8">
        <f t="shared" si="0"/>
        <v>0.21250000000000002</v>
      </c>
      <c r="L7" s="8">
        <f t="shared" si="0"/>
        <v>0.2857142857142857</v>
      </c>
      <c r="M7" s="8">
        <f t="shared" si="0"/>
        <v>0.29166666666666663</v>
      </c>
      <c r="N7" s="8">
        <f t="shared" si="0"/>
        <v>0.17948717948717949</v>
      </c>
      <c r="O7" s="8">
        <f t="shared" si="0"/>
        <v>0.16923076923076924</v>
      </c>
      <c r="P7" s="8">
        <f t="shared" si="0"/>
        <v>6.25E-2</v>
      </c>
    </row>
    <row r="8" spans="1:16" x14ac:dyDescent="0.3">
      <c r="A8" s="7" t="s">
        <v>36</v>
      </c>
      <c r="B8" s="8">
        <v>5.6991815754266803E-2</v>
      </c>
      <c r="C8" s="8">
        <v>2.5000000000000001E-2</v>
      </c>
      <c r="D8" s="8">
        <v>0.10204081632653061</v>
      </c>
      <c r="E8" s="8">
        <v>4.1666666666666664E-2</v>
      </c>
      <c r="F8" s="8">
        <v>3.8461538461538464E-2</v>
      </c>
      <c r="G8" s="8">
        <v>7.6923076923076927E-2</v>
      </c>
      <c r="H8" s="8">
        <v>6.25E-2</v>
      </c>
      <c r="I8" s="8">
        <v>0.22550278134360291</v>
      </c>
      <c r="J8" s="8">
        <f t="shared" si="1"/>
        <v>0.22550278134360291</v>
      </c>
      <c r="K8" s="8">
        <f t="shared" si="0"/>
        <v>0.23750000000000002</v>
      </c>
      <c r="L8" s="8">
        <f t="shared" si="0"/>
        <v>0.38775510204081631</v>
      </c>
      <c r="M8" s="8">
        <f t="shared" si="0"/>
        <v>0.33333333333333331</v>
      </c>
      <c r="N8" s="8">
        <f t="shared" si="0"/>
        <v>0.21794871794871795</v>
      </c>
      <c r="O8" s="8">
        <f t="shared" si="0"/>
        <v>0.24615384615384617</v>
      </c>
      <c r="P8" s="8">
        <f t="shared" si="0"/>
        <v>0.125</v>
      </c>
    </row>
    <row r="9" spans="1:16" x14ac:dyDescent="0.3">
      <c r="A9" s="7" t="s">
        <v>29</v>
      </c>
      <c r="B9" s="8">
        <v>7.7769292016704308E-2</v>
      </c>
      <c r="C9" s="8">
        <v>8.7499999999999994E-2</v>
      </c>
      <c r="D9" s="8">
        <v>2.0408163265306121E-2</v>
      </c>
      <c r="E9" s="8">
        <v>4.1666666666666664E-2</v>
      </c>
      <c r="F9" s="8">
        <v>0.12820512820512819</v>
      </c>
      <c r="G9" s="8">
        <v>0.27692307692307694</v>
      </c>
      <c r="H9" s="8">
        <v>0.1875</v>
      </c>
      <c r="I9" s="8">
        <v>0.3032720733603072</v>
      </c>
      <c r="J9" s="8">
        <f t="shared" si="1"/>
        <v>0.3032720733603072</v>
      </c>
      <c r="K9" s="8">
        <f t="shared" si="0"/>
        <v>0.32500000000000001</v>
      </c>
      <c r="L9" s="8">
        <f t="shared" si="0"/>
        <v>0.40816326530612246</v>
      </c>
      <c r="M9" s="8">
        <f t="shared" si="0"/>
        <v>0.375</v>
      </c>
      <c r="N9" s="8">
        <f t="shared" si="0"/>
        <v>0.34615384615384615</v>
      </c>
      <c r="O9" s="8">
        <f t="shared" si="0"/>
        <v>0.52307692307692311</v>
      </c>
      <c r="P9" s="8">
        <f t="shared" si="0"/>
        <v>0.3125</v>
      </c>
    </row>
    <row r="10" spans="1:16" x14ac:dyDescent="0.3">
      <c r="A10" s="7" t="s">
        <v>34</v>
      </c>
      <c r="B10" s="8">
        <v>0.28539239423040469</v>
      </c>
      <c r="C10" s="8">
        <v>0.28749999999999998</v>
      </c>
      <c r="D10" s="8">
        <v>0.26530612244897961</v>
      </c>
      <c r="E10" s="8">
        <v>0.22916666666666666</v>
      </c>
      <c r="F10" s="8">
        <v>0.37179487179487181</v>
      </c>
      <c r="G10" s="8">
        <v>0.2</v>
      </c>
      <c r="H10" s="8">
        <v>0.5</v>
      </c>
      <c r="I10" s="8">
        <v>0.58866446759071189</v>
      </c>
      <c r="J10" s="8">
        <f t="shared" si="1"/>
        <v>0.58866446759071189</v>
      </c>
      <c r="K10" s="8">
        <f t="shared" si="0"/>
        <v>0.61250000000000004</v>
      </c>
      <c r="L10" s="8">
        <f t="shared" si="0"/>
        <v>0.67346938775510212</v>
      </c>
      <c r="M10" s="8">
        <f t="shared" si="0"/>
        <v>0.60416666666666663</v>
      </c>
      <c r="N10" s="8">
        <f t="shared" si="0"/>
        <v>0.71794871794871795</v>
      </c>
      <c r="O10" s="8">
        <f t="shared" si="0"/>
        <v>0.72307692307692317</v>
      </c>
      <c r="P10" s="8">
        <f t="shared" si="0"/>
        <v>0.8125</v>
      </c>
    </row>
    <row r="11" spans="1:16" x14ac:dyDescent="0.3">
      <c r="A11" s="7" t="s">
        <v>30</v>
      </c>
      <c r="B11" s="8">
        <v>0.41133553240928811</v>
      </c>
      <c r="C11" s="8">
        <v>0.38750000000000001</v>
      </c>
      <c r="D11" s="8">
        <v>0.32653061224489793</v>
      </c>
      <c r="E11" s="8">
        <v>0.39583333333333331</v>
      </c>
      <c r="F11" s="8">
        <v>0.28205128205128205</v>
      </c>
      <c r="G11" s="8">
        <v>0.27692307692307694</v>
      </c>
      <c r="H11" s="8">
        <v>0.1875</v>
      </c>
      <c r="I11" s="8">
        <v>1</v>
      </c>
      <c r="J11" s="8">
        <f t="shared" si="1"/>
        <v>1</v>
      </c>
      <c r="K11" s="8">
        <f t="shared" si="0"/>
        <v>1</v>
      </c>
      <c r="L11" s="8">
        <f t="shared" si="0"/>
        <v>1</v>
      </c>
      <c r="M11" s="8">
        <f t="shared" si="0"/>
        <v>1</v>
      </c>
      <c r="N11" s="8">
        <f t="shared" si="0"/>
        <v>1</v>
      </c>
      <c r="O11" s="8">
        <f t="shared" si="0"/>
        <v>1</v>
      </c>
      <c r="P11" s="8">
        <f t="shared" si="0"/>
        <v>1</v>
      </c>
    </row>
    <row r="13" spans="1:16" ht="28.8" x14ac:dyDescent="0.3">
      <c r="B13" s="1" t="s">
        <v>94</v>
      </c>
      <c r="C13" s="3" t="s">
        <v>102</v>
      </c>
      <c r="D13" s="3" t="s">
        <v>103</v>
      </c>
      <c r="E13" s="3" t="s">
        <v>104</v>
      </c>
      <c r="F13" s="3" t="s">
        <v>105</v>
      </c>
      <c r="G13" s="3" t="s">
        <v>106</v>
      </c>
      <c r="H13" s="3" t="s">
        <v>107</v>
      </c>
      <c r="J13" s="1" t="s">
        <v>94</v>
      </c>
      <c r="K13" s="9" t="s">
        <v>108</v>
      </c>
      <c r="L13" s="9" t="s">
        <v>109</v>
      </c>
      <c r="M13" s="9" t="s">
        <v>110</v>
      </c>
      <c r="N13" s="9" t="s">
        <v>111</v>
      </c>
      <c r="O13" s="9" t="s">
        <v>112</v>
      </c>
      <c r="P13" s="9" t="s">
        <v>113</v>
      </c>
    </row>
    <row r="14" spans="1:16" x14ac:dyDescent="0.3">
      <c r="B14" s="7" t="s">
        <v>28</v>
      </c>
      <c r="C14" s="8">
        <f>C2-B2</f>
        <v>2.2978515677894953E-2</v>
      </c>
      <c r="D14" s="8">
        <f>D2-B2</f>
        <v>5.8866789432010739E-3</v>
      </c>
      <c r="E14" s="8">
        <f>E2-B2</f>
        <v>-1.4521484322105047E-2</v>
      </c>
      <c r="F14" s="8">
        <f>F2-B2</f>
        <v>-1.4521484322105047E-2</v>
      </c>
      <c r="G14" s="8">
        <f>G2-B2</f>
        <v>3.1632361831741111E-2</v>
      </c>
      <c r="H14" s="8">
        <f>H2-B2</f>
        <v>-1.4521484322105047E-2</v>
      </c>
      <c r="J14" s="7" t="s">
        <v>28</v>
      </c>
      <c r="K14" s="7">
        <f>(J2-0) * ((K2+0))</f>
        <v>5.4455566207893926E-4</v>
      </c>
      <c r="L14" s="7">
        <f>(J2-0) * ((L2+0))</f>
        <v>2.9635682290010299E-4</v>
      </c>
      <c r="M14" s="7">
        <f>(J2-0) * ((M2+0))</f>
        <v>0</v>
      </c>
      <c r="N14" s="7">
        <f>(J2-0) * ((N2+0))</f>
        <v>0</v>
      </c>
      <c r="O14" s="7">
        <f>(J2-0) * ((O2+0))</f>
        <v>6.7022235332792523E-4</v>
      </c>
      <c r="P14" s="7">
        <f>(J2-0) * ((P2+0))</f>
        <v>0</v>
      </c>
    </row>
    <row r="15" spans="1:16" x14ac:dyDescent="0.3">
      <c r="B15" s="7" t="s">
        <v>37</v>
      </c>
      <c r="C15" s="8">
        <f t="shared" ref="C15:C23" si="2">C3-B3</f>
        <v>-2.1172876618839473E-2</v>
      </c>
      <c r="D15" s="8">
        <f t="shared" ref="D15:D23" si="3">D3-B3</f>
        <v>-2.1172876618839473E-2</v>
      </c>
      <c r="E15" s="8">
        <f t="shared" ref="E15:E23" si="4">E3-B3</f>
        <v>4.1327123381160527E-2</v>
      </c>
      <c r="F15" s="8">
        <f t="shared" ref="F15:F23" si="5">F3-B3</f>
        <v>1.7288661842698991E-2</v>
      </c>
      <c r="G15" s="8">
        <f t="shared" ref="G15:G23" si="6">G3-B3</f>
        <v>9.596354150391298E-3</v>
      </c>
      <c r="H15" s="8">
        <f t="shared" ref="H15:H23" si="7">H3-B3</f>
        <v>-2.1172876618839473E-2</v>
      </c>
      <c r="J15" s="7" t="s">
        <v>37</v>
      </c>
      <c r="K15" s="7">
        <f>(J3-J2) * ((K3+K2))</f>
        <v>1.5879657464129605E-3</v>
      </c>
      <c r="L15" s="7">
        <f>(J3-J2) * ((L3+L2))</f>
        <v>8.6419904566691714E-4</v>
      </c>
      <c r="M15" s="7">
        <f>(J3-J2) * ((M3+M2))</f>
        <v>1.3233047886774671E-3</v>
      </c>
      <c r="N15" s="7">
        <f>(J3-J2) * ((N3+N2))</f>
        <v>8.1434140841690284E-4</v>
      </c>
      <c r="O15" s="7">
        <f>(J3-J2) * ((O3+O2))</f>
        <v>2.6058925069340892E-3</v>
      </c>
      <c r="P15" s="7">
        <f>(J3-J2) * ((P3+P2))</f>
        <v>0</v>
      </c>
    </row>
    <row r="16" spans="1:16" x14ac:dyDescent="0.3">
      <c r="B16" s="7" t="s">
        <v>32</v>
      </c>
      <c r="C16" s="8">
        <f t="shared" si="2"/>
        <v>1.1947319673063506E-3</v>
      </c>
      <c r="D16" s="8">
        <f t="shared" si="3"/>
        <v>-2.3805268032693651E-2</v>
      </c>
      <c r="E16" s="8">
        <f t="shared" si="4"/>
        <v>1.7861398633973014E-2</v>
      </c>
      <c r="F16" s="8">
        <f t="shared" si="5"/>
        <v>-1.0984755212180831E-2</v>
      </c>
      <c r="G16" s="8">
        <f t="shared" si="6"/>
        <v>6.9639627365371201E-3</v>
      </c>
      <c r="H16" s="8">
        <f t="shared" si="7"/>
        <v>-2.3805268032693651E-2</v>
      </c>
      <c r="J16" s="7" t="s">
        <v>32</v>
      </c>
      <c r="K16" s="7">
        <f t="shared" ref="K16:K23" si="8">(J4-J3) * ((K4+K3))</f>
        <v>2.3805268032693651E-3</v>
      </c>
      <c r="L16" s="7">
        <f t="shared" ref="L16:L23" si="9">(J4-J3) * ((L4+L3))</f>
        <v>9.7164359317116931E-4</v>
      </c>
      <c r="M16" s="7">
        <f t="shared" ref="M16:M23" si="10">(J4-J3) * ((M4+M3))</f>
        <v>3.9675446721156079E-3</v>
      </c>
      <c r="N16" s="7">
        <f t="shared" ref="N16:N23" si="11">(J4-J3) * ((N4+N3))</f>
        <v>2.1363702080622509E-3</v>
      </c>
      <c r="O16" s="7">
        <f t="shared" ref="O16:O23" si="12">(J4-J3) * ((O4+O3))</f>
        <v>4.3948187137280593E-3</v>
      </c>
      <c r="P16" s="7">
        <f t="shared" ref="P16:P23" si="13">(J4-J3) * ((P4+P3))</f>
        <v>0</v>
      </c>
    </row>
    <row r="17" spans="2:16" x14ac:dyDescent="0.3">
      <c r="B17" s="7" t="s">
        <v>35</v>
      </c>
      <c r="C17" s="8">
        <f t="shared" si="2"/>
        <v>3.9218975967241346E-2</v>
      </c>
      <c r="D17" s="8">
        <f t="shared" si="3"/>
        <v>5.0353024978535901E-3</v>
      </c>
      <c r="E17" s="8">
        <f t="shared" si="4"/>
        <v>4.7552309300574677E-2</v>
      </c>
      <c r="F17" s="8">
        <f t="shared" si="5"/>
        <v>1.5501027249292629E-2</v>
      </c>
      <c r="G17" s="8">
        <f t="shared" si="6"/>
        <v>-5.0117932635278806E-3</v>
      </c>
      <c r="H17" s="8">
        <f t="shared" si="7"/>
        <v>-3.5781024032758652E-2</v>
      </c>
      <c r="J17" s="7" t="s">
        <v>35</v>
      </c>
      <c r="K17" s="7">
        <f t="shared" si="8"/>
        <v>7.156204806551731E-3</v>
      </c>
      <c r="L17" s="7">
        <f t="shared" si="9"/>
        <v>2.9208999210415224E-3</v>
      </c>
      <c r="M17" s="7">
        <f t="shared" si="10"/>
        <v>1.0436132009554606E-2</v>
      </c>
      <c r="N17" s="7">
        <f t="shared" si="11"/>
        <v>5.5047729281167161E-3</v>
      </c>
      <c r="O17" s="7">
        <f t="shared" si="12"/>
        <v>8.807636684986745E-3</v>
      </c>
      <c r="P17" s="7">
        <f t="shared" si="13"/>
        <v>0</v>
      </c>
    </row>
    <row r="18" spans="2:16" x14ac:dyDescent="0.3">
      <c r="B18" s="7" t="s">
        <v>31</v>
      </c>
      <c r="C18" s="8">
        <f t="shared" si="2"/>
        <v>1.4048222594151283E-3</v>
      </c>
      <c r="D18" s="8">
        <f t="shared" si="3"/>
        <v>0.10676196511655797</v>
      </c>
      <c r="E18" s="8">
        <f t="shared" si="4"/>
        <v>4.7238155592748458E-2</v>
      </c>
      <c r="F18" s="8">
        <f t="shared" si="5"/>
        <v>4.0827899182492057E-2</v>
      </c>
      <c r="G18" s="8">
        <f t="shared" si="6"/>
        <v>-5.3259469713540994E-3</v>
      </c>
      <c r="H18" s="8">
        <f t="shared" si="7"/>
        <v>2.640482225941513E-2</v>
      </c>
      <c r="J18" s="7" t="s">
        <v>31</v>
      </c>
      <c r="K18" s="7">
        <f t="shared" si="8"/>
        <v>1.1279743043932774E-2</v>
      </c>
      <c r="L18" s="7">
        <f t="shared" si="9"/>
        <v>9.5762716454612946E-3</v>
      </c>
      <c r="M18" s="7">
        <f t="shared" si="10"/>
        <v>1.6543623131101401E-2</v>
      </c>
      <c r="N18" s="7">
        <f t="shared" si="11"/>
        <v>1.0180691157600863E-2</v>
      </c>
      <c r="O18" s="7">
        <f t="shared" si="12"/>
        <v>1.1106208535564578E-2</v>
      </c>
      <c r="P18" s="7">
        <f t="shared" si="13"/>
        <v>2.2559486087865548E-3</v>
      </c>
    </row>
    <row r="19" spans="2:16" x14ac:dyDescent="0.3">
      <c r="B19" s="7" t="s">
        <v>33</v>
      </c>
      <c r="C19" s="8">
        <f t="shared" si="2"/>
        <v>3.6486515764557609E-4</v>
      </c>
      <c r="D19" s="8">
        <f t="shared" si="3"/>
        <v>4.4497518218870061E-2</v>
      </c>
      <c r="E19" s="8">
        <f t="shared" si="4"/>
        <v>-1.630180150902109E-2</v>
      </c>
      <c r="F19" s="8">
        <f t="shared" si="5"/>
        <v>-3.7135134842354423E-2</v>
      </c>
      <c r="G19" s="8">
        <f t="shared" si="6"/>
        <v>-3.7135134842354423E-2</v>
      </c>
      <c r="H19" s="8">
        <f t="shared" si="7"/>
        <v>-3.7135134842354423E-2</v>
      </c>
      <c r="J19" s="7" t="s">
        <v>33</v>
      </c>
      <c r="K19" s="7">
        <f t="shared" si="8"/>
        <v>1.4389864751412341E-2</v>
      </c>
      <c r="L19" s="7">
        <f t="shared" si="9"/>
        <v>1.8188637473806248E-2</v>
      </c>
      <c r="M19" s="7">
        <f t="shared" si="10"/>
        <v>2.0888513348824363E-2</v>
      </c>
      <c r="N19" s="7">
        <f t="shared" si="11"/>
        <v>1.3330561225460561E-2</v>
      </c>
      <c r="O19" s="7">
        <f t="shared" si="12"/>
        <v>1.2568814869719959E-2</v>
      </c>
      <c r="P19" s="7">
        <f t="shared" si="13"/>
        <v>4.6418918552943028E-3</v>
      </c>
    </row>
    <row r="20" spans="2:16" x14ac:dyDescent="0.3">
      <c r="B20" s="7" t="s">
        <v>36</v>
      </c>
      <c r="C20" s="8">
        <f t="shared" si="2"/>
        <v>-3.1991815754266802E-2</v>
      </c>
      <c r="D20" s="8">
        <f t="shared" si="3"/>
        <v>4.5049000572263811E-2</v>
      </c>
      <c r="E20" s="8">
        <f t="shared" si="4"/>
        <v>-1.5325149087600139E-2</v>
      </c>
      <c r="F20" s="8">
        <f t="shared" si="5"/>
        <v>-1.8530277292728339E-2</v>
      </c>
      <c r="G20" s="8">
        <f t="shared" si="6"/>
        <v>1.9931261168810124E-2</v>
      </c>
      <c r="H20" s="8">
        <f t="shared" si="7"/>
        <v>5.508184245733197E-3</v>
      </c>
      <c r="J20" s="7" t="s">
        <v>36</v>
      </c>
      <c r="K20" s="7">
        <f t="shared" si="8"/>
        <v>2.564631708942006E-2</v>
      </c>
      <c r="L20" s="7">
        <f t="shared" si="9"/>
        <v>3.8382243263077633E-2</v>
      </c>
      <c r="M20" s="7">
        <f t="shared" si="10"/>
        <v>3.5619884846416747E-2</v>
      </c>
      <c r="N20" s="7">
        <f t="shared" si="11"/>
        <v>2.2650593440798342E-2</v>
      </c>
      <c r="O20" s="7">
        <f t="shared" si="12"/>
        <v>2.3673523467156975E-2</v>
      </c>
      <c r="P20" s="7">
        <f t="shared" si="13"/>
        <v>1.0685965453925023E-2</v>
      </c>
    </row>
    <row r="21" spans="2:16" x14ac:dyDescent="0.3">
      <c r="B21" s="7" t="s">
        <v>29</v>
      </c>
      <c r="C21" s="8">
        <f t="shared" si="2"/>
        <v>9.7307079832956861E-3</v>
      </c>
      <c r="D21" s="8">
        <f t="shared" si="3"/>
        <v>-5.7361128751398191E-2</v>
      </c>
      <c r="E21" s="8">
        <f t="shared" si="4"/>
        <v>-3.6102625350037644E-2</v>
      </c>
      <c r="F21" s="8">
        <f t="shared" si="5"/>
        <v>5.0435836188423885E-2</v>
      </c>
      <c r="G21" s="8">
        <f t="shared" si="6"/>
        <v>0.19915378490637264</v>
      </c>
      <c r="H21" s="8">
        <f t="shared" si="7"/>
        <v>0.10973070798329569</v>
      </c>
      <c r="J21" s="7" t="s">
        <v>29</v>
      </c>
      <c r="K21" s="7">
        <f t="shared" si="8"/>
        <v>4.3745226759396169E-2</v>
      </c>
      <c r="L21" s="7">
        <f t="shared" si="9"/>
        <v>6.1898007931662599E-2</v>
      </c>
      <c r="M21" s="7">
        <f t="shared" si="10"/>
        <v>5.5086581845165537E-2</v>
      </c>
      <c r="N21" s="7">
        <f t="shared" si="11"/>
        <v>4.3869857035063964E-2</v>
      </c>
      <c r="O21" s="7">
        <f t="shared" si="12"/>
        <v>5.9822532320541771E-2</v>
      </c>
      <c r="P21" s="7">
        <f t="shared" si="13"/>
        <v>3.4024065257308125E-2</v>
      </c>
    </row>
    <row r="22" spans="2:16" x14ac:dyDescent="0.3">
      <c r="B22" s="7" t="s">
        <v>34</v>
      </c>
      <c r="C22" s="8">
        <f t="shared" si="2"/>
        <v>2.1076057695952888E-3</v>
      </c>
      <c r="D22" s="8">
        <f t="shared" si="3"/>
        <v>-2.008627178142508E-2</v>
      </c>
      <c r="E22" s="8">
        <f t="shared" si="4"/>
        <v>-5.6225727563738032E-2</v>
      </c>
      <c r="F22" s="8">
        <f t="shared" si="5"/>
        <v>8.6402477564467117E-2</v>
      </c>
      <c r="G22" s="8">
        <f t="shared" si="6"/>
        <v>-8.5392394230404678E-2</v>
      </c>
      <c r="H22" s="8">
        <f t="shared" si="7"/>
        <v>0.21460760576959531</v>
      </c>
      <c r="J22" s="7" t="s">
        <v>34</v>
      </c>
      <c r="K22" s="7">
        <f t="shared" si="8"/>
        <v>0.2675553695910044</v>
      </c>
      <c r="L22" s="7">
        <f t="shared" si="9"/>
        <v>0.30868973253492754</v>
      </c>
      <c r="M22" s="7">
        <f t="shared" si="10"/>
        <v>0.27944671935060456</v>
      </c>
      <c r="N22" s="7">
        <f t="shared" si="11"/>
        <v>0.30368677847594344</v>
      </c>
      <c r="O22" s="7">
        <f t="shared" si="12"/>
        <v>0.35564282973327355</v>
      </c>
      <c r="P22" s="7">
        <f t="shared" si="13"/>
        <v>0.32106644350920527</v>
      </c>
    </row>
    <row r="23" spans="2:16" x14ac:dyDescent="0.3">
      <c r="B23" s="7" t="s">
        <v>30</v>
      </c>
      <c r="C23" s="8">
        <f t="shared" si="2"/>
        <v>-2.3835532409288096E-2</v>
      </c>
      <c r="D23" s="8">
        <f t="shared" si="3"/>
        <v>-8.4804920164390174E-2</v>
      </c>
      <c r="E23" s="8">
        <f t="shared" si="4"/>
        <v>-1.5502199075954792E-2</v>
      </c>
      <c r="F23" s="8">
        <f t="shared" si="5"/>
        <v>-0.12928425035800606</v>
      </c>
      <c r="G23" s="8">
        <f t="shared" si="6"/>
        <v>-0.13441245548621117</v>
      </c>
      <c r="H23" s="8">
        <f t="shared" si="7"/>
        <v>-0.22383553240928811</v>
      </c>
      <c r="J23" s="7" t="s">
        <v>30</v>
      </c>
      <c r="K23" s="7">
        <f t="shared" si="8"/>
        <v>0.66327854600997704</v>
      </c>
      <c r="L23" s="7">
        <f t="shared" si="9"/>
        <v>0.68835742158289037</v>
      </c>
      <c r="M23" s="7">
        <f t="shared" si="10"/>
        <v>0.65985074990656623</v>
      </c>
      <c r="N23" s="7">
        <f t="shared" si="11"/>
        <v>0.7066533505492899</v>
      </c>
      <c r="O23" s="7">
        <f t="shared" si="12"/>
        <v>0.7087627635360042</v>
      </c>
      <c r="P23" s="7">
        <f t="shared" si="13"/>
        <v>0.74554565249183469</v>
      </c>
    </row>
    <row r="24" spans="2:16" x14ac:dyDescent="0.3">
      <c r="J24" s="11" t="s">
        <v>114</v>
      </c>
      <c r="K24" s="9">
        <f>SUM(K14:K23)</f>
        <v>1.0375643202634559</v>
      </c>
      <c r="L24" s="9">
        <f t="shared" ref="L24:P24" si="14">SUM(L14:L23)</f>
        <v>1.1301454138146054</v>
      </c>
      <c r="M24" s="9">
        <f t="shared" si="14"/>
        <v>1.0831630538990265</v>
      </c>
      <c r="N24" s="9">
        <f t="shared" si="14"/>
        <v>1.108827316428753</v>
      </c>
      <c r="O24" s="9">
        <f t="shared" si="14"/>
        <v>1.1880552427212379</v>
      </c>
      <c r="P24" s="9">
        <f t="shared" si="14"/>
        <v>1.118219967176354</v>
      </c>
    </row>
    <row r="25" spans="2:16" x14ac:dyDescent="0.3">
      <c r="J25" s="12" t="s">
        <v>115</v>
      </c>
      <c r="K25" s="10">
        <f>1-K24</f>
        <v>-3.7564320263455908E-2</v>
      </c>
      <c r="L25" s="10">
        <f t="shared" ref="L25:P25" si="15">1-L24</f>
        <v>-0.13014541381460543</v>
      </c>
      <c r="M25" s="10">
        <f t="shared" si="15"/>
        <v>-8.3163053899026451E-2</v>
      </c>
      <c r="N25" s="10">
        <f t="shared" si="15"/>
        <v>-0.10882731642875298</v>
      </c>
      <c r="O25" s="10">
        <f t="shared" si="15"/>
        <v>-0.18805524272123786</v>
      </c>
      <c r="P25" s="10">
        <f t="shared" si="15"/>
        <v>-0.11821996717635397</v>
      </c>
    </row>
  </sheetData>
  <sortState xmlns:xlrd2="http://schemas.microsoft.com/office/spreadsheetml/2017/richdata2" ref="A2:P12">
    <sortCondition ref="B1:B12"/>
  </sortState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12A95-176E-4067-B3A3-892E5EFF9B94}">
  <dimension ref="A1:P33"/>
  <sheetViews>
    <sheetView workbookViewId="0">
      <selection activeCell="J2" sqref="J2:P2"/>
    </sheetView>
  </sheetViews>
  <sheetFormatPr defaultRowHeight="14.4" x14ac:dyDescent="0.3"/>
  <sheetData>
    <row r="1" spans="1:16" ht="36.6" customHeight="1" x14ac:dyDescent="0.3">
      <c r="A1" s="1" t="s">
        <v>94</v>
      </c>
      <c r="B1" s="2" t="s">
        <v>95</v>
      </c>
      <c r="C1" s="3" t="s">
        <v>96</v>
      </c>
      <c r="D1" s="3" t="s">
        <v>97</v>
      </c>
      <c r="E1" s="3" t="s">
        <v>98</v>
      </c>
      <c r="F1" s="2" t="s">
        <v>99</v>
      </c>
      <c r="G1" s="3" t="s">
        <v>100</v>
      </c>
      <c r="H1" s="3" t="s">
        <v>101</v>
      </c>
      <c r="I1" s="4" t="s">
        <v>95</v>
      </c>
      <c r="J1" s="5" t="s">
        <v>95</v>
      </c>
      <c r="K1" s="6" t="s">
        <v>96</v>
      </c>
      <c r="L1" s="6" t="s">
        <v>97</v>
      </c>
      <c r="M1" s="6" t="s">
        <v>98</v>
      </c>
      <c r="N1" s="5" t="s">
        <v>99</v>
      </c>
      <c r="O1" s="6" t="s">
        <v>100</v>
      </c>
      <c r="P1" s="6" t="s">
        <v>101</v>
      </c>
    </row>
    <row r="2" spans="1:16" x14ac:dyDescent="0.3">
      <c r="A2" s="15" t="s">
        <v>45</v>
      </c>
      <c r="B2" s="8">
        <v>2.2951752543796659E-2</v>
      </c>
      <c r="C2" s="8">
        <v>0</v>
      </c>
      <c r="D2" s="8">
        <v>0</v>
      </c>
      <c r="E2" s="8">
        <v>4.4444444444444446E-2</v>
      </c>
      <c r="F2" s="8">
        <v>1.1695906432748537E-2</v>
      </c>
      <c r="G2" s="8">
        <v>2.2556390977443608E-2</v>
      </c>
      <c r="H2" s="8">
        <v>2.7397260273972601E-2</v>
      </c>
      <c r="I2" s="8">
        <v>2.2951752543796659E-2</v>
      </c>
      <c r="J2" s="8">
        <v>2.2951752543796659E-2</v>
      </c>
      <c r="K2" s="8">
        <v>0</v>
      </c>
      <c r="L2" s="8">
        <v>0</v>
      </c>
      <c r="M2" s="8">
        <v>4.4444444444444446E-2</v>
      </c>
      <c r="N2" s="8">
        <v>1.1695906432748537E-2</v>
      </c>
      <c r="O2" s="8">
        <v>2.2556390977443608E-2</v>
      </c>
      <c r="P2" s="8">
        <v>2.7397260273972601E-2</v>
      </c>
    </row>
    <row r="3" spans="1:16" x14ac:dyDescent="0.3">
      <c r="A3" s="15" t="s">
        <v>47</v>
      </c>
      <c r="B3" s="8">
        <v>2.4442126085601638E-2</v>
      </c>
      <c r="C3" s="8">
        <v>8.0000000000000002E-3</v>
      </c>
      <c r="D3" s="8">
        <v>2.564102564102564E-2</v>
      </c>
      <c r="E3" s="8">
        <v>4.4444444444444446E-2</v>
      </c>
      <c r="F3" s="8">
        <v>1.7543859649122806E-2</v>
      </c>
      <c r="G3" s="8">
        <v>1.5037593984962405E-2</v>
      </c>
      <c r="H3" s="8">
        <v>5.4794520547945202E-2</v>
      </c>
      <c r="I3" s="8">
        <v>4.7393878629398298E-2</v>
      </c>
      <c r="J3" s="8">
        <f>J2+B3</f>
        <v>4.7393878629398298E-2</v>
      </c>
      <c r="K3" s="8">
        <f t="shared" ref="K3:P14" si="0">K2+C3</f>
        <v>8.0000000000000002E-3</v>
      </c>
      <c r="L3" s="8">
        <f t="shared" si="0"/>
        <v>2.564102564102564E-2</v>
      </c>
      <c r="M3" s="8">
        <f t="shared" si="0"/>
        <v>8.8888888888888892E-2</v>
      </c>
      <c r="N3" s="8">
        <f t="shared" si="0"/>
        <v>2.9239766081871343E-2</v>
      </c>
      <c r="O3" s="8">
        <f t="shared" si="0"/>
        <v>3.7593984962406013E-2</v>
      </c>
      <c r="P3" s="8">
        <f t="shared" si="0"/>
        <v>8.2191780821917804E-2</v>
      </c>
    </row>
    <row r="4" spans="1:16" x14ac:dyDescent="0.3">
      <c r="A4" s="15" t="s">
        <v>46</v>
      </c>
      <c r="B4" s="8">
        <v>2.7422873169211593E-2</v>
      </c>
      <c r="C4" s="8">
        <v>1.6E-2</v>
      </c>
      <c r="D4" s="8">
        <v>3.8461538461538464E-2</v>
      </c>
      <c r="E4" s="8">
        <v>0</v>
      </c>
      <c r="F4" s="8">
        <v>1.1695906432748537E-2</v>
      </c>
      <c r="G4" s="8">
        <v>3.7593984962406013E-2</v>
      </c>
      <c r="H4" s="8">
        <v>4.1095890410958902E-2</v>
      </c>
      <c r="I4" s="8">
        <v>7.4816751798609887E-2</v>
      </c>
      <c r="J4" s="8">
        <f t="shared" ref="J4:J14" si="1">J3+B4</f>
        <v>7.4816751798609887E-2</v>
      </c>
      <c r="K4" s="8">
        <f t="shared" si="0"/>
        <v>2.4E-2</v>
      </c>
      <c r="L4" s="8">
        <f t="shared" si="0"/>
        <v>6.4102564102564097E-2</v>
      </c>
      <c r="M4" s="8">
        <f t="shared" si="0"/>
        <v>8.8888888888888892E-2</v>
      </c>
      <c r="N4" s="8">
        <f t="shared" si="0"/>
        <v>4.0935672514619881E-2</v>
      </c>
      <c r="O4" s="8">
        <f t="shared" si="0"/>
        <v>7.5187969924812026E-2</v>
      </c>
      <c r="P4" s="8">
        <f t="shared" si="0"/>
        <v>0.12328767123287671</v>
      </c>
    </row>
    <row r="5" spans="1:16" x14ac:dyDescent="0.3">
      <c r="A5" s="15" t="s">
        <v>40</v>
      </c>
      <c r="B5" s="8">
        <v>3.7652255206145756E-2</v>
      </c>
      <c r="C5" s="8">
        <v>0.04</v>
      </c>
      <c r="D5" s="8">
        <v>1.282051282051282E-2</v>
      </c>
      <c r="E5" s="8">
        <v>2.2222222222222223E-2</v>
      </c>
      <c r="F5" s="8">
        <v>1.7543859649122806E-2</v>
      </c>
      <c r="G5" s="8">
        <v>3.007518796992481E-2</v>
      </c>
      <c r="H5" s="8">
        <v>5.4794520547945202E-2</v>
      </c>
      <c r="I5" s="8">
        <v>0.11246900700475565</v>
      </c>
      <c r="J5" s="8">
        <f t="shared" si="1"/>
        <v>0.11246900700475565</v>
      </c>
      <c r="K5" s="8">
        <f t="shared" si="0"/>
        <v>6.4000000000000001E-2</v>
      </c>
      <c r="L5" s="8">
        <f t="shared" si="0"/>
        <v>7.6923076923076913E-2</v>
      </c>
      <c r="M5" s="8">
        <f t="shared" si="0"/>
        <v>0.11111111111111112</v>
      </c>
      <c r="N5" s="8">
        <f t="shared" si="0"/>
        <v>5.8479532163742687E-2</v>
      </c>
      <c r="O5" s="8">
        <f t="shared" si="0"/>
        <v>0.10526315789473684</v>
      </c>
      <c r="P5" s="8">
        <f t="shared" si="0"/>
        <v>0.17808219178082191</v>
      </c>
    </row>
    <row r="6" spans="1:16" x14ac:dyDescent="0.3">
      <c r="A6" s="15" t="s">
        <v>49</v>
      </c>
      <c r="B6" s="8">
        <v>4.3518907420705355E-2</v>
      </c>
      <c r="C6" s="8">
        <v>3.2000000000000001E-2</v>
      </c>
      <c r="D6" s="8">
        <v>2.564102564102564E-2</v>
      </c>
      <c r="E6" s="8">
        <v>0</v>
      </c>
      <c r="F6" s="8">
        <v>1.7543859649122806E-2</v>
      </c>
      <c r="G6" s="8">
        <v>6.7669172932330823E-2</v>
      </c>
      <c r="H6" s="8">
        <v>5.4794520547945202E-2</v>
      </c>
      <c r="I6" s="8">
        <v>0.15598791442546101</v>
      </c>
      <c r="J6" s="8">
        <f t="shared" si="1"/>
        <v>0.15598791442546101</v>
      </c>
      <c r="K6" s="8">
        <f t="shared" si="0"/>
        <v>9.6000000000000002E-2</v>
      </c>
      <c r="L6" s="8">
        <f t="shared" si="0"/>
        <v>0.10256410256410256</v>
      </c>
      <c r="M6" s="8">
        <f t="shared" si="0"/>
        <v>0.11111111111111112</v>
      </c>
      <c r="N6" s="8">
        <f t="shared" si="0"/>
        <v>7.6023391812865493E-2</v>
      </c>
      <c r="O6" s="8">
        <f t="shared" si="0"/>
        <v>0.17293233082706766</v>
      </c>
      <c r="P6" s="8">
        <f t="shared" si="0"/>
        <v>0.23287671232876711</v>
      </c>
    </row>
    <row r="7" spans="1:16" x14ac:dyDescent="0.3">
      <c r="A7" s="15" t="s">
        <v>116</v>
      </c>
      <c r="B7" s="8">
        <v>4.3518907420705355E-2</v>
      </c>
      <c r="C7" s="8">
        <v>0.13600000000000001</v>
      </c>
      <c r="D7" s="8">
        <v>0.12820512820512819</v>
      </c>
      <c r="E7" s="8">
        <v>0.13333333333333333</v>
      </c>
      <c r="F7" s="8">
        <v>0.43274853801169588</v>
      </c>
      <c r="G7" s="8">
        <v>0.26315789473684209</v>
      </c>
      <c r="H7" s="8">
        <v>0.24657534246575341</v>
      </c>
      <c r="I7" s="8">
        <v>0.19950682184616636</v>
      </c>
      <c r="J7" s="8">
        <f t="shared" si="1"/>
        <v>0.19950682184616636</v>
      </c>
      <c r="K7" s="8">
        <f t="shared" si="0"/>
        <v>0.23200000000000001</v>
      </c>
      <c r="L7" s="8">
        <f t="shared" si="0"/>
        <v>0.23076923076923075</v>
      </c>
      <c r="M7" s="8">
        <f t="shared" si="0"/>
        <v>0.24444444444444446</v>
      </c>
      <c r="N7" s="8">
        <f t="shared" si="0"/>
        <v>0.50877192982456143</v>
      </c>
      <c r="O7" s="8">
        <f t="shared" si="0"/>
        <v>0.43609022556390975</v>
      </c>
      <c r="P7" s="8">
        <f t="shared" si="0"/>
        <v>0.47945205479452052</v>
      </c>
    </row>
    <row r="8" spans="1:16" x14ac:dyDescent="0.3">
      <c r="A8" s="15" t="s">
        <v>41</v>
      </c>
      <c r="B8" s="8">
        <v>4.4467326947308518E-2</v>
      </c>
      <c r="C8" s="8">
        <v>3.2000000000000001E-2</v>
      </c>
      <c r="D8" s="8">
        <v>0</v>
      </c>
      <c r="E8" s="8">
        <v>4.4444444444444446E-2</v>
      </c>
      <c r="F8" s="8">
        <v>2.9239766081871343E-2</v>
      </c>
      <c r="G8" s="8">
        <v>0</v>
      </c>
      <c r="H8" s="8">
        <v>2.7397260273972601E-2</v>
      </c>
      <c r="I8" s="8">
        <v>0.24397414879347487</v>
      </c>
      <c r="J8" s="8">
        <f t="shared" si="1"/>
        <v>0.24397414879347487</v>
      </c>
      <c r="K8" s="8">
        <f t="shared" si="0"/>
        <v>0.26400000000000001</v>
      </c>
      <c r="L8" s="8">
        <f t="shared" si="0"/>
        <v>0.23076923076923075</v>
      </c>
      <c r="M8" s="8">
        <f t="shared" si="0"/>
        <v>0.28888888888888892</v>
      </c>
      <c r="N8" s="8">
        <f t="shared" si="0"/>
        <v>0.53801169590643272</v>
      </c>
      <c r="O8" s="8">
        <f t="shared" si="0"/>
        <v>0.43609022556390975</v>
      </c>
      <c r="P8" s="8">
        <f t="shared" si="0"/>
        <v>0.50684931506849318</v>
      </c>
    </row>
    <row r="9" spans="1:16" x14ac:dyDescent="0.3">
      <c r="A9" s="15" t="s">
        <v>50</v>
      </c>
      <c r="B9" s="8">
        <v>6.5617082390559162E-2</v>
      </c>
      <c r="C9" s="8">
        <v>5.6000000000000001E-2</v>
      </c>
      <c r="D9" s="8">
        <v>2.564102564102564E-2</v>
      </c>
      <c r="E9" s="8">
        <v>0</v>
      </c>
      <c r="F9" s="8">
        <v>0</v>
      </c>
      <c r="G9" s="8">
        <v>0</v>
      </c>
      <c r="H9" s="8">
        <v>1.3698630136986301E-2</v>
      </c>
      <c r="I9" s="8">
        <v>0.30959123118403403</v>
      </c>
      <c r="J9" s="8">
        <f t="shared" si="1"/>
        <v>0.30959123118403403</v>
      </c>
      <c r="K9" s="8">
        <f t="shared" si="0"/>
        <v>0.32</v>
      </c>
      <c r="L9" s="8">
        <f t="shared" si="0"/>
        <v>0.25641025641025639</v>
      </c>
      <c r="M9" s="8">
        <f t="shared" si="0"/>
        <v>0.28888888888888892</v>
      </c>
      <c r="N9" s="8">
        <f t="shared" si="0"/>
        <v>0.53801169590643272</v>
      </c>
      <c r="O9" s="8">
        <f t="shared" si="0"/>
        <v>0.43609022556390975</v>
      </c>
      <c r="P9" s="8">
        <f t="shared" si="0"/>
        <v>0.52054794520547953</v>
      </c>
    </row>
    <row r="10" spans="1:16" x14ac:dyDescent="0.3">
      <c r="A10" s="15" t="s">
        <v>44</v>
      </c>
      <c r="B10" s="8">
        <v>6.7662958797945996E-2</v>
      </c>
      <c r="C10" s="8">
        <v>1.6E-2</v>
      </c>
      <c r="D10" s="8">
        <v>6.4102564102564097E-2</v>
      </c>
      <c r="E10" s="8">
        <v>4.4444444444444446E-2</v>
      </c>
      <c r="F10" s="8">
        <v>2.9239766081871343E-2</v>
      </c>
      <c r="G10" s="8">
        <v>7.5187969924812026E-3</v>
      </c>
      <c r="H10" s="8">
        <v>1.3698630136986301E-2</v>
      </c>
      <c r="I10" s="8">
        <v>0.37725418998198001</v>
      </c>
      <c r="J10" s="8">
        <f t="shared" si="1"/>
        <v>0.37725418998198001</v>
      </c>
      <c r="K10" s="8">
        <f t="shared" si="0"/>
        <v>0.33600000000000002</v>
      </c>
      <c r="L10" s="8">
        <f t="shared" si="0"/>
        <v>0.32051282051282048</v>
      </c>
      <c r="M10" s="8">
        <f t="shared" si="0"/>
        <v>0.33333333333333337</v>
      </c>
      <c r="N10" s="8">
        <f t="shared" si="0"/>
        <v>0.56725146198830401</v>
      </c>
      <c r="O10" s="8">
        <f t="shared" si="0"/>
        <v>0.44360902255639095</v>
      </c>
      <c r="P10" s="8">
        <f t="shared" si="0"/>
        <v>0.53424657534246589</v>
      </c>
    </row>
    <row r="11" spans="1:16" x14ac:dyDescent="0.3">
      <c r="A11" s="15" t="s">
        <v>42</v>
      </c>
      <c r="B11" s="8">
        <v>6.8936550733670249E-2</v>
      </c>
      <c r="C11" s="8">
        <v>0.04</v>
      </c>
      <c r="D11" s="8">
        <v>2.564102564102564E-2</v>
      </c>
      <c r="E11" s="8">
        <v>0</v>
      </c>
      <c r="F11" s="8">
        <v>4.0935672514619881E-2</v>
      </c>
      <c r="G11" s="8">
        <v>1.5037593984962405E-2</v>
      </c>
      <c r="H11" s="8">
        <v>4.1095890410958902E-2</v>
      </c>
      <c r="I11" s="8">
        <v>0.44619074071565024</v>
      </c>
      <c r="J11" s="8">
        <f t="shared" si="1"/>
        <v>0.44619074071565024</v>
      </c>
      <c r="K11" s="8">
        <f t="shared" si="0"/>
        <v>0.376</v>
      </c>
      <c r="L11" s="8">
        <f t="shared" si="0"/>
        <v>0.34615384615384615</v>
      </c>
      <c r="M11" s="8">
        <f t="shared" si="0"/>
        <v>0.33333333333333337</v>
      </c>
      <c r="N11" s="8">
        <f t="shared" si="0"/>
        <v>0.60818713450292394</v>
      </c>
      <c r="O11" s="8">
        <f t="shared" si="0"/>
        <v>0.45864661654135336</v>
      </c>
      <c r="P11" s="8">
        <f t="shared" si="0"/>
        <v>0.57534246575342474</v>
      </c>
    </row>
    <row r="12" spans="1:16" x14ac:dyDescent="0.3">
      <c r="A12" s="15" t="s">
        <v>48</v>
      </c>
      <c r="B12" s="8">
        <v>7.4423835137588573E-2</v>
      </c>
      <c r="C12" s="8">
        <v>6.4000000000000001E-2</v>
      </c>
      <c r="D12" s="8">
        <v>5.128205128205128E-2</v>
      </c>
      <c r="E12" s="8">
        <v>4.4444444444444446E-2</v>
      </c>
      <c r="F12" s="8">
        <v>4.6783625730994149E-2</v>
      </c>
      <c r="G12" s="8">
        <v>3.007518796992481E-2</v>
      </c>
      <c r="H12" s="8">
        <v>1.3698630136986301E-2</v>
      </c>
      <c r="I12" s="8">
        <v>0.52061457585323878</v>
      </c>
      <c r="J12" s="8">
        <f t="shared" si="1"/>
        <v>0.52061457585323878</v>
      </c>
      <c r="K12" s="8">
        <f t="shared" si="0"/>
        <v>0.44</v>
      </c>
      <c r="L12" s="8">
        <f t="shared" si="0"/>
        <v>0.39743589743589741</v>
      </c>
      <c r="M12" s="8">
        <f t="shared" si="0"/>
        <v>0.37777777777777782</v>
      </c>
      <c r="N12" s="8">
        <f t="shared" si="0"/>
        <v>0.65497076023391809</v>
      </c>
      <c r="O12" s="8">
        <f t="shared" si="0"/>
        <v>0.48872180451127817</v>
      </c>
      <c r="P12" s="8">
        <f t="shared" si="0"/>
        <v>0.58904109589041109</v>
      </c>
    </row>
    <row r="13" spans="1:16" x14ac:dyDescent="0.3">
      <c r="A13" s="15" t="s">
        <v>43</v>
      </c>
      <c r="B13" s="8">
        <v>8.7308791849011608E-2</v>
      </c>
      <c r="C13" s="8">
        <v>3.2000000000000001E-2</v>
      </c>
      <c r="D13" s="8">
        <v>8.9743589743589744E-2</v>
      </c>
      <c r="E13" s="8">
        <v>2.2222222222222223E-2</v>
      </c>
      <c r="F13" s="8">
        <v>2.9239766081871343E-2</v>
      </c>
      <c r="G13" s="8">
        <v>4.5112781954887216E-2</v>
      </c>
      <c r="H13" s="8">
        <v>0.13698630136986301</v>
      </c>
      <c r="I13" s="8">
        <v>0.60792336770225042</v>
      </c>
      <c r="J13" s="8">
        <f t="shared" si="1"/>
        <v>0.60792336770225042</v>
      </c>
      <c r="K13" s="8">
        <f t="shared" si="0"/>
        <v>0.47199999999999998</v>
      </c>
      <c r="L13" s="8">
        <f t="shared" si="0"/>
        <v>0.48717948717948717</v>
      </c>
      <c r="M13" s="8">
        <f t="shared" si="0"/>
        <v>0.4</v>
      </c>
      <c r="N13" s="8">
        <f t="shared" si="0"/>
        <v>0.68421052631578938</v>
      </c>
      <c r="O13" s="8">
        <f t="shared" si="0"/>
        <v>0.53383458646616533</v>
      </c>
      <c r="P13" s="8">
        <f t="shared" si="0"/>
        <v>0.7260273972602741</v>
      </c>
    </row>
    <row r="14" spans="1:16" x14ac:dyDescent="0.3">
      <c r="A14" s="15" t="s">
        <v>39</v>
      </c>
      <c r="B14" s="8">
        <v>0.16514693728237159</v>
      </c>
      <c r="C14" s="8">
        <v>0.152</v>
      </c>
      <c r="D14" s="8">
        <v>0.33333333333333331</v>
      </c>
      <c r="E14" s="8">
        <v>0.31111111111111112</v>
      </c>
      <c r="F14" s="8">
        <v>0.19883040935672514</v>
      </c>
      <c r="G14" s="8">
        <v>0.19548872180451127</v>
      </c>
      <c r="H14" s="8">
        <v>0.1095890410958904</v>
      </c>
      <c r="I14" s="8">
        <v>0.77307030498462204</v>
      </c>
      <c r="J14" s="8">
        <f t="shared" si="1"/>
        <v>0.77307030498462204</v>
      </c>
      <c r="K14" s="8">
        <f t="shared" si="0"/>
        <v>0.624</v>
      </c>
      <c r="L14" s="8">
        <f t="shared" si="0"/>
        <v>0.82051282051282048</v>
      </c>
      <c r="M14" s="8">
        <f t="shared" si="0"/>
        <v>0.71111111111111114</v>
      </c>
      <c r="N14" s="8">
        <f t="shared" si="0"/>
        <v>0.88304093567251452</v>
      </c>
      <c r="O14" s="8">
        <f t="shared" si="0"/>
        <v>0.7293233082706766</v>
      </c>
      <c r="P14" s="8">
        <f t="shared" si="0"/>
        <v>0.8356164383561645</v>
      </c>
    </row>
    <row r="15" spans="1:16" x14ac:dyDescent="0.3">
      <c r="A15" s="15" t="s">
        <v>38</v>
      </c>
      <c r="B15" s="8">
        <v>0.22692969501537794</v>
      </c>
      <c r="C15" s="8">
        <v>0.376</v>
      </c>
      <c r="D15" s="8">
        <v>0.17948717948717949</v>
      </c>
      <c r="E15" s="8">
        <v>0.28888888888888886</v>
      </c>
      <c r="F15" s="8">
        <v>0.11695906432748537</v>
      </c>
      <c r="G15" s="8">
        <v>0.27067669172932329</v>
      </c>
      <c r="H15" s="8">
        <v>0.16438356164383561</v>
      </c>
      <c r="I15" s="8">
        <v>1</v>
      </c>
      <c r="J15" s="8">
        <f t="shared" ref="J15" si="2">J14+B15</f>
        <v>1</v>
      </c>
      <c r="K15" s="8">
        <f t="shared" ref="K15" si="3">K14+C15</f>
        <v>1</v>
      </c>
      <c r="L15" s="8">
        <f t="shared" ref="L15" si="4">L14+D15</f>
        <v>1</v>
      </c>
      <c r="M15" s="8">
        <f t="shared" ref="M15" si="5">M14+E15</f>
        <v>1</v>
      </c>
      <c r="N15" s="8">
        <f t="shared" ref="N15" si="6">N14+F15</f>
        <v>0.99999999999999989</v>
      </c>
      <c r="O15" s="8">
        <f t="shared" ref="O15" si="7">O14+G15</f>
        <v>0.99999999999999989</v>
      </c>
      <c r="P15" s="8">
        <f t="shared" ref="P15" si="8">P14+H15</f>
        <v>1</v>
      </c>
    </row>
    <row r="16" spans="1:16" x14ac:dyDescent="0.3">
      <c r="A16" s="17"/>
      <c r="B16" s="16"/>
      <c r="C16" s="16"/>
      <c r="D16" s="16"/>
      <c r="E16" s="16"/>
      <c r="F16" s="16"/>
      <c r="G16" s="16"/>
      <c r="H16" s="16"/>
    </row>
    <row r="17" spans="2:16" ht="28.8" x14ac:dyDescent="0.3">
      <c r="B17" s="1" t="s">
        <v>94</v>
      </c>
      <c r="C17" s="3" t="s">
        <v>102</v>
      </c>
      <c r="D17" s="3" t="s">
        <v>103</v>
      </c>
      <c r="E17" s="3" t="s">
        <v>104</v>
      </c>
      <c r="F17" s="3" t="s">
        <v>105</v>
      </c>
      <c r="G17" s="3" t="s">
        <v>106</v>
      </c>
      <c r="H17" s="3" t="s">
        <v>107</v>
      </c>
      <c r="J17" s="7"/>
      <c r="K17" s="9" t="s">
        <v>108</v>
      </c>
      <c r="L17" s="9" t="s">
        <v>109</v>
      </c>
      <c r="M17" s="9" t="s">
        <v>110</v>
      </c>
      <c r="N17" s="9" t="s">
        <v>111</v>
      </c>
      <c r="O17" s="9" t="s">
        <v>112</v>
      </c>
      <c r="P17" s="9" t="s">
        <v>113</v>
      </c>
    </row>
    <row r="18" spans="2:16" x14ac:dyDescent="0.3">
      <c r="B18" s="7" t="s">
        <v>45</v>
      </c>
      <c r="C18" s="8">
        <f t="shared" ref="C18:C31" si="9">C2-B2</f>
        <v>-2.2951752543796659E-2</v>
      </c>
      <c r="D18" s="8">
        <f t="shared" ref="D18:D31" si="10">D2-B2</f>
        <v>-2.2951752543796659E-2</v>
      </c>
      <c r="E18" s="8">
        <f t="shared" ref="E18:E31" si="11">E2-B2</f>
        <v>2.1492691900647787E-2</v>
      </c>
      <c r="F18" s="8">
        <f t="shared" ref="F18:F31" si="12">F2-B2</f>
        <v>-1.1255846111048122E-2</v>
      </c>
      <c r="G18" s="8">
        <f t="shared" ref="G18:G31" si="13">G2-B2</f>
        <v>-3.9536156635305159E-4</v>
      </c>
      <c r="H18" s="8">
        <f t="shared" ref="H18:H31" si="14">H2-B2</f>
        <v>4.4455077301759419E-3</v>
      </c>
      <c r="J18" s="7" t="s">
        <v>45</v>
      </c>
      <c r="K18" s="7">
        <f>(J2-0) * (K2+0)</f>
        <v>0</v>
      </c>
      <c r="L18" s="7">
        <f>(J2-0) * (L2+0)</f>
        <v>0</v>
      </c>
      <c r="M18" s="7">
        <f>(J2-0) * (M2+0)</f>
        <v>1.0200778908354071E-3</v>
      </c>
      <c r="N18" s="7">
        <f>(J2-0) * (N2+0)</f>
        <v>2.6844155021984393E-4</v>
      </c>
      <c r="O18" s="7">
        <f>(J2-0) * (O2+0)</f>
        <v>5.1770870399541337E-4</v>
      </c>
      <c r="P18" s="7">
        <f>(J2-0) * (P2+0)</f>
        <v>6.2881513818620978E-4</v>
      </c>
    </row>
    <row r="19" spans="2:16" x14ac:dyDescent="0.3">
      <c r="B19" s="7" t="s">
        <v>47</v>
      </c>
      <c r="C19" s="8">
        <f t="shared" si="9"/>
        <v>-1.6442126085601638E-2</v>
      </c>
      <c r="D19" s="8">
        <f t="shared" si="10"/>
        <v>1.1988995554240017E-3</v>
      </c>
      <c r="E19" s="8">
        <f t="shared" si="11"/>
        <v>2.0002318358842808E-2</v>
      </c>
      <c r="F19" s="8">
        <f t="shared" si="12"/>
        <v>-6.8982664364788324E-3</v>
      </c>
      <c r="G19" s="8">
        <f t="shared" si="13"/>
        <v>-9.4045321006392332E-3</v>
      </c>
      <c r="H19" s="8">
        <f t="shared" si="14"/>
        <v>3.0352394462343564E-2</v>
      </c>
      <c r="J19" s="7" t="s">
        <v>47</v>
      </c>
      <c r="K19" s="7">
        <f>(J3-J2) * (K3+K2)</f>
        <v>1.9553700868481312E-4</v>
      </c>
      <c r="L19" s="7">
        <f>(J3-J2) * (L3+L2)</f>
        <v>6.2672118168209331E-4</v>
      </c>
      <c r="M19" s="7">
        <f>(J3-J2) * (M3+M2)</f>
        <v>3.2589501447468851E-3</v>
      </c>
      <c r="N19" s="7">
        <f>(J3-J2) * (N3+N2)</f>
        <v>1.0005548690012367E-3</v>
      </c>
      <c r="O19" s="7">
        <f>(J3-J2) * (O3+O2)</f>
        <v>1.4702030728181437E-3</v>
      </c>
      <c r="P19" s="7">
        <f>(J3-J2) * (P3+P2)</f>
        <v>2.6785891600659326E-3</v>
      </c>
    </row>
    <row r="20" spans="2:16" x14ac:dyDescent="0.3">
      <c r="B20" s="7" t="s">
        <v>46</v>
      </c>
      <c r="C20" s="8">
        <f t="shared" si="9"/>
        <v>-1.1422873169211593E-2</v>
      </c>
      <c r="D20" s="8">
        <f t="shared" si="10"/>
        <v>1.1038665292326871E-2</v>
      </c>
      <c r="E20" s="8">
        <f t="shared" si="11"/>
        <v>-2.7422873169211593E-2</v>
      </c>
      <c r="F20" s="8">
        <f t="shared" si="12"/>
        <v>-1.5726966736463056E-2</v>
      </c>
      <c r="G20" s="8">
        <f t="shared" si="13"/>
        <v>1.017111179319442E-2</v>
      </c>
      <c r="H20" s="8">
        <f t="shared" si="14"/>
        <v>1.3673017241747309E-2</v>
      </c>
      <c r="J20" s="7" t="s">
        <v>46</v>
      </c>
      <c r="K20" s="7">
        <f t="shared" ref="K20:K31" si="15">(J4-J3) * (K4+K3)</f>
        <v>8.7753194141477087E-4</v>
      </c>
      <c r="L20" s="7">
        <f t="shared" ref="L20:L31" si="16">(J4-J3) * (L4+L3)</f>
        <v>2.4610270792882194E-3</v>
      </c>
      <c r="M20" s="7">
        <f t="shared" ref="M20:M31" si="17">(J4-J3) * (M4+M3)</f>
        <v>4.8751774523042831E-3</v>
      </c>
      <c r="N20" s="7">
        <f t="shared" ref="N20:N31" si="18">(J4-J3) * (N4+N3)</f>
        <v>1.9244121522253746E-3</v>
      </c>
      <c r="O20" s="7">
        <f t="shared" ref="O20:O31" si="19">(J4-J3) * (O4+O3)</f>
        <v>3.0928052446479236E-3</v>
      </c>
      <c r="P20" s="7">
        <f t="shared" ref="P20:P31" si="20">(J4-J3) * (P4+P3)</f>
        <v>5.634836952577724E-3</v>
      </c>
    </row>
    <row r="21" spans="2:16" x14ac:dyDescent="0.3">
      <c r="B21" s="7" t="s">
        <v>40</v>
      </c>
      <c r="C21" s="8">
        <f t="shared" si="9"/>
        <v>2.3477447938542451E-3</v>
      </c>
      <c r="D21" s="8">
        <f t="shared" si="10"/>
        <v>-2.4831742385632936E-2</v>
      </c>
      <c r="E21" s="8">
        <f t="shared" si="11"/>
        <v>-1.5430032983923533E-2</v>
      </c>
      <c r="F21" s="8">
        <f t="shared" si="12"/>
        <v>-2.010839555702295E-2</v>
      </c>
      <c r="G21" s="8">
        <f t="shared" si="13"/>
        <v>-7.5770672362209454E-3</v>
      </c>
      <c r="H21" s="8">
        <f t="shared" si="14"/>
        <v>1.7142265341799447E-2</v>
      </c>
      <c r="J21" s="7" t="s">
        <v>40</v>
      </c>
      <c r="K21" s="7">
        <f t="shared" si="15"/>
        <v>3.3133984581408269E-3</v>
      </c>
      <c r="L21" s="7">
        <f t="shared" si="16"/>
        <v>5.3099334265077356E-3</v>
      </c>
      <c r="M21" s="7">
        <f t="shared" si="17"/>
        <v>7.5304510412291525E-3</v>
      </c>
      <c r="N21" s="7">
        <f t="shared" si="18"/>
        <v>3.7432066579209237E-3</v>
      </c>
      <c r="O21" s="7">
        <f t="shared" si="19"/>
        <v>6.7943919168984828E-3</v>
      </c>
      <c r="P21" s="7">
        <f t="shared" si="20"/>
        <v>1.1347254993632969E-2</v>
      </c>
    </row>
    <row r="22" spans="2:16" x14ac:dyDescent="0.3">
      <c r="B22" s="7" t="s">
        <v>49</v>
      </c>
      <c r="C22" s="8">
        <f t="shared" si="9"/>
        <v>-1.1518907420705354E-2</v>
      </c>
      <c r="D22" s="8">
        <f t="shared" si="10"/>
        <v>-1.7877881779679715E-2</v>
      </c>
      <c r="E22" s="8">
        <f t="shared" si="11"/>
        <v>-4.3518907420705355E-2</v>
      </c>
      <c r="F22" s="8">
        <f t="shared" si="12"/>
        <v>-2.5975047771582549E-2</v>
      </c>
      <c r="G22" s="8">
        <f t="shared" si="13"/>
        <v>2.4150265511625468E-2</v>
      </c>
      <c r="H22" s="8">
        <f t="shared" si="14"/>
        <v>1.1275613127239847E-2</v>
      </c>
      <c r="J22" s="7" t="s">
        <v>49</v>
      </c>
      <c r="K22" s="7">
        <f t="shared" si="15"/>
        <v>6.9630251873128574E-3</v>
      </c>
      <c r="L22" s="7">
        <f t="shared" si="16"/>
        <v>7.8110859473060883E-3</v>
      </c>
      <c r="M22" s="7">
        <f t="shared" si="17"/>
        <v>9.6708683157123009E-3</v>
      </c>
      <c r="N22" s="7">
        <f t="shared" si="18"/>
        <v>5.8534202963521822E-3</v>
      </c>
      <c r="O22" s="7">
        <f t="shared" si="19"/>
        <v>1.210676371854209E-2</v>
      </c>
      <c r="P22" s="7">
        <f t="shared" si="20"/>
        <v>1.7884482501659735E-2</v>
      </c>
    </row>
    <row r="23" spans="2:16" x14ac:dyDescent="0.3">
      <c r="B23" s="7" t="s">
        <v>116</v>
      </c>
      <c r="C23" s="8">
        <f t="shared" si="9"/>
        <v>9.2481092579294655E-2</v>
      </c>
      <c r="D23" s="8">
        <f t="shared" si="10"/>
        <v>8.4686220784422839E-2</v>
      </c>
      <c r="E23" s="8">
        <f t="shared" si="11"/>
        <v>8.9814425912627976E-2</v>
      </c>
      <c r="F23" s="8">
        <f t="shared" si="12"/>
        <v>0.38922963059099053</v>
      </c>
      <c r="G23" s="8">
        <f t="shared" si="13"/>
        <v>0.21963898731613674</v>
      </c>
      <c r="H23" s="8">
        <f t="shared" si="14"/>
        <v>0.20305643504504806</v>
      </c>
      <c r="J23" s="7" t="s">
        <v>116</v>
      </c>
      <c r="K23" s="7">
        <f t="shared" si="15"/>
        <v>1.4274201633991356E-2</v>
      </c>
      <c r="L23" s="7">
        <f t="shared" si="16"/>
        <v>1.4506302473568451E-2</v>
      </c>
      <c r="M23" s="7">
        <f t="shared" si="17"/>
        <v>1.5473389305139683E-2</v>
      </c>
      <c r="N23" s="7">
        <f t="shared" si="18"/>
        <v>2.544965346240079E-2</v>
      </c>
      <c r="O23" s="7">
        <f t="shared" si="19"/>
        <v>2.6503996248700253E-2</v>
      </c>
      <c r="P23" s="7">
        <f t="shared" si="20"/>
        <v>3.0999769669543539E-2</v>
      </c>
    </row>
    <row r="24" spans="2:16" x14ac:dyDescent="0.3">
      <c r="B24" s="7" t="s">
        <v>41</v>
      </c>
      <c r="C24" s="8">
        <f t="shared" si="9"/>
        <v>-1.2467326947308517E-2</v>
      </c>
      <c r="D24" s="8">
        <f t="shared" si="10"/>
        <v>-4.4467326947308518E-2</v>
      </c>
      <c r="E24" s="8">
        <f t="shared" si="11"/>
        <v>-2.2882502864071674E-5</v>
      </c>
      <c r="F24" s="8">
        <f t="shared" si="12"/>
        <v>-1.5227560865437174E-2</v>
      </c>
      <c r="G24" s="8">
        <f t="shared" si="13"/>
        <v>-4.4467326947308518E-2</v>
      </c>
      <c r="H24" s="8">
        <f t="shared" si="14"/>
        <v>-1.7070066673335917E-2</v>
      </c>
      <c r="J24" s="7" t="s">
        <v>41</v>
      </c>
      <c r="K24" s="7">
        <f t="shared" si="15"/>
        <v>2.205579416586502E-2</v>
      </c>
      <c r="L24" s="7">
        <f t="shared" si="16"/>
        <v>2.0523381667988543E-2</v>
      </c>
      <c r="M24" s="7">
        <f t="shared" si="17"/>
        <v>2.3715907705231212E-2</v>
      </c>
      <c r="N24" s="7">
        <f t="shared" si="18"/>
        <v>4.6547669728469146E-2</v>
      </c>
      <c r="O24" s="7">
        <f t="shared" si="19"/>
        <v>3.8783533277351782E-2</v>
      </c>
      <c r="P24" s="7">
        <f t="shared" si="20"/>
        <v>4.3858185482276886E-2</v>
      </c>
    </row>
    <row r="25" spans="2:16" x14ac:dyDescent="0.3">
      <c r="B25" s="7" t="s">
        <v>50</v>
      </c>
      <c r="C25" s="8">
        <f t="shared" si="9"/>
        <v>-9.6170823905591604E-3</v>
      </c>
      <c r="D25" s="8">
        <f t="shared" si="10"/>
        <v>-3.9976056749533521E-2</v>
      </c>
      <c r="E25" s="8">
        <f t="shared" si="11"/>
        <v>-6.5617082390559162E-2</v>
      </c>
      <c r="F25" s="8">
        <f t="shared" si="12"/>
        <v>-6.5617082390559162E-2</v>
      </c>
      <c r="G25" s="8">
        <f t="shared" si="13"/>
        <v>-6.5617082390559162E-2</v>
      </c>
      <c r="H25" s="8">
        <f t="shared" si="14"/>
        <v>-5.1918452253572861E-2</v>
      </c>
      <c r="J25" s="7" t="s">
        <v>50</v>
      </c>
      <c r="K25" s="7">
        <f t="shared" si="15"/>
        <v>3.8320376116086553E-2</v>
      </c>
      <c r="L25" s="7">
        <f t="shared" si="16"/>
        <v>3.1967296549246765E-2</v>
      </c>
      <c r="M25" s="7">
        <f t="shared" si="17"/>
        <v>3.7912092047878633E-2</v>
      </c>
      <c r="N25" s="7">
        <f t="shared" si="18"/>
        <v>7.0605515554753709E-2</v>
      </c>
      <c r="O25" s="7">
        <f t="shared" si="19"/>
        <v>5.7229936521089188E-2</v>
      </c>
      <c r="P25" s="7">
        <f t="shared" si="20"/>
        <v>6.7414810675232029E-2</v>
      </c>
    </row>
    <row r="26" spans="2:16" x14ac:dyDescent="0.3">
      <c r="B26" s="7" t="s">
        <v>44</v>
      </c>
      <c r="C26" s="8">
        <f t="shared" si="9"/>
        <v>-5.1662958797945996E-2</v>
      </c>
      <c r="D26" s="8">
        <f t="shared" si="10"/>
        <v>-3.5603946953818993E-3</v>
      </c>
      <c r="E26" s="8">
        <f t="shared" si="11"/>
        <v>-2.321851435350155E-2</v>
      </c>
      <c r="F26" s="8">
        <f t="shared" si="12"/>
        <v>-3.8423192716074653E-2</v>
      </c>
      <c r="G26" s="8">
        <f t="shared" si="13"/>
        <v>-6.0144161805464794E-2</v>
      </c>
      <c r="H26" s="8">
        <f t="shared" si="14"/>
        <v>-5.3964328660959696E-2</v>
      </c>
      <c r="J26" s="7" t="s">
        <v>44</v>
      </c>
      <c r="K26" s="7">
        <f t="shared" si="15"/>
        <v>4.4386900971452564E-2</v>
      </c>
      <c r="L26" s="7">
        <f t="shared" si="16"/>
        <v>3.9036322383430369E-2</v>
      </c>
      <c r="M26" s="7">
        <f t="shared" si="17"/>
        <v>4.2101396585388612E-2</v>
      </c>
      <c r="N26" s="7">
        <f t="shared" si="18"/>
        <v>7.4785375513519242E-2</v>
      </c>
      <c r="O26" s="7">
        <f t="shared" si="19"/>
        <v>5.9523053980147969E-2</v>
      </c>
      <c r="P26" s="7">
        <f t="shared" si="20"/>
        <v>7.1370518184134812E-2</v>
      </c>
    </row>
    <row r="27" spans="2:16" x14ac:dyDescent="0.3">
      <c r="B27" s="7" t="s">
        <v>42</v>
      </c>
      <c r="C27" s="8">
        <f t="shared" si="9"/>
        <v>-2.8936550733670248E-2</v>
      </c>
      <c r="D27" s="8">
        <f t="shared" si="10"/>
        <v>-4.3295525092644609E-2</v>
      </c>
      <c r="E27" s="8">
        <f t="shared" si="11"/>
        <v>-6.8936550733670249E-2</v>
      </c>
      <c r="F27" s="8">
        <f t="shared" si="12"/>
        <v>-2.8000878219050368E-2</v>
      </c>
      <c r="G27" s="8">
        <f t="shared" si="13"/>
        <v>-5.3898956748707844E-2</v>
      </c>
      <c r="H27" s="8">
        <f t="shared" si="14"/>
        <v>-2.7840660322711347E-2</v>
      </c>
      <c r="J27" s="7" t="s">
        <v>42</v>
      </c>
      <c r="K27" s="7">
        <f t="shared" si="15"/>
        <v>4.9082824122373192E-2</v>
      </c>
      <c r="L27" s="7">
        <f t="shared" si="16"/>
        <v>4.5957700489113476E-2</v>
      </c>
      <c r="M27" s="7">
        <f t="shared" si="17"/>
        <v>4.5957700489113483E-2</v>
      </c>
      <c r="N27" s="7">
        <f t="shared" si="18"/>
        <v>8.1030682441331658E-2</v>
      </c>
      <c r="O27" s="7">
        <f t="shared" si="19"/>
        <v>6.2198391639401697E-2</v>
      </c>
      <c r="P27" s="7">
        <f t="shared" si="20"/>
        <v>7.6491241225031356E-2</v>
      </c>
    </row>
    <row r="28" spans="2:16" x14ac:dyDescent="0.3">
      <c r="B28" s="7" t="s">
        <v>48</v>
      </c>
      <c r="C28" s="8">
        <f t="shared" si="9"/>
        <v>-1.0423835137588572E-2</v>
      </c>
      <c r="D28" s="8">
        <f t="shared" si="10"/>
        <v>-2.3141783855537293E-2</v>
      </c>
      <c r="E28" s="8">
        <f t="shared" si="11"/>
        <v>-2.9979390693144127E-2</v>
      </c>
      <c r="F28" s="8">
        <f t="shared" si="12"/>
        <v>-2.7640209406594424E-2</v>
      </c>
      <c r="G28" s="8">
        <f t="shared" si="13"/>
        <v>-4.4348647167663763E-2</v>
      </c>
      <c r="H28" s="8">
        <f t="shared" si="14"/>
        <v>-6.0725205000602273E-2</v>
      </c>
      <c r="J28" s="7" t="s">
        <v>48</v>
      </c>
      <c r="K28" s="7">
        <f t="shared" si="15"/>
        <v>6.0729849472272258E-2</v>
      </c>
      <c r="L28" s="7">
        <f t="shared" si="16"/>
        <v>5.5340800486924815E-2</v>
      </c>
      <c r="M28" s="7">
        <f t="shared" si="17"/>
        <v>5.2923616097840756E-2</v>
      </c>
      <c r="N28" s="7">
        <f t="shared" si="18"/>
        <v>9.4009054910638157E-2</v>
      </c>
      <c r="O28" s="7">
        <f t="shared" si="19"/>
        <v>7.0506791182978618E-2</v>
      </c>
      <c r="P28" s="7">
        <f t="shared" si="20"/>
        <v>8.6657890228699005E-2</v>
      </c>
    </row>
    <row r="29" spans="2:16" x14ac:dyDescent="0.3">
      <c r="B29" s="7" t="s">
        <v>43</v>
      </c>
      <c r="C29" s="8">
        <f t="shared" si="9"/>
        <v>-5.5308791849011607E-2</v>
      </c>
      <c r="D29" s="8">
        <f t="shared" si="10"/>
        <v>2.4347978945781362E-3</v>
      </c>
      <c r="E29" s="8">
        <f t="shared" si="11"/>
        <v>-6.5086569626789381E-2</v>
      </c>
      <c r="F29" s="8">
        <f t="shared" si="12"/>
        <v>-5.8069025767140264E-2</v>
      </c>
      <c r="G29" s="8">
        <f t="shared" si="13"/>
        <v>-4.2196009894124392E-2</v>
      </c>
      <c r="H29" s="8">
        <f t="shared" si="14"/>
        <v>4.9677509520851398E-2</v>
      </c>
      <c r="J29" s="7" t="s">
        <v>43</v>
      </c>
      <c r="K29" s="7">
        <f t="shared" si="15"/>
        <v>7.9625618166298609E-2</v>
      </c>
      <c r="L29" s="7">
        <f t="shared" si="16"/>
        <v>7.7234700481817978E-2</v>
      </c>
      <c r="M29" s="7">
        <f t="shared" si="17"/>
        <v>6.7906838104786843E-2</v>
      </c>
      <c r="N29" s="7">
        <f t="shared" si="18"/>
        <v>0.11692230019546002</v>
      </c>
      <c r="O29" s="7">
        <f t="shared" si="19"/>
        <v>8.9278163093726173E-2</v>
      </c>
      <c r="P29" s="7">
        <f t="shared" si="20"/>
        <v>0.11481704133568657</v>
      </c>
    </row>
    <row r="30" spans="2:16" x14ac:dyDescent="0.3">
      <c r="B30" s="7" t="s">
        <v>39</v>
      </c>
      <c r="C30" s="8">
        <f t="shared" si="9"/>
        <v>-1.3146937282371596E-2</v>
      </c>
      <c r="D30" s="8">
        <f t="shared" si="10"/>
        <v>0.16818639605096172</v>
      </c>
      <c r="E30" s="8">
        <f t="shared" si="11"/>
        <v>0.14596417382873952</v>
      </c>
      <c r="F30" s="8">
        <f t="shared" si="12"/>
        <v>3.3683472074353543E-2</v>
      </c>
      <c r="G30" s="8">
        <f t="shared" si="13"/>
        <v>3.0341784522139675E-2</v>
      </c>
      <c r="H30" s="8">
        <f t="shared" si="14"/>
        <v>-5.5557896186481187E-2</v>
      </c>
      <c r="J30" s="7" t="s">
        <v>39</v>
      </c>
      <c r="K30" s="7">
        <f t="shared" si="15"/>
        <v>0.18100104326147931</v>
      </c>
      <c r="L30" s="7">
        <f t="shared" si="16"/>
        <v>0.21596137952310135</v>
      </c>
      <c r="M30" s="7">
        <f t="shared" si="17"/>
        <v>0.18349659698041293</v>
      </c>
      <c r="N30" s="7">
        <f t="shared" si="18"/>
        <v>0.25882677889868766</v>
      </c>
      <c r="O30" s="7">
        <f t="shared" si="19"/>
        <v>0.20860665761983782</v>
      </c>
      <c r="P30" s="7">
        <f t="shared" si="20"/>
        <v>0.25790069657795023</v>
      </c>
    </row>
    <row r="31" spans="2:16" x14ac:dyDescent="0.3">
      <c r="B31" s="7" t="s">
        <v>38</v>
      </c>
      <c r="C31" s="8">
        <f t="shared" si="9"/>
        <v>0.14907030498462207</v>
      </c>
      <c r="D31" s="8">
        <f t="shared" si="10"/>
        <v>-4.7442515528198448E-2</v>
      </c>
      <c r="E31" s="8">
        <f t="shared" si="11"/>
        <v>6.1959193873510926E-2</v>
      </c>
      <c r="F31" s="8">
        <f t="shared" si="12"/>
        <v>-0.10997063068789256</v>
      </c>
      <c r="G31" s="8">
        <f t="shared" si="13"/>
        <v>4.3746996713945357E-2</v>
      </c>
      <c r="H31" s="8">
        <f t="shared" si="14"/>
        <v>-6.2546133371542328E-2</v>
      </c>
      <c r="J31" s="7" t="s">
        <v>38</v>
      </c>
      <c r="K31" s="7">
        <f t="shared" si="15"/>
        <v>0.36853382470497381</v>
      </c>
      <c r="L31" s="7">
        <f t="shared" si="16"/>
        <v>0.41312841913055987</v>
      </c>
      <c r="M31" s="7">
        <f t="shared" si="17"/>
        <v>0.38830192258186896</v>
      </c>
      <c r="N31" s="7">
        <f t="shared" si="18"/>
        <v>0.42731790523363566</v>
      </c>
      <c r="O31" s="7">
        <f t="shared" si="19"/>
        <v>0.39243481092884908</v>
      </c>
      <c r="P31" s="7">
        <f t="shared" si="20"/>
        <v>0.41655587852137876</v>
      </c>
    </row>
    <row r="32" spans="2:16" x14ac:dyDescent="0.3">
      <c r="J32" s="11" t="s">
        <v>114</v>
      </c>
      <c r="K32" s="9">
        <f>SUM(K18:K31)</f>
        <v>0.86935992521034589</v>
      </c>
      <c r="L32" s="9">
        <f t="shared" ref="L32:P32" si="21">SUM(L18:L31)</f>
        <v>0.92986507082053571</v>
      </c>
      <c r="M32" s="9">
        <f t="shared" si="21"/>
        <v>0.88414498474248915</v>
      </c>
      <c r="N32" s="9">
        <f t="shared" si="21"/>
        <v>1.2082849714646156</v>
      </c>
      <c r="O32" s="9">
        <f t="shared" si="21"/>
        <v>1.0290472071489847</v>
      </c>
      <c r="P32" s="9">
        <f t="shared" si="21"/>
        <v>1.2042400106460558</v>
      </c>
    </row>
    <row r="33" spans="10:16" x14ac:dyDescent="0.3">
      <c r="J33" s="12" t="s">
        <v>115</v>
      </c>
      <c r="K33" s="10">
        <f>1-K32</f>
        <v>0.13064007478965411</v>
      </c>
      <c r="L33" s="10">
        <f t="shared" ref="L33:P33" si="22">1-L32</f>
        <v>7.0134929179464289E-2</v>
      </c>
      <c r="M33" s="10">
        <f t="shared" si="22"/>
        <v>0.11585501525751085</v>
      </c>
      <c r="N33" s="10">
        <f t="shared" si="22"/>
        <v>-0.20828497146461555</v>
      </c>
      <c r="O33" s="10">
        <f t="shared" si="22"/>
        <v>-2.9047207148984677E-2</v>
      </c>
      <c r="P33" s="10">
        <f t="shared" si="22"/>
        <v>-0.20424001064605579</v>
      </c>
    </row>
  </sheetData>
  <sortState xmlns:xlrd2="http://schemas.microsoft.com/office/spreadsheetml/2017/richdata2" ref="A2:P15">
    <sortCondition ref="B1:B15"/>
  </sortState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6B6C3-20A2-47BB-8A79-9409E3924FC5}">
  <dimension ref="A1:P28"/>
  <sheetViews>
    <sheetView workbookViewId="0">
      <selection activeCell="J2" sqref="J2:P2"/>
    </sheetView>
  </sheetViews>
  <sheetFormatPr defaultRowHeight="14.4" x14ac:dyDescent="0.3"/>
  <sheetData>
    <row r="1" spans="1:16" ht="36.6" customHeight="1" x14ac:dyDescent="0.3">
      <c r="A1" s="1" t="s">
        <v>94</v>
      </c>
      <c r="B1" s="2" t="s">
        <v>95</v>
      </c>
      <c r="C1" s="3" t="s">
        <v>96</v>
      </c>
      <c r="D1" s="3" t="s">
        <v>97</v>
      </c>
      <c r="E1" s="3" t="s">
        <v>98</v>
      </c>
      <c r="F1" s="2" t="s">
        <v>99</v>
      </c>
      <c r="G1" s="3" t="s">
        <v>100</v>
      </c>
      <c r="H1" s="3" t="s">
        <v>101</v>
      </c>
      <c r="I1" s="4" t="s">
        <v>95</v>
      </c>
      <c r="J1" s="5" t="s">
        <v>95</v>
      </c>
      <c r="K1" s="6" t="s">
        <v>96</v>
      </c>
      <c r="L1" s="6" t="s">
        <v>97</v>
      </c>
      <c r="M1" s="6" t="s">
        <v>98</v>
      </c>
      <c r="N1" s="5" t="s">
        <v>99</v>
      </c>
      <c r="O1" s="6" t="s">
        <v>100</v>
      </c>
      <c r="P1" s="6" t="s">
        <v>101</v>
      </c>
    </row>
    <row r="2" spans="1:16" x14ac:dyDescent="0.3">
      <c r="A2" s="8" t="s">
        <v>52</v>
      </c>
      <c r="B2" s="8">
        <v>8.9576824765691572E-3</v>
      </c>
      <c r="C2" s="8">
        <v>4.2253521126760563E-2</v>
      </c>
      <c r="D2" s="8">
        <v>0</v>
      </c>
      <c r="E2" s="8">
        <v>5.7142857142857141E-2</v>
      </c>
      <c r="F2" s="8">
        <v>1.7543859649122806E-2</v>
      </c>
      <c r="G2" s="8">
        <v>0</v>
      </c>
      <c r="H2" s="8">
        <v>0</v>
      </c>
      <c r="I2" s="8">
        <v>8.9576824765691572E-3</v>
      </c>
      <c r="J2" s="8">
        <v>8.9576824765691572E-3</v>
      </c>
      <c r="K2" s="8">
        <v>4.2253521126760563E-2</v>
      </c>
      <c r="L2" s="8">
        <v>0</v>
      </c>
      <c r="M2" s="8">
        <v>5.7142857142857141E-2</v>
      </c>
      <c r="N2" s="8">
        <v>1.7543859649122806E-2</v>
      </c>
      <c r="O2" s="8">
        <v>0</v>
      </c>
      <c r="P2" s="8">
        <v>0</v>
      </c>
    </row>
    <row r="3" spans="1:16" x14ac:dyDescent="0.3">
      <c r="A3" s="8" t="s">
        <v>60</v>
      </c>
      <c r="B3" s="8">
        <v>1.7262141437091736E-2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2.6219823913660893E-2</v>
      </c>
      <c r="J3" s="8">
        <f>J2+B3</f>
        <v>2.6219823913660893E-2</v>
      </c>
      <c r="K3" s="8">
        <f>K2+C3</f>
        <v>4.2253521126760563E-2</v>
      </c>
      <c r="L3" s="8">
        <f t="shared" ref="L3:P12" si="0">L2+D3</f>
        <v>0</v>
      </c>
      <c r="M3" s="8">
        <f t="shared" si="0"/>
        <v>5.7142857142857141E-2</v>
      </c>
      <c r="N3" s="8">
        <f t="shared" si="0"/>
        <v>1.7543859649122806E-2</v>
      </c>
      <c r="O3" s="8">
        <f t="shared" si="0"/>
        <v>0</v>
      </c>
      <c r="P3" s="8">
        <f t="shared" si="0"/>
        <v>0</v>
      </c>
    </row>
    <row r="4" spans="1:16" x14ac:dyDescent="0.3">
      <c r="A4" s="8" t="s">
        <v>61</v>
      </c>
      <c r="B4" s="8">
        <v>2.0278330019880716E-2</v>
      </c>
      <c r="C4" s="8">
        <v>4.2253521126760563E-2</v>
      </c>
      <c r="D4" s="8">
        <v>8.8888888888888892E-2</v>
      </c>
      <c r="E4" s="8">
        <v>0</v>
      </c>
      <c r="F4" s="8">
        <v>1.7543859649122806E-2</v>
      </c>
      <c r="G4" s="8">
        <v>0</v>
      </c>
      <c r="H4" s="8">
        <v>0</v>
      </c>
      <c r="I4" s="8">
        <v>4.6498153933541606E-2</v>
      </c>
      <c r="J4" s="8">
        <f t="shared" ref="J4:K12" si="1">J3+B4</f>
        <v>4.6498153933541606E-2</v>
      </c>
      <c r="K4" s="8">
        <f t="shared" si="1"/>
        <v>8.4507042253521125E-2</v>
      </c>
      <c r="L4" s="8">
        <f t="shared" si="0"/>
        <v>8.8888888888888892E-2</v>
      </c>
      <c r="M4" s="8">
        <f t="shared" si="0"/>
        <v>5.7142857142857141E-2</v>
      </c>
      <c r="N4" s="8">
        <f t="shared" si="0"/>
        <v>3.5087719298245612E-2</v>
      </c>
      <c r="O4" s="8">
        <f t="shared" si="0"/>
        <v>0</v>
      </c>
      <c r="P4" s="8">
        <f t="shared" si="0"/>
        <v>0</v>
      </c>
    </row>
    <row r="5" spans="1:16" x14ac:dyDescent="0.3">
      <c r="A5" s="8" t="s">
        <v>58</v>
      </c>
      <c r="B5" s="8">
        <v>2.6401590457256461E-2</v>
      </c>
      <c r="C5" s="8">
        <v>0</v>
      </c>
      <c r="D5" s="8">
        <v>2.2222222222222223E-2</v>
      </c>
      <c r="E5" s="8">
        <v>2.8571428571428571E-2</v>
      </c>
      <c r="F5" s="8">
        <v>5.2631578947368418E-2</v>
      </c>
      <c r="G5" s="8">
        <v>0.12</v>
      </c>
      <c r="H5" s="8">
        <v>0.14814814814814814</v>
      </c>
      <c r="I5" s="8">
        <v>7.2899744390798063E-2</v>
      </c>
      <c r="J5" s="8">
        <f t="shared" si="1"/>
        <v>7.2899744390798063E-2</v>
      </c>
      <c r="K5" s="8">
        <f t="shared" si="1"/>
        <v>8.4507042253521125E-2</v>
      </c>
      <c r="L5" s="8">
        <f t="shared" si="0"/>
        <v>0.11111111111111112</v>
      </c>
      <c r="M5" s="8">
        <f t="shared" si="0"/>
        <v>8.5714285714285715E-2</v>
      </c>
      <c r="N5" s="8">
        <f t="shared" si="0"/>
        <v>8.771929824561403E-2</v>
      </c>
      <c r="O5" s="8">
        <f t="shared" si="0"/>
        <v>0.12</v>
      </c>
      <c r="P5" s="8">
        <f t="shared" si="0"/>
        <v>0.14814814814814814</v>
      </c>
    </row>
    <row r="6" spans="1:16" x14ac:dyDescent="0.3">
      <c r="A6" s="8" t="s">
        <v>59</v>
      </c>
      <c r="B6" s="8">
        <v>2.7026412950866233E-2</v>
      </c>
      <c r="C6" s="8">
        <v>0.11267605633802817</v>
      </c>
      <c r="D6" s="8">
        <v>0.1111111111111111</v>
      </c>
      <c r="E6" s="8">
        <v>5.7142857142857141E-2</v>
      </c>
      <c r="F6" s="8">
        <v>8.771929824561403E-2</v>
      </c>
      <c r="G6" s="8">
        <v>2.6666666666666668E-2</v>
      </c>
      <c r="H6" s="8">
        <v>0</v>
      </c>
      <c r="I6" s="8">
        <v>9.9926157341664296E-2</v>
      </c>
      <c r="J6" s="8">
        <f t="shared" si="1"/>
        <v>9.9926157341664296E-2</v>
      </c>
      <c r="K6" s="8">
        <f t="shared" si="1"/>
        <v>0.19718309859154931</v>
      </c>
      <c r="L6" s="8">
        <f t="shared" si="0"/>
        <v>0.22222222222222221</v>
      </c>
      <c r="M6" s="8">
        <f t="shared" si="0"/>
        <v>0.14285714285714285</v>
      </c>
      <c r="N6" s="8">
        <f t="shared" si="0"/>
        <v>0.17543859649122806</v>
      </c>
      <c r="O6" s="8">
        <f t="shared" si="0"/>
        <v>0.14666666666666667</v>
      </c>
      <c r="P6" s="8">
        <f t="shared" si="0"/>
        <v>0.14814814814814814</v>
      </c>
    </row>
    <row r="7" spans="1:16" x14ac:dyDescent="0.3">
      <c r="A7" s="8" t="s">
        <v>53</v>
      </c>
      <c r="B7" s="8">
        <v>3.0167566032377167E-2</v>
      </c>
      <c r="C7" s="8">
        <v>2.8169014084507043E-2</v>
      </c>
      <c r="D7" s="8">
        <v>4.4444444444444446E-2</v>
      </c>
      <c r="E7" s="8">
        <v>2.8571428571428571E-2</v>
      </c>
      <c r="F7" s="8">
        <v>0</v>
      </c>
      <c r="G7" s="8">
        <v>0.04</v>
      </c>
      <c r="H7" s="8">
        <v>0</v>
      </c>
      <c r="I7" s="8">
        <v>0.13009372337404146</v>
      </c>
      <c r="J7" s="8">
        <f t="shared" si="1"/>
        <v>0.13009372337404146</v>
      </c>
      <c r="K7" s="8">
        <f t="shared" si="1"/>
        <v>0.22535211267605634</v>
      </c>
      <c r="L7" s="8">
        <f t="shared" si="0"/>
        <v>0.26666666666666666</v>
      </c>
      <c r="M7" s="8">
        <f t="shared" si="0"/>
        <v>0.17142857142857143</v>
      </c>
      <c r="N7" s="8">
        <f t="shared" si="0"/>
        <v>0.17543859649122806</v>
      </c>
      <c r="O7" s="8">
        <f t="shared" si="0"/>
        <v>0.18666666666666668</v>
      </c>
      <c r="P7" s="8">
        <f t="shared" si="0"/>
        <v>0.14814814814814814</v>
      </c>
    </row>
    <row r="8" spans="1:16" x14ac:dyDescent="0.3">
      <c r="A8" s="8" t="s">
        <v>57</v>
      </c>
      <c r="B8" s="8">
        <v>3.2627094575404712E-2</v>
      </c>
      <c r="C8" s="8">
        <v>0</v>
      </c>
      <c r="D8" s="8">
        <v>0</v>
      </c>
      <c r="E8" s="8">
        <v>2.8571428571428571E-2</v>
      </c>
      <c r="F8" s="8">
        <v>0</v>
      </c>
      <c r="G8" s="8">
        <v>0</v>
      </c>
      <c r="H8" s="8">
        <v>0</v>
      </c>
      <c r="I8" s="8">
        <v>0.16272081794944618</v>
      </c>
      <c r="J8" s="8">
        <f t="shared" si="1"/>
        <v>0.16272081794944618</v>
      </c>
      <c r="K8" s="8">
        <f t="shared" si="1"/>
        <v>0.22535211267605634</v>
      </c>
      <c r="L8" s="8">
        <f t="shared" si="0"/>
        <v>0.26666666666666666</v>
      </c>
      <c r="M8" s="8">
        <f t="shared" si="0"/>
        <v>0.2</v>
      </c>
      <c r="N8" s="8">
        <f t="shared" si="0"/>
        <v>0.17543859649122806</v>
      </c>
      <c r="O8" s="8">
        <f t="shared" si="0"/>
        <v>0.18666666666666668</v>
      </c>
      <c r="P8" s="8">
        <f t="shared" si="0"/>
        <v>0.14814814814814814</v>
      </c>
    </row>
    <row r="9" spans="1:16" x14ac:dyDescent="0.3">
      <c r="A9" s="8" t="s">
        <v>55</v>
      </c>
      <c r="B9" s="8">
        <v>6.1448452144277195E-2</v>
      </c>
      <c r="C9" s="8">
        <v>7.0422535211267609E-2</v>
      </c>
      <c r="D9" s="8">
        <v>2.2222222222222223E-2</v>
      </c>
      <c r="E9" s="8">
        <v>8.5714285714285715E-2</v>
      </c>
      <c r="F9" s="8">
        <v>3.5087719298245612E-2</v>
      </c>
      <c r="G9" s="8">
        <v>2.6666666666666668E-2</v>
      </c>
      <c r="H9" s="8">
        <v>3.7037037037037035E-2</v>
      </c>
      <c r="I9" s="8">
        <v>0.22416927009372337</v>
      </c>
      <c r="J9" s="8">
        <f t="shared" si="1"/>
        <v>0.22416927009372337</v>
      </c>
      <c r="K9" s="8">
        <f t="shared" si="1"/>
        <v>0.29577464788732394</v>
      </c>
      <c r="L9" s="8">
        <f t="shared" si="0"/>
        <v>0.28888888888888886</v>
      </c>
      <c r="M9" s="8">
        <f t="shared" si="0"/>
        <v>0.2857142857142857</v>
      </c>
      <c r="N9" s="8">
        <f t="shared" si="0"/>
        <v>0.21052631578947367</v>
      </c>
      <c r="O9" s="8">
        <f t="shared" si="0"/>
        <v>0.21333333333333335</v>
      </c>
      <c r="P9" s="8">
        <f t="shared" si="0"/>
        <v>0.18518518518518517</v>
      </c>
    </row>
    <row r="10" spans="1:16" x14ac:dyDescent="0.3">
      <c r="A10" s="8" t="s">
        <v>54</v>
      </c>
      <c r="B10" s="8">
        <v>6.4657767679636463E-2</v>
      </c>
      <c r="C10" s="8">
        <v>2.8169014084507043E-2</v>
      </c>
      <c r="D10" s="8">
        <v>4.4444444444444446E-2</v>
      </c>
      <c r="E10" s="8">
        <v>2.8571428571428571E-2</v>
      </c>
      <c r="F10" s="8">
        <v>3.5087719298245612E-2</v>
      </c>
      <c r="G10" s="8">
        <v>0.44</v>
      </c>
      <c r="H10" s="8">
        <v>0.29629629629629628</v>
      </c>
      <c r="I10" s="8">
        <v>0.28882703777335983</v>
      </c>
      <c r="J10" s="8">
        <f t="shared" si="1"/>
        <v>0.28882703777335983</v>
      </c>
      <c r="K10" s="8">
        <f t="shared" si="1"/>
        <v>0.323943661971831</v>
      </c>
      <c r="L10" s="8">
        <f t="shared" si="0"/>
        <v>0.33333333333333331</v>
      </c>
      <c r="M10" s="8">
        <f t="shared" si="0"/>
        <v>0.31428571428571428</v>
      </c>
      <c r="N10" s="8">
        <f t="shared" si="0"/>
        <v>0.24561403508771928</v>
      </c>
      <c r="O10" s="8">
        <f t="shared" si="0"/>
        <v>0.65333333333333332</v>
      </c>
      <c r="P10" s="8">
        <f t="shared" si="0"/>
        <v>0.48148148148148145</v>
      </c>
    </row>
    <row r="11" spans="1:16" x14ac:dyDescent="0.3">
      <c r="A11" s="8" t="s">
        <v>56</v>
      </c>
      <c r="B11" s="8">
        <v>8.636750923033229E-2</v>
      </c>
      <c r="C11" s="8">
        <v>0.15492957746478872</v>
      </c>
      <c r="D11" s="8">
        <v>0.24444444444444444</v>
      </c>
      <c r="E11" s="8">
        <v>0.14285714285714285</v>
      </c>
      <c r="F11" s="8">
        <v>0.2982456140350877</v>
      </c>
      <c r="G11" s="8">
        <v>0.18666666666666668</v>
      </c>
      <c r="H11" s="8">
        <v>0.25925925925925924</v>
      </c>
      <c r="I11" s="8">
        <v>0.37519454700369215</v>
      </c>
      <c r="J11" s="8">
        <f t="shared" si="1"/>
        <v>0.37519454700369215</v>
      </c>
      <c r="K11" s="8">
        <f t="shared" si="1"/>
        <v>0.47887323943661975</v>
      </c>
      <c r="L11" s="8">
        <f t="shared" si="0"/>
        <v>0.57777777777777772</v>
      </c>
      <c r="M11" s="8">
        <f t="shared" si="0"/>
        <v>0.45714285714285713</v>
      </c>
      <c r="N11" s="8">
        <f t="shared" si="0"/>
        <v>0.54385964912280693</v>
      </c>
      <c r="O11" s="8">
        <f t="shared" si="0"/>
        <v>0.84</v>
      </c>
      <c r="P11" s="8">
        <f t="shared" si="0"/>
        <v>0.7407407407407407</v>
      </c>
    </row>
    <row r="12" spans="1:16" x14ac:dyDescent="0.3">
      <c r="A12" s="8" t="s">
        <v>51</v>
      </c>
      <c r="B12" s="8">
        <v>0.62480545299630785</v>
      </c>
      <c r="C12" s="8">
        <v>0.52112676056338025</v>
      </c>
      <c r="D12" s="8">
        <v>0.42222222222222222</v>
      </c>
      <c r="E12" s="8">
        <v>0.54285714285714282</v>
      </c>
      <c r="F12" s="8">
        <v>0.45614035087719296</v>
      </c>
      <c r="G12" s="8">
        <v>0.16</v>
      </c>
      <c r="H12" s="8">
        <v>0.25925925925925924</v>
      </c>
      <c r="I12" s="8">
        <v>1</v>
      </c>
      <c r="J12" s="8">
        <f t="shared" si="1"/>
        <v>1</v>
      </c>
      <c r="K12" s="8">
        <f t="shared" si="1"/>
        <v>1</v>
      </c>
      <c r="L12" s="8">
        <f t="shared" si="0"/>
        <v>1</v>
      </c>
      <c r="M12" s="8">
        <f t="shared" si="0"/>
        <v>1</v>
      </c>
      <c r="N12" s="8">
        <f t="shared" si="0"/>
        <v>0.99999999999999989</v>
      </c>
      <c r="O12" s="8">
        <f t="shared" si="0"/>
        <v>1</v>
      </c>
      <c r="P12" s="8">
        <f t="shared" si="0"/>
        <v>1</v>
      </c>
    </row>
    <row r="15" spans="1:16" ht="28.8" x14ac:dyDescent="0.3">
      <c r="B15" s="1" t="s">
        <v>94</v>
      </c>
      <c r="C15" s="3" t="s">
        <v>102</v>
      </c>
      <c r="D15" s="3" t="s">
        <v>103</v>
      </c>
      <c r="E15" s="3" t="s">
        <v>104</v>
      </c>
      <c r="F15" s="3" t="s">
        <v>105</v>
      </c>
      <c r="G15" s="3" t="s">
        <v>106</v>
      </c>
      <c r="H15" s="3" t="s">
        <v>107</v>
      </c>
      <c r="J15" s="7"/>
      <c r="K15" s="9" t="s">
        <v>108</v>
      </c>
      <c r="L15" s="9" t="s">
        <v>109</v>
      </c>
      <c r="M15" s="9" t="s">
        <v>110</v>
      </c>
      <c r="N15" s="9" t="s">
        <v>111</v>
      </c>
      <c r="O15" s="9" t="s">
        <v>112</v>
      </c>
      <c r="P15" s="9" t="s">
        <v>113</v>
      </c>
    </row>
    <row r="16" spans="1:16" x14ac:dyDescent="0.3">
      <c r="B16" s="8" t="s">
        <v>52</v>
      </c>
      <c r="C16" s="8">
        <f>C2-B2</f>
        <v>3.3295838650191409E-2</v>
      </c>
      <c r="D16" s="8">
        <f>D2-B2</f>
        <v>-8.9576824765691572E-3</v>
      </c>
      <c r="E16" s="8">
        <f>E2-B2</f>
        <v>4.818517466628798E-2</v>
      </c>
      <c r="F16" s="8">
        <f>F2-B2</f>
        <v>8.5861771725536488E-3</v>
      </c>
      <c r="G16" s="8">
        <f>G2-B2</f>
        <v>-8.9576824765691572E-3</v>
      </c>
      <c r="H16" s="8">
        <f>H2-B2</f>
        <v>-8.9576824765691572E-3</v>
      </c>
      <c r="J16" s="8" t="s">
        <v>52</v>
      </c>
      <c r="K16" s="7">
        <f>(J2-0) * ((K2+0))</f>
        <v>3.7849362577052777E-4</v>
      </c>
      <c r="L16" s="7">
        <f>(J2-0) * ((L2+0))</f>
        <v>0</v>
      </c>
      <c r="M16" s="7">
        <f>(J2-0) * ((M2+0))</f>
        <v>5.1186757008966606E-4</v>
      </c>
      <c r="N16" s="7">
        <f>(J2-0) * ((N2+0))</f>
        <v>1.5715232415033608E-4</v>
      </c>
      <c r="O16" s="7">
        <f>(J2-0) * ((O2+0))</f>
        <v>0</v>
      </c>
      <c r="P16" s="7">
        <f>(J2-0) * ((P2+0))</f>
        <v>0</v>
      </c>
    </row>
    <row r="17" spans="2:16" x14ac:dyDescent="0.3">
      <c r="B17" s="8" t="s">
        <v>60</v>
      </c>
      <c r="C17" s="8">
        <f t="shared" ref="C17:C26" si="2">C3-B3</f>
        <v>-1.7262141437091736E-2</v>
      </c>
      <c r="D17" s="8">
        <f t="shared" ref="D17:D26" si="3">D3-B3</f>
        <v>-1.7262141437091736E-2</v>
      </c>
      <c r="E17" s="8">
        <f t="shared" ref="E17:E26" si="4">E3-B3</f>
        <v>-1.7262141437091736E-2</v>
      </c>
      <c r="F17" s="8">
        <f t="shared" ref="F17:F26" si="5">F3-B3</f>
        <v>-1.7262141437091736E-2</v>
      </c>
      <c r="G17" s="8">
        <f t="shared" ref="G17:G26" si="6">G3-B3</f>
        <v>-1.7262141437091736E-2</v>
      </c>
      <c r="H17" s="8">
        <f t="shared" ref="H17:H26" si="7">H3-B3</f>
        <v>-1.7262141437091736E-2</v>
      </c>
      <c r="J17" s="8" t="s">
        <v>60</v>
      </c>
      <c r="K17" s="7">
        <f>(J3-J2) * ((K3+K2))</f>
        <v>1.4587725158105693E-3</v>
      </c>
      <c r="L17" s="7">
        <f>(J3-J2) * ((L3+L2))</f>
        <v>0</v>
      </c>
      <c r="M17" s="7">
        <f>(J3-J2) * ((M3+M2))</f>
        <v>1.9728161642390556E-3</v>
      </c>
      <c r="N17" s="7">
        <f>(J3-J2) * ((N3+N2))</f>
        <v>6.0568917323128898E-4</v>
      </c>
      <c r="O17" s="7">
        <f>(J3-J2) * ((O3+O2))</f>
        <v>0</v>
      </c>
      <c r="P17" s="7">
        <f>(J3-J2) * ((P3+P2))</f>
        <v>0</v>
      </c>
    </row>
    <row r="18" spans="2:16" x14ac:dyDescent="0.3">
      <c r="B18" s="8" t="s">
        <v>61</v>
      </c>
      <c r="C18" s="8">
        <f t="shared" si="2"/>
        <v>2.1975191106879847E-2</v>
      </c>
      <c r="D18" s="8">
        <f t="shared" si="3"/>
        <v>6.8610558869008173E-2</v>
      </c>
      <c r="E18" s="8">
        <f t="shared" si="4"/>
        <v>-2.0278330019880716E-2</v>
      </c>
      <c r="F18" s="8">
        <f t="shared" si="5"/>
        <v>-2.7344703707579097E-3</v>
      </c>
      <c r="G18" s="8">
        <f t="shared" si="6"/>
        <v>-2.0278330019880716E-2</v>
      </c>
      <c r="H18" s="8">
        <f t="shared" si="7"/>
        <v>-2.0278330019880716E-2</v>
      </c>
      <c r="J18" s="8" t="s">
        <v>61</v>
      </c>
      <c r="K18" s="7">
        <f t="shared" ref="K18:K26" si="8">(J4-J3) * ((K4+K3))</f>
        <v>2.5704925377313579E-3</v>
      </c>
      <c r="L18" s="7">
        <f t="shared" ref="L18:L26" si="9">(J4-J3) * ((L4+L3))</f>
        <v>1.8025182239893968E-3</v>
      </c>
      <c r="M18" s="7">
        <f t="shared" ref="M18:M26" si="10">(J4-J3) * ((M4+M3))</f>
        <v>2.3175234308435099E-3</v>
      </c>
      <c r="N18" s="7">
        <f t="shared" ref="N18:N26" si="11">(J4-J3) * ((N4+N3))</f>
        <v>1.0672805273621428E-3</v>
      </c>
      <c r="O18" s="7">
        <f t="shared" ref="O18:O26" si="12">(J4-J3) * ((O4+O3))</f>
        <v>0</v>
      </c>
      <c r="P18" s="7">
        <f t="shared" ref="P18:P26" si="13">(J4-J3) * ((P4+P3))</f>
        <v>0</v>
      </c>
    </row>
    <row r="19" spans="2:16" x14ac:dyDescent="0.3">
      <c r="B19" s="8" t="s">
        <v>58</v>
      </c>
      <c r="C19" s="8">
        <f t="shared" si="2"/>
        <v>-2.6401590457256461E-2</v>
      </c>
      <c r="D19" s="8">
        <f t="shared" si="3"/>
        <v>-4.1793682350342379E-3</v>
      </c>
      <c r="E19" s="8">
        <f t="shared" si="4"/>
        <v>2.1698381141721096E-3</v>
      </c>
      <c r="F19" s="8">
        <f t="shared" si="5"/>
        <v>2.6229988490111957E-2</v>
      </c>
      <c r="G19" s="8">
        <f t="shared" si="6"/>
        <v>9.3598409542743538E-2</v>
      </c>
      <c r="H19" s="8">
        <f t="shared" si="7"/>
        <v>0.12174655769089168</v>
      </c>
      <c r="J19" s="8" t="s">
        <v>58</v>
      </c>
      <c r="K19" s="7">
        <f t="shared" si="8"/>
        <v>4.4622406406630635E-3</v>
      </c>
      <c r="L19" s="7">
        <f t="shared" si="9"/>
        <v>5.2803180914512918E-3</v>
      </c>
      <c r="M19" s="7">
        <f t="shared" si="10"/>
        <v>3.7716557796080652E-3</v>
      </c>
      <c r="N19" s="7">
        <f t="shared" si="11"/>
        <v>3.2423005824700913E-3</v>
      </c>
      <c r="O19" s="7">
        <f t="shared" si="12"/>
        <v>3.1681908548707748E-3</v>
      </c>
      <c r="P19" s="7">
        <f t="shared" si="13"/>
        <v>3.9113467344083636E-3</v>
      </c>
    </row>
    <row r="20" spans="2:16" x14ac:dyDescent="0.3">
      <c r="B20" s="8" t="s">
        <v>59</v>
      </c>
      <c r="C20" s="8">
        <f t="shared" si="2"/>
        <v>8.5649643387161939E-2</v>
      </c>
      <c r="D20" s="8">
        <f t="shared" si="3"/>
        <v>8.4084698160244872E-2</v>
      </c>
      <c r="E20" s="8">
        <f t="shared" si="4"/>
        <v>3.0116444191990908E-2</v>
      </c>
      <c r="F20" s="8">
        <f t="shared" si="5"/>
        <v>6.0692885294747798E-2</v>
      </c>
      <c r="G20" s="8">
        <f t="shared" si="6"/>
        <v>-3.5974628419956425E-4</v>
      </c>
      <c r="H20" s="8">
        <f t="shared" si="7"/>
        <v>-2.7026412950866233E-2</v>
      </c>
      <c r="J20" s="8" t="s">
        <v>59</v>
      </c>
      <c r="K20" s="7">
        <f t="shared" si="8"/>
        <v>7.6130740706665447E-3</v>
      </c>
      <c r="L20" s="7">
        <f t="shared" si="9"/>
        <v>9.0088043169554103E-3</v>
      </c>
      <c r="M20" s="7">
        <f t="shared" si="10"/>
        <v>6.177465817340853E-3</v>
      </c>
      <c r="N20" s="7">
        <f t="shared" si="11"/>
        <v>7.1122139344384815E-3</v>
      </c>
      <c r="O20" s="7">
        <f t="shared" si="12"/>
        <v>7.2070434535643282E-3</v>
      </c>
      <c r="P20" s="7">
        <f t="shared" si="13"/>
        <v>8.0078260595159208E-3</v>
      </c>
    </row>
    <row r="21" spans="2:16" x14ac:dyDescent="0.3">
      <c r="B21" s="8" t="s">
        <v>53</v>
      </c>
      <c r="C21" s="8">
        <f t="shared" si="2"/>
        <v>-1.9985519478701239E-3</v>
      </c>
      <c r="D21" s="8">
        <f t="shared" si="3"/>
        <v>1.4276878412067279E-2</v>
      </c>
      <c r="E21" s="8">
        <f t="shared" si="4"/>
        <v>-1.5961374609485962E-3</v>
      </c>
      <c r="F21" s="8">
        <f t="shared" si="5"/>
        <v>-3.0167566032377167E-2</v>
      </c>
      <c r="G21" s="8">
        <f t="shared" si="6"/>
        <v>9.8324339676228341E-3</v>
      </c>
      <c r="H21" s="8">
        <f t="shared" si="7"/>
        <v>-3.0167566032377167E-2</v>
      </c>
      <c r="J21" s="8" t="s">
        <v>53</v>
      </c>
      <c r="K21" s="7">
        <f t="shared" si="8"/>
        <v>1.2746858886919928E-2</v>
      </c>
      <c r="L21" s="7">
        <f t="shared" si="9"/>
        <v>1.4748587838051058E-2</v>
      </c>
      <c r="M21" s="7">
        <f t="shared" si="10"/>
        <v>9.481235038747109E-3</v>
      </c>
      <c r="N21" s="7">
        <f t="shared" si="11"/>
        <v>1.0585110888553391E-2</v>
      </c>
      <c r="O21" s="7">
        <f t="shared" si="12"/>
        <v>1.0055855344125722E-2</v>
      </c>
      <c r="P21" s="7">
        <f t="shared" si="13"/>
        <v>8.9385380836673068E-3</v>
      </c>
    </row>
    <row r="22" spans="2:16" x14ac:dyDescent="0.3">
      <c r="B22" s="8" t="s">
        <v>57</v>
      </c>
      <c r="C22" s="8">
        <f t="shared" si="2"/>
        <v>-3.2627094575404712E-2</v>
      </c>
      <c r="D22" s="8">
        <f t="shared" si="3"/>
        <v>-3.2627094575404712E-2</v>
      </c>
      <c r="E22" s="8">
        <f t="shared" si="4"/>
        <v>-4.0556660039761418E-3</v>
      </c>
      <c r="F22" s="8">
        <f t="shared" si="5"/>
        <v>-3.2627094575404712E-2</v>
      </c>
      <c r="G22" s="8">
        <f t="shared" si="6"/>
        <v>-3.2627094575404712E-2</v>
      </c>
      <c r="H22" s="8">
        <f t="shared" si="7"/>
        <v>-3.2627094575404712E-2</v>
      </c>
      <c r="J22" s="8" t="s">
        <v>57</v>
      </c>
      <c r="K22" s="7">
        <f t="shared" si="8"/>
        <v>1.4705169386097902E-2</v>
      </c>
      <c r="L22" s="7">
        <f t="shared" si="9"/>
        <v>1.7401117106882517E-2</v>
      </c>
      <c r="M22" s="7">
        <f t="shared" si="10"/>
        <v>1.2118635128007468E-2</v>
      </c>
      <c r="N22" s="7">
        <f t="shared" si="11"/>
        <v>1.1448103359791129E-2</v>
      </c>
      <c r="O22" s="7">
        <f t="shared" si="12"/>
        <v>1.2180781974817763E-2</v>
      </c>
      <c r="P22" s="7">
        <f t="shared" si="13"/>
        <v>9.6672872816013986E-3</v>
      </c>
    </row>
    <row r="23" spans="2:16" x14ac:dyDescent="0.3">
      <c r="B23" s="8" t="s">
        <v>55</v>
      </c>
      <c r="C23" s="8">
        <f t="shared" si="2"/>
        <v>8.974083066990414E-3</v>
      </c>
      <c r="D23" s="8">
        <f t="shared" si="3"/>
        <v>-3.9226229922054975E-2</v>
      </c>
      <c r="E23" s="8">
        <f t="shared" si="4"/>
        <v>2.426583357000852E-2</v>
      </c>
      <c r="F23" s="8">
        <f t="shared" si="5"/>
        <v>-2.6360732846031583E-2</v>
      </c>
      <c r="G23" s="8">
        <f t="shared" si="6"/>
        <v>-3.478178547761053E-2</v>
      </c>
      <c r="H23" s="8">
        <f t="shared" si="7"/>
        <v>-2.441141510724016E-2</v>
      </c>
      <c r="J23" s="8" t="s">
        <v>55</v>
      </c>
      <c r="K23" s="7">
        <f t="shared" si="8"/>
        <v>3.2022432807581068E-2</v>
      </c>
      <c r="L23" s="7">
        <f t="shared" si="9"/>
        <v>3.4138028969042881E-2</v>
      </c>
      <c r="M23" s="7">
        <f t="shared" si="10"/>
        <v>2.9846391041506062E-2</v>
      </c>
      <c r="N23" s="7">
        <f t="shared" si="11"/>
        <v>2.3716946441650844E-2</v>
      </c>
      <c r="O23" s="7">
        <f t="shared" si="12"/>
        <v>2.4579380857710876E-2</v>
      </c>
      <c r="P23" s="7">
        <f t="shared" si="13"/>
        <v>2.0482817381425728E-2</v>
      </c>
    </row>
    <row r="24" spans="2:16" x14ac:dyDescent="0.3">
      <c r="B24" s="8" t="s">
        <v>54</v>
      </c>
      <c r="C24" s="8">
        <f t="shared" si="2"/>
        <v>-3.6488753595129417E-2</v>
      </c>
      <c r="D24" s="8">
        <f t="shared" si="3"/>
        <v>-2.0213323235192017E-2</v>
      </c>
      <c r="E24" s="8">
        <f t="shared" si="4"/>
        <v>-3.6086339108207896E-2</v>
      </c>
      <c r="F24" s="8">
        <f t="shared" si="5"/>
        <v>-2.9570048381390851E-2</v>
      </c>
      <c r="G24" s="8">
        <f t="shared" si="6"/>
        <v>0.37534223232036357</v>
      </c>
      <c r="H24" s="8">
        <f t="shared" si="7"/>
        <v>0.23163852861665982</v>
      </c>
      <c r="J24" s="8" t="s">
        <v>54</v>
      </c>
      <c r="K24" s="7">
        <f t="shared" si="8"/>
        <v>4.0069602505690208E-2</v>
      </c>
      <c r="L24" s="7">
        <f t="shared" si="9"/>
        <v>4.0231499889551575E-2</v>
      </c>
      <c r="M24" s="7">
        <f t="shared" si="10"/>
        <v>3.8794660607781875E-2</v>
      </c>
      <c r="N24" s="7">
        <f t="shared" si="11"/>
        <v>2.9493016836325402E-2</v>
      </c>
      <c r="O24" s="7">
        <f t="shared" si="12"/>
        <v>5.6036731989018269E-2</v>
      </c>
      <c r="P24" s="7">
        <f t="shared" si="13"/>
        <v>4.3105178453090975E-2</v>
      </c>
    </row>
    <row r="25" spans="2:16" x14ac:dyDescent="0.3">
      <c r="B25" s="8" t="s">
        <v>56</v>
      </c>
      <c r="C25" s="8">
        <f t="shared" si="2"/>
        <v>6.856206823445643E-2</v>
      </c>
      <c r="D25" s="8">
        <f t="shared" si="3"/>
        <v>0.15807693521411215</v>
      </c>
      <c r="E25" s="8">
        <f t="shared" si="4"/>
        <v>5.6489633626810559E-2</v>
      </c>
      <c r="F25" s="8">
        <f t="shared" si="5"/>
        <v>0.21187810480475541</v>
      </c>
      <c r="G25" s="8">
        <f t="shared" si="6"/>
        <v>0.10029915743633439</v>
      </c>
      <c r="H25" s="8">
        <f t="shared" si="7"/>
        <v>0.17289175002892695</v>
      </c>
      <c r="J25" s="8" t="s">
        <v>56</v>
      </c>
      <c r="K25" s="7">
        <f t="shared" si="8"/>
        <v>6.9337296142661153E-2</v>
      </c>
      <c r="L25" s="7">
        <f t="shared" si="9"/>
        <v>7.8690397298747217E-2</v>
      </c>
      <c r="M25" s="7">
        <f t="shared" si="10"/>
        <v>6.6626364263399213E-2</v>
      </c>
      <c r="N25" s="7">
        <f t="shared" si="11"/>
        <v>6.8184875708157081E-2</v>
      </c>
      <c r="O25" s="7">
        <f t="shared" si="12"/>
        <v>0.12897548045062959</v>
      </c>
      <c r="P25" s="7">
        <f t="shared" si="13"/>
        <v>0.10556028905929504</v>
      </c>
    </row>
    <row r="26" spans="2:16" x14ac:dyDescent="0.3">
      <c r="B26" s="8" t="s">
        <v>51</v>
      </c>
      <c r="C26" s="8">
        <f t="shared" si="2"/>
        <v>-0.1036786924329276</v>
      </c>
      <c r="D26" s="8">
        <f t="shared" si="3"/>
        <v>-0.20258323077408563</v>
      </c>
      <c r="E26" s="8">
        <f t="shared" si="4"/>
        <v>-8.1948310139165037E-2</v>
      </c>
      <c r="F26" s="8">
        <f t="shared" si="5"/>
        <v>-0.1686651021191149</v>
      </c>
      <c r="G26" s="8">
        <f t="shared" si="6"/>
        <v>-0.46480545299630782</v>
      </c>
      <c r="H26" s="8">
        <f t="shared" si="7"/>
        <v>-0.36554619373704861</v>
      </c>
      <c r="J26" s="8" t="s">
        <v>51</v>
      </c>
      <c r="K26" s="7">
        <f t="shared" si="8"/>
        <v>0.92400806429031446</v>
      </c>
      <c r="L26" s="7">
        <f t="shared" si="9"/>
        <v>0.98580415917195241</v>
      </c>
      <c r="M26" s="7">
        <f t="shared" si="10"/>
        <v>0.91043080293747713</v>
      </c>
      <c r="N26" s="7">
        <f t="shared" si="11"/>
        <v>0.96461192743289625</v>
      </c>
      <c r="O26" s="7">
        <f t="shared" si="12"/>
        <v>1.1496420335132063</v>
      </c>
      <c r="P26" s="7">
        <f t="shared" si="13"/>
        <v>1.087624307067647</v>
      </c>
    </row>
    <row r="27" spans="2:16" x14ac:dyDescent="0.3">
      <c r="J27" s="11" t="s">
        <v>114</v>
      </c>
      <c r="K27" s="9">
        <f>SUM(K16:K26)</f>
        <v>1.1093724974099068</v>
      </c>
      <c r="L27" s="9">
        <f t="shared" ref="L27:P27" si="14">SUM(L16:L26)</f>
        <v>1.1871054309066238</v>
      </c>
      <c r="M27" s="9">
        <f t="shared" si="14"/>
        <v>1.0820494177790401</v>
      </c>
      <c r="N27" s="9">
        <f t="shared" si="14"/>
        <v>1.1202246172090264</v>
      </c>
      <c r="O27" s="9">
        <f t="shared" si="14"/>
        <v>1.3918454984379436</v>
      </c>
      <c r="P27" s="9">
        <f t="shared" si="14"/>
        <v>1.2872975901206518</v>
      </c>
    </row>
    <row r="28" spans="2:16" x14ac:dyDescent="0.3">
      <c r="J28" s="12" t="s">
        <v>115</v>
      </c>
      <c r="K28" s="10">
        <f>1-K27</f>
        <v>-0.10937249740990684</v>
      </c>
      <c r="L28" s="10">
        <f t="shared" ref="L28:P28" si="15">1-L27</f>
        <v>-0.18710543090662379</v>
      </c>
      <c r="M28" s="10">
        <f t="shared" si="15"/>
        <v>-8.2049417779040068E-2</v>
      </c>
      <c r="N28" s="10">
        <f t="shared" si="15"/>
        <v>-0.12022461720902644</v>
      </c>
      <c r="O28" s="10">
        <f t="shared" si="15"/>
        <v>-0.39184549843794358</v>
      </c>
      <c r="P28" s="10">
        <f t="shared" si="15"/>
        <v>-0.28729759012065181</v>
      </c>
    </row>
  </sheetData>
  <sortState xmlns:xlrd2="http://schemas.microsoft.com/office/spreadsheetml/2017/richdata2" ref="A2:P13">
    <sortCondition ref="B1:B13"/>
  </sortState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07DA7-4046-449A-B96A-08860A0B576A}">
  <dimension ref="A1:P12"/>
  <sheetViews>
    <sheetView workbookViewId="0">
      <selection activeCell="J2" sqref="J2:P2"/>
    </sheetView>
  </sheetViews>
  <sheetFormatPr defaultRowHeight="14.4" x14ac:dyDescent="0.3"/>
  <sheetData>
    <row r="1" spans="1:16" ht="36.6" customHeight="1" x14ac:dyDescent="0.3">
      <c r="A1" s="1" t="s">
        <v>94</v>
      </c>
      <c r="B1" s="2" t="s">
        <v>95</v>
      </c>
      <c r="C1" s="3" t="s">
        <v>96</v>
      </c>
      <c r="D1" s="3" t="s">
        <v>97</v>
      </c>
      <c r="E1" s="3" t="s">
        <v>98</v>
      </c>
      <c r="F1" s="2" t="s">
        <v>99</v>
      </c>
      <c r="G1" s="3" t="s">
        <v>100</v>
      </c>
      <c r="H1" s="3" t="s">
        <v>101</v>
      </c>
      <c r="I1" s="4" t="s">
        <v>95</v>
      </c>
      <c r="J1" s="5" t="s">
        <v>95</v>
      </c>
      <c r="K1" s="6" t="s">
        <v>96</v>
      </c>
      <c r="L1" s="6" t="s">
        <v>97</v>
      </c>
      <c r="M1" s="6" t="s">
        <v>98</v>
      </c>
      <c r="N1" s="5" t="s">
        <v>99</v>
      </c>
      <c r="O1" s="6" t="s">
        <v>100</v>
      </c>
      <c r="P1" s="6" t="s">
        <v>101</v>
      </c>
    </row>
    <row r="2" spans="1:16" x14ac:dyDescent="0.3">
      <c r="A2" s="8" t="s">
        <v>63</v>
      </c>
      <c r="B2" s="8">
        <v>4.0679844086978889E-2</v>
      </c>
      <c r="C2" s="8">
        <v>0.2</v>
      </c>
      <c r="D2" s="8">
        <v>0.16666666666666666</v>
      </c>
      <c r="E2" s="8">
        <v>6.6666666666666666E-2</v>
      </c>
      <c r="F2" s="8">
        <v>0.109375</v>
      </c>
      <c r="G2" s="8">
        <v>0.15909090909090909</v>
      </c>
      <c r="H2" s="8">
        <v>0.17857142857142858</v>
      </c>
      <c r="I2" s="14">
        <v>4.0679844086978889E-2</v>
      </c>
      <c r="J2" s="8">
        <v>4.0679844086978889E-2</v>
      </c>
      <c r="K2" s="8">
        <v>0.2</v>
      </c>
      <c r="L2" s="8">
        <v>0.16666666666666666</v>
      </c>
      <c r="M2" s="8">
        <v>6.6666666666666666E-2</v>
      </c>
      <c r="N2" s="8">
        <v>0.109375</v>
      </c>
      <c r="O2" s="8">
        <v>0.15909090909090909</v>
      </c>
      <c r="P2" s="8">
        <v>0.17857142857142858</v>
      </c>
    </row>
    <row r="3" spans="1:16" x14ac:dyDescent="0.3">
      <c r="A3" s="8" t="s">
        <v>64</v>
      </c>
      <c r="B3" s="8">
        <v>4.2104430066678536E-2</v>
      </c>
      <c r="C3" s="8">
        <v>3.0769230769230771E-2</v>
      </c>
      <c r="D3" s="8">
        <v>0.1111111111111111</v>
      </c>
      <c r="E3" s="8">
        <v>0</v>
      </c>
      <c r="F3" s="8">
        <v>9.375E-2</v>
      </c>
      <c r="G3" s="8">
        <v>0.15909090909090909</v>
      </c>
      <c r="H3" s="8">
        <v>0.10714285714285714</v>
      </c>
      <c r="I3" s="14">
        <v>8.2784274153657425E-2</v>
      </c>
      <c r="J3" s="8">
        <f t="shared" ref="J3:P4" si="0">J2+B3</f>
        <v>8.2784274153657425E-2</v>
      </c>
      <c r="K3" s="8">
        <f t="shared" si="0"/>
        <v>0.23076923076923078</v>
      </c>
      <c r="L3" s="8">
        <f t="shared" si="0"/>
        <v>0.27777777777777779</v>
      </c>
      <c r="M3" s="8">
        <f t="shared" si="0"/>
        <v>6.6666666666666666E-2</v>
      </c>
      <c r="N3" s="8">
        <f t="shared" si="0"/>
        <v>0.203125</v>
      </c>
      <c r="O3" s="8">
        <f t="shared" si="0"/>
        <v>0.31818181818181818</v>
      </c>
      <c r="P3" s="8">
        <f t="shared" si="0"/>
        <v>0.2857142857142857</v>
      </c>
    </row>
    <row r="4" spans="1:16" x14ac:dyDescent="0.3">
      <c r="A4" s="8" t="s">
        <v>62</v>
      </c>
      <c r="B4" s="8">
        <v>0.91721572584634259</v>
      </c>
      <c r="C4" s="8">
        <v>0.76923076923076927</v>
      </c>
      <c r="D4" s="8">
        <v>0.72222222222222221</v>
      </c>
      <c r="E4" s="8">
        <v>0.93333333333333335</v>
      </c>
      <c r="F4" s="8">
        <v>0.796875</v>
      </c>
      <c r="G4" s="8">
        <v>0.68181818181818177</v>
      </c>
      <c r="H4" s="8">
        <v>0.7142857142857143</v>
      </c>
      <c r="I4" s="14">
        <v>1</v>
      </c>
      <c r="J4" s="8">
        <f t="shared" si="0"/>
        <v>1</v>
      </c>
      <c r="K4" s="8">
        <f t="shared" si="0"/>
        <v>1</v>
      </c>
      <c r="L4" s="8">
        <f t="shared" si="0"/>
        <v>1</v>
      </c>
      <c r="M4" s="8">
        <f t="shared" si="0"/>
        <v>1</v>
      </c>
      <c r="N4" s="8">
        <f t="shared" si="0"/>
        <v>1</v>
      </c>
      <c r="O4" s="8">
        <f t="shared" si="0"/>
        <v>1</v>
      </c>
      <c r="P4" s="8">
        <f t="shared" si="0"/>
        <v>1</v>
      </c>
    </row>
    <row r="7" spans="1:16" ht="28.8" x14ac:dyDescent="0.3">
      <c r="B7" s="1" t="s">
        <v>94</v>
      </c>
      <c r="C7" s="3" t="s">
        <v>102</v>
      </c>
      <c r="D7" s="3" t="s">
        <v>103</v>
      </c>
      <c r="E7" s="3" t="s">
        <v>104</v>
      </c>
      <c r="F7" s="3" t="s">
        <v>105</v>
      </c>
      <c r="G7" s="3" t="s">
        <v>106</v>
      </c>
      <c r="H7" s="3" t="s">
        <v>107</v>
      </c>
      <c r="J7" s="7"/>
      <c r="K7" s="9" t="s">
        <v>108</v>
      </c>
      <c r="L7" s="9" t="s">
        <v>109</v>
      </c>
      <c r="M7" s="9" t="s">
        <v>110</v>
      </c>
      <c r="N7" s="9" t="s">
        <v>111</v>
      </c>
      <c r="O7" s="9" t="s">
        <v>112</v>
      </c>
      <c r="P7" s="9" t="s">
        <v>113</v>
      </c>
    </row>
    <row r="8" spans="1:16" x14ac:dyDescent="0.3">
      <c r="B8" s="8" t="s">
        <v>63</v>
      </c>
      <c r="C8" s="8">
        <f>C2-B2</f>
        <v>0.15932015591302112</v>
      </c>
      <c r="D8" s="8">
        <f>D2-B2</f>
        <v>0.12598682257968777</v>
      </c>
      <c r="E8" s="8">
        <f>E2-B2</f>
        <v>2.5986822579687777E-2</v>
      </c>
      <c r="F8" s="8">
        <f>F2-B2</f>
        <v>6.8695155913021111E-2</v>
      </c>
      <c r="G8" s="8">
        <f>G2-B2</f>
        <v>0.1184110650039302</v>
      </c>
      <c r="H8" s="8">
        <f>H2-B2</f>
        <v>0.13789158448444969</v>
      </c>
      <c r="J8" s="8" t="s">
        <v>63</v>
      </c>
      <c r="K8" s="7">
        <f>($J2-0) * ((K2+0))</f>
        <v>8.1359688173957782E-3</v>
      </c>
      <c r="L8" s="7">
        <f t="shared" ref="L8:P8" si="1">($J2-0) * ((L2+0))</f>
        <v>6.7799740144964815E-3</v>
      </c>
      <c r="M8" s="7">
        <f t="shared" si="1"/>
        <v>2.7119896057985924E-3</v>
      </c>
      <c r="N8" s="7">
        <f t="shared" si="1"/>
        <v>4.449357947013316E-3</v>
      </c>
      <c r="O8" s="7">
        <f t="shared" si="1"/>
        <v>6.4717933774739141E-3</v>
      </c>
      <c r="P8" s="7">
        <f t="shared" si="1"/>
        <v>7.2642578726748019E-3</v>
      </c>
    </row>
    <row r="9" spans="1:16" x14ac:dyDescent="0.3">
      <c r="B9" s="8" t="s">
        <v>64</v>
      </c>
      <c r="C9" s="8">
        <f t="shared" ref="C9:C10" si="2">C3-B3</f>
        <v>-1.1335199297447765E-2</v>
      </c>
      <c r="D9" s="8">
        <f t="shared" ref="D9:D10" si="3">D3-B3</f>
        <v>6.9006681044432569E-2</v>
      </c>
      <c r="E9" s="8">
        <f t="shared" ref="E9:E10" si="4">E3-B3</f>
        <v>-4.2104430066678536E-2</v>
      </c>
      <c r="F9" s="8">
        <f t="shared" ref="F9:F10" si="5">F3-B3</f>
        <v>5.1645569933321464E-2</v>
      </c>
      <c r="G9" s="8">
        <f t="shared" ref="G9:G10" si="6">G3-B3</f>
        <v>0.11698647902423055</v>
      </c>
      <c r="H9" s="8">
        <f t="shared" ref="H9:H10" si="7">H3-B3</f>
        <v>6.5038427076178601E-2</v>
      </c>
      <c r="J9" s="8" t="s">
        <v>64</v>
      </c>
      <c r="K9" s="7">
        <f>($J3-$J2) * ((K3+K2))</f>
        <v>1.8137292951799985E-2</v>
      </c>
      <c r="L9" s="7">
        <f t="shared" ref="L9:P10" si="8">($J3-$J2) * ((L3+L2))</f>
        <v>1.8713080029634902E-2</v>
      </c>
      <c r="M9" s="7">
        <f t="shared" si="8"/>
        <v>5.613924008890471E-3</v>
      </c>
      <c r="N9" s="7">
        <f t="shared" si="8"/>
        <v>1.3157634395837042E-2</v>
      </c>
      <c r="O9" s="7">
        <f t="shared" si="8"/>
        <v>2.0095296168187483E-2</v>
      </c>
      <c r="P9" s="7">
        <f t="shared" si="8"/>
        <v>1.954848538810075E-2</v>
      </c>
    </row>
    <row r="10" spans="1:16" x14ac:dyDescent="0.3">
      <c r="B10" s="8" t="s">
        <v>62</v>
      </c>
      <c r="C10" s="8">
        <f t="shared" si="2"/>
        <v>-0.14798495661557332</v>
      </c>
      <c r="D10" s="8">
        <f t="shared" si="3"/>
        <v>-0.19499350362412038</v>
      </c>
      <c r="E10" s="8">
        <f t="shared" si="4"/>
        <v>1.6117607486990759E-2</v>
      </c>
      <c r="F10" s="8">
        <f t="shared" si="5"/>
        <v>-0.12034072584634259</v>
      </c>
      <c r="G10" s="8">
        <f t="shared" si="6"/>
        <v>-0.23539754402816082</v>
      </c>
      <c r="H10" s="8">
        <f t="shared" si="7"/>
        <v>-0.20293001156062829</v>
      </c>
      <c r="J10" s="8" t="s">
        <v>62</v>
      </c>
      <c r="K10" s="7">
        <f>($J4-$J3) * ((K4+K3))</f>
        <v>1.1288808933493448</v>
      </c>
      <c r="L10" s="7">
        <f t="shared" si="8"/>
        <v>1.171997871914771</v>
      </c>
      <c r="M10" s="7">
        <f t="shared" si="8"/>
        <v>0.97836344090276539</v>
      </c>
      <c r="N10" s="7">
        <f t="shared" si="8"/>
        <v>1.1035251701588809</v>
      </c>
      <c r="O10" s="7">
        <f t="shared" si="8"/>
        <v>1.209057093161088</v>
      </c>
      <c r="P10" s="7">
        <f t="shared" si="8"/>
        <v>1.1792773618024404</v>
      </c>
    </row>
    <row r="11" spans="1:16" x14ac:dyDescent="0.3">
      <c r="J11" s="11" t="s">
        <v>114</v>
      </c>
      <c r="K11" s="9">
        <f>SUM(K8:K10)</f>
        <v>1.1551541551185407</v>
      </c>
      <c r="L11" s="9">
        <f t="shared" ref="L11:P11" si="9">SUM(L8:L10)</f>
        <v>1.1974909259589024</v>
      </c>
      <c r="M11" s="9">
        <f t="shared" si="9"/>
        <v>0.98668935451745443</v>
      </c>
      <c r="N11" s="9">
        <f t="shared" si="9"/>
        <v>1.1211321625017312</v>
      </c>
      <c r="O11" s="9">
        <f t="shared" si="9"/>
        <v>1.2356241827067493</v>
      </c>
      <c r="P11" s="9">
        <f t="shared" si="9"/>
        <v>1.206090105063216</v>
      </c>
    </row>
    <row r="12" spans="1:16" x14ac:dyDescent="0.3">
      <c r="J12" s="12" t="s">
        <v>115</v>
      </c>
      <c r="K12" s="10">
        <f>1-K11</f>
        <v>-0.15515415511854069</v>
      </c>
      <c r="L12" s="10">
        <f t="shared" ref="L12:P12" si="10">1-L11</f>
        <v>-0.19749092595890239</v>
      </c>
      <c r="M12" s="10">
        <f t="shared" si="10"/>
        <v>1.3310645482545569E-2</v>
      </c>
      <c r="N12" s="10">
        <f t="shared" si="10"/>
        <v>-0.1211321625017312</v>
      </c>
      <c r="O12" s="10">
        <f t="shared" si="10"/>
        <v>-0.23562418270674934</v>
      </c>
      <c r="P12" s="10">
        <f t="shared" si="10"/>
        <v>-0.20609010506321601</v>
      </c>
    </row>
  </sheetData>
  <sortState xmlns:xlrd2="http://schemas.microsoft.com/office/spreadsheetml/2017/richdata2" ref="A2:P5">
    <sortCondition ref="B1:B5"/>
  </sortState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EF2D8-7D2B-4701-8072-7EF01C15A6A9}">
  <dimension ref="A1:P23"/>
  <sheetViews>
    <sheetView workbookViewId="0">
      <selection activeCell="J2" sqref="J2:P2"/>
    </sheetView>
  </sheetViews>
  <sheetFormatPr defaultRowHeight="14.4" x14ac:dyDescent="0.3"/>
  <sheetData>
    <row r="1" spans="1:16" ht="36.6" customHeight="1" x14ac:dyDescent="0.3">
      <c r="A1" s="1" t="s">
        <v>94</v>
      </c>
      <c r="B1" s="2" t="s">
        <v>95</v>
      </c>
      <c r="C1" s="3" t="s">
        <v>96</v>
      </c>
      <c r="D1" s="3" t="s">
        <v>97</v>
      </c>
      <c r="E1" s="3" t="s">
        <v>98</v>
      </c>
      <c r="F1" s="2" t="s">
        <v>99</v>
      </c>
      <c r="G1" s="3" t="s">
        <v>100</v>
      </c>
      <c r="H1" s="3" t="s">
        <v>101</v>
      </c>
      <c r="I1" s="4" t="s">
        <v>95</v>
      </c>
      <c r="J1" s="5" t="s">
        <v>95</v>
      </c>
      <c r="K1" s="6" t="s">
        <v>96</v>
      </c>
      <c r="L1" s="6" t="s">
        <v>97</v>
      </c>
      <c r="M1" s="6" t="s">
        <v>98</v>
      </c>
      <c r="N1" s="5" t="s">
        <v>99</v>
      </c>
      <c r="O1" s="6" t="s">
        <v>100</v>
      </c>
      <c r="P1" s="6" t="s">
        <v>101</v>
      </c>
    </row>
    <row r="2" spans="1:16" x14ac:dyDescent="0.3">
      <c r="A2" s="8" t="s">
        <v>73</v>
      </c>
      <c r="B2" s="8">
        <v>2.7186761229314422E-2</v>
      </c>
      <c r="C2" s="8">
        <v>4.9019607843137254E-2</v>
      </c>
      <c r="D2" s="8">
        <v>2.2222222222222223E-2</v>
      </c>
      <c r="E2" s="8">
        <v>1.2345679012345678E-2</v>
      </c>
      <c r="F2" s="8">
        <v>4.8000000000000001E-2</v>
      </c>
      <c r="G2" s="8">
        <v>3.0927835051546393E-2</v>
      </c>
      <c r="H2" s="8">
        <v>3.3333333333333333E-2</v>
      </c>
      <c r="I2" s="8">
        <v>2.7186761229314422E-2</v>
      </c>
      <c r="J2" s="8">
        <v>2.7186761229314422E-2</v>
      </c>
      <c r="K2" s="8">
        <v>4.9019607843137254E-2</v>
      </c>
      <c r="L2" s="8">
        <v>2.2222222222222223E-2</v>
      </c>
      <c r="M2" s="8">
        <v>1.2345679012345678E-2</v>
      </c>
      <c r="N2" s="8">
        <v>4.8000000000000001E-2</v>
      </c>
      <c r="O2" s="8">
        <v>3.0927835051546393E-2</v>
      </c>
      <c r="P2" s="8">
        <v>3.3333333333333333E-2</v>
      </c>
    </row>
    <row r="3" spans="1:16" x14ac:dyDescent="0.3">
      <c r="A3" s="8" t="s">
        <v>71</v>
      </c>
      <c r="B3" s="8">
        <v>3.1724681394527325E-2</v>
      </c>
      <c r="C3" s="8">
        <v>2.9411764705882353E-2</v>
      </c>
      <c r="D3" s="8">
        <v>4.4444444444444446E-2</v>
      </c>
      <c r="E3" s="8">
        <v>2.4691358024691357E-2</v>
      </c>
      <c r="F3" s="8">
        <v>9.6000000000000002E-2</v>
      </c>
      <c r="G3" s="8">
        <v>0.1134020618556701</v>
      </c>
      <c r="H3" s="8">
        <v>0.05</v>
      </c>
      <c r="I3" s="8">
        <v>5.891144262384175E-2</v>
      </c>
      <c r="J3" s="8">
        <f t="shared" ref="J3:P10" si="0">J2+B3</f>
        <v>5.891144262384175E-2</v>
      </c>
      <c r="K3" s="8">
        <f t="shared" si="0"/>
        <v>7.8431372549019607E-2</v>
      </c>
      <c r="L3" s="8">
        <f t="shared" si="0"/>
        <v>6.6666666666666666E-2</v>
      </c>
      <c r="M3" s="8">
        <f t="shared" si="0"/>
        <v>3.7037037037037035E-2</v>
      </c>
      <c r="N3" s="8">
        <f t="shared" si="0"/>
        <v>0.14400000000000002</v>
      </c>
      <c r="O3" s="8">
        <f t="shared" si="0"/>
        <v>0.14432989690721648</v>
      </c>
      <c r="P3" s="8">
        <f t="shared" si="0"/>
        <v>8.3333333333333343E-2</v>
      </c>
    </row>
    <row r="4" spans="1:16" x14ac:dyDescent="0.3">
      <c r="A4" s="8" t="s">
        <v>69</v>
      </c>
      <c r="B4" s="8">
        <v>4.0759761962990138E-2</v>
      </c>
      <c r="C4" s="8">
        <v>4.9019607843137254E-2</v>
      </c>
      <c r="D4" s="8">
        <v>8.8888888888888892E-2</v>
      </c>
      <c r="E4" s="8">
        <v>2.4691358024691357E-2</v>
      </c>
      <c r="F4" s="8">
        <v>0.08</v>
      </c>
      <c r="G4" s="8">
        <v>6.1855670103092786E-2</v>
      </c>
      <c r="H4" s="8">
        <v>3.3333333333333333E-2</v>
      </c>
      <c r="I4" s="8">
        <v>9.9671204586831888E-2</v>
      </c>
      <c r="J4" s="8">
        <f t="shared" si="0"/>
        <v>9.9671204586831888E-2</v>
      </c>
      <c r="K4" s="8">
        <f t="shared" si="0"/>
        <v>0.12745098039215685</v>
      </c>
      <c r="L4" s="8">
        <f t="shared" si="0"/>
        <v>0.15555555555555556</v>
      </c>
      <c r="M4" s="8">
        <f t="shared" si="0"/>
        <v>6.1728395061728392E-2</v>
      </c>
      <c r="N4" s="8">
        <f t="shared" si="0"/>
        <v>0.22400000000000003</v>
      </c>
      <c r="O4" s="8">
        <f t="shared" si="0"/>
        <v>0.20618556701030927</v>
      </c>
      <c r="P4" s="8">
        <f t="shared" si="0"/>
        <v>0.11666666666666667</v>
      </c>
    </row>
    <row r="5" spans="1:16" x14ac:dyDescent="0.3">
      <c r="A5" s="8" t="s">
        <v>70</v>
      </c>
      <c r="B5" s="8">
        <v>4.5379201652129018E-2</v>
      </c>
      <c r="C5" s="8">
        <v>1.9607843137254902E-2</v>
      </c>
      <c r="D5" s="8">
        <v>4.4444444444444446E-2</v>
      </c>
      <c r="E5" s="8">
        <v>2.4691358024691357E-2</v>
      </c>
      <c r="F5" s="8">
        <v>2.4E-2</v>
      </c>
      <c r="G5" s="8">
        <v>2.0618556701030927E-2</v>
      </c>
      <c r="H5" s="8">
        <v>0</v>
      </c>
      <c r="I5" s="8">
        <v>0.1450504062389609</v>
      </c>
      <c r="J5" s="8">
        <f t="shared" si="0"/>
        <v>0.1450504062389609</v>
      </c>
      <c r="K5" s="8">
        <f t="shared" si="0"/>
        <v>0.14705882352941174</v>
      </c>
      <c r="L5" s="8">
        <f t="shared" si="0"/>
        <v>0.2</v>
      </c>
      <c r="M5" s="8">
        <f t="shared" si="0"/>
        <v>8.6419753086419748E-2</v>
      </c>
      <c r="N5" s="8">
        <f t="shared" si="0"/>
        <v>0.24800000000000003</v>
      </c>
      <c r="O5" s="8">
        <f t="shared" si="0"/>
        <v>0.22680412371134021</v>
      </c>
      <c r="P5" s="8">
        <f t="shared" si="0"/>
        <v>0.11666666666666667</v>
      </c>
    </row>
    <row r="6" spans="1:16" x14ac:dyDescent="0.3">
      <c r="A6" s="8" t="s">
        <v>67</v>
      </c>
      <c r="B6" s="8">
        <v>5.1017635390342653E-2</v>
      </c>
      <c r="C6" s="8">
        <v>3.9215686274509803E-2</v>
      </c>
      <c r="D6" s="8">
        <v>0.1111111111111111</v>
      </c>
      <c r="E6" s="8">
        <v>6.1728395061728392E-2</v>
      </c>
      <c r="F6" s="8">
        <v>4.8000000000000001E-2</v>
      </c>
      <c r="G6" s="8">
        <v>7.2164948453608241E-2</v>
      </c>
      <c r="H6" s="8">
        <v>0.05</v>
      </c>
      <c r="I6" s="8">
        <v>0.19606804162930355</v>
      </c>
      <c r="J6" s="8">
        <f t="shared" si="0"/>
        <v>0.19606804162930355</v>
      </c>
      <c r="K6" s="8">
        <f t="shared" si="0"/>
        <v>0.18627450980392155</v>
      </c>
      <c r="L6" s="8">
        <f t="shared" si="0"/>
        <v>0.31111111111111112</v>
      </c>
      <c r="M6" s="8">
        <f t="shared" si="0"/>
        <v>0.14814814814814814</v>
      </c>
      <c r="N6" s="8">
        <f t="shared" si="0"/>
        <v>0.29600000000000004</v>
      </c>
      <c r="O6" s="8">
        <f t="shared" si="0"/>
        <v>0.29896907216494845</v>
      </c>
      <c r="P6" s="8">
        <f t="shared" si="0"/>
        <v>0.16666666666666669</v>
      </c>
    </row>
    <row r="7" spans="1:16" x14ac:dyDescent="0.3">
      <c r="A7" s="8" t="s">
        <v>66</v>
      </c>
      <c r="B7" s="8">
        <v>6.853074644710741E-2</v>
      </c>
      <c r="C7" s="8">
        <v>6.8627450980392163E-2</v>
      </c>
      <c r="D7" s="8">
        <v>2.2222222222222223E-2</v>
      </c>
      <c r="E7" s="8">
        <v>8.6419753086419748E-2</v>
      </c>
      <c r="F7" s="8">
        <v>3.2000000000000001E-2</v>
      </c>
      <c r="G7" s="8">
        <v>5.1546391752577317E-2</v>
      </c>
      <c r="H7" s="8">
        <v>3.3333333333333333E-2</v>
      </c>
      <c r="I7" s="8">
        <v>0.26459878807641096</v>
      </c>
      <c r="J7" s="8">
        <f t="shared" si="0"/>
        <v>0.26459878807641096</v>
      </c>
      <c r="K7" s="8">
        <f t="shared" si="0"/>
        <v>0.25490196078431371</v>
      </c>
      <c r="L7" s="8">
        <f t="shared" si="0"/>
        <v>0.33333333333333331</v>
      </c>
      <c r="M7" s="8">
        <f t="shared" si="0"/>
        <v>0.23456790123456789</v>
      </c>
      <c r="N7" s="8">
        <f t="shared" si="0"/>
        <v>0.32800000000000007</v>
      </c>
      <c r="O7" s="8">
        <f t="shared" si="0"/>
        <v>0.35051546391752575</v>
      </c>
      <c r="P7" s="8">
        <f t="shared" si="0"/>
        <v>0.2</v>
      </c>
    </row>
    <row r="8" spans="1:16" x14ac:dyDescent="0.3">
      <c r="A8" s="8" t="s">
        <v>68</v>
      </c>
      <c r="B8" s="8">
        <v>0.17642183636314229</v>
      </c>
      <c r="C8" s="8">
        <v>9.8039215686274508E-2</v>
      </c>
      <c r="D8" s="8">
        <v>2.2222222222222223E-2</v>
      </c>
      <c r="E8" s="8">
        <v>0.13580246913580246</v>
      </c>
      <c r="F8" s="8">
        <v>0.112</v>
      </c>
      <c r="G8" s="8">
        <v>0.19587628865979381</v>
      </c>
      <c r="H8" s="8">
        <v>0.18333333333333332</v>
      </c>
      <c r="I8" s="8">
        <v>0.44102062443955325</v>
      </c>
      <c r="J8" s="8">
        <f t="shared" si="0"/>
        <v>0.44102062443955325</v>
      </c>
      <c r="K8" s="8">
        <f t="shared" si="0"/>
        <v>0.3529411764705882</v>
      </c>
      <c r="L8" s="8">
        <f t="shared" si="0"/>
        <v>0.35555555555555551</v>
      </c>
      <c r="M8" s="8">
        <f t="shared" si="0"/>
        <v>0.37037037037037035</v>
      </c>
      <c r="N8" s="8">
        <f t="shared" si="0"/>
        <v>0.44000000000000006</v>
      </c>
      <c r="O8" s="8">
        <f t="shared" si="0"/>
        <v>0.54639175257731953</v>
      </c>
      <c r="P8" s="8">
        <f t="shared" si="0"/>
        <v>0.3833333333333333</v>
      </c>
    </row>
    <row r="9" spans="1:16" x14ac:dyDescent="0.3">
      <c r="A9" s="8" t="s">
        <v>65</v>
      </c>
      <c r="B9" s="8">
        <v>0.19852721393440395</v>
      </c>
      <c r="C9" s="8">
        <v>0.15686274509803921</v>
      </c>
      <c r="D9" s="8">
        <v>0.28888888888888886</v>
      </c>
      <c r="E9" s="8">
        <v>0.34567901234567899</v>
      </c>
      <c r="F9" s="8">
        <v>0.216</v>
      </c>
      <c r="G9" s="8">
        <v>0.13402061855670103</v>
      </c>
      <c r="H9" s="8">
        <v>0.25</v>
      </c>
      <c r="I9" s="8">
        <v>0.63954783837395723</v>
      </c>
      <c r="J9" s="8">
        <f t="shared" si="0"/>
        <v>0.63954783837395723</v>
      </c>
      <c r="K9" s="8">
        <f t="shared" si="0"/>
        <v>0.50980392156862742</v>
      </c>
      <c r="L9" s="8">
        <f t="shared" si="0"/>
        <v>0.64444444444444438</v>
      </c>
      <c r="M9" s="8">
        <f t="shared" si="0"/>
        <v>0.71604938271604934</v>
      </c>
      <c r="N9" s="8">
        <f t="shared" si="0"/>
        <v>0.65600000000000003</v>
      </c>
      <c r="O9" s="8">
        <f t="shared" si="0"/>
        <v>0.68041237113402053</v>
      </c>
      <c r="P9" s="8">
        <f t="shared" si="0"/>
        <v>0.6333333333333333</v>
      </c>
    </row>
    <row r="10" spans="1:16" x14ac:dyDescent="0.3">
      <c r="A10" s="8" t="s">
        <v>72</v>
      </c>
      <c r="B10" s="8">
        <v>0.36045216162604277</v>
      </c>
      <c r="C10" s="8">
        <v>0.49019607843137253</v>
      </c>
      <c r="D10" s="8">
        <v>0.35555555555555557</v>
      </c>
      <c r="E10" s="8">
        <v>0.2839506172839506</v>
      </c>
      <c r="F10" s="8">
        <v>0.34399999999999997</v>
      </c>
      <c r="G10" s="8">
        <v>0.31958762886597936</v>
      </c>
      <c r="H10" s="8">
        <v>0.36666666666666664</v>
      </c>
      <c r="I10" s="8">
        <v>1</v>
      </c>
      <c r="J10" s="8">
        <f t="shared" si="0"/>
        <v>1</v>
      </c>
      <c r="K10" s="8">
        <f t="shared" si="0"/>
        <v>1</v>
      </c>
      <c r="L10" s="8">
        <f t="shared" si="0"/>
        <v>1</v>
      </c>
      <c r="M10" s="8">
        <f t="shared" si="0"/>
        <v>1</v>
      </c>
      <c r="N10" s="8">
        <f t="shared" si="0"/>
        <v>1</v>
      </c>
      <c r="O10" s="8">
        <f t="shared" si="0"/>
        <v>0.99999999999999989</v>
      </c>
      <c r="P10" s="8">
        <f t="shared" si="0"/>
        <v>1</v>
      </c>
    </row>
    <row r="12" spans="1:16" ht="28.8" x14ac:dyDescent="0.3">
      <c r="B12" s="1" t="s">
        <v>94</v>
      </c>
      <c r="C12" s="3" t="s">
        <v>102</v>
      </c>
      <c r="D12" s="3" t="s">
        <v>103</v>
      </c>
      <c r="E12" s="3" t="s">
        <v>104</v>
      </c>
      <c r="F12" s="3" t="s">
        <v>105</v>
      </c>
      <c r="G12" s="3" t="s">
        <v>106</v>
      </c>
      <c r="H12" s="3" t="s">
        <v>107</v>
      </c>
      <c r="J12" s="7"/>
      <c r="K12" s="9" t="s">
        <v>108</v>
      </c>
      <c r="L12" s="9" t="s">
        <v>109</v>
      </c>
      <c r="M12" s="9" t="s">
        <v>110</v>
      </c>
      <c r="N12" s="9" t="s">
        <v>111</v>
      </c>
      <c r="O12" s="9" t="s">
        <v>112</v>
      </c>
      <c r="P12" s="9" t="s">
        <v>113</v>
      </c>
    </row>
    <row r="13" spans="1:16" x14ac:dyDescent="0.3">
      <c r="B13" s="8" t="s">
        <v>73</v>
      </c>
      <c r="C13" s="8">
        <f>C2-B2</f>
        <v>2.1832846613822832E-2</v>
      </c>
      <c r="D13" s="8">
        <f>D2-B2</f>
        <v>-4.9645390070921988E-3</v>
      </c>
      <c r="E13" s="8">
        <f>E2-B2</f>
        <v>-1.4841082216968744E-2</v>
      </c>
      <c r="F13" s="8">
        <f>F2-B2</f>
        <v>2.0813238770685579E-2</v>
      </c>
      <c r="G13" s="8">
        <f>G2-B2</f>
        <v>3.741073822231971E-3</v>
      </c>
      <c r="H13" s="8">
        <f>H2-B2</f>
        <v>6.146572104018911E-3</v>
      </c>
      <c r="J13" s="8" t="s">
        <v>73</v>
      </c>
      <c r="K13" s="7">
        <f>($J2-0) * ((K2+0))</f>
        <v>1.332684373986001E-3</v>
      </c>
      <c r="L13" s="7">
        <f t="shared" ref="L13:P13" si="1">($J2-0) * ((L2+0))</f>
        <v>6.041502495403205E-4</v>
      </c>
      <c r="M13" s="7">
        <f t="shared" si="1"/>
        <v>3.3563902752240026E-4</v>
      </c>
      <c r="N13" s="7">
        <f t="shared" si="1"/>
        <v>1.3049645390070923E-3</v>
      </c>
      <c r="O13" s="7">
        <f t="shared" si="1"/>
        <v>8.4082766688601304E-4</v>
      </c>
      <c r="P13" s="7">
        <f t="shared" si="1"/>
        <v>9.062253743104807E-4</v>
      </c>
    </row>
    <row r="14" spans="1:16" x14ac:dyDescent="0.3">
      <c r="B14" s="8" t="s">
        <v>71</v>
      </c>
      <c r="C14" s="8">
        <f t="shared" ref="C14:C21" si="2">C3-B3</f>
        <v>-2.3129166886449726E-3</v>
      </c>
      <c r="D14" s="8">
        <f t="shared" ref="D14:D21" si="3">D3-B3</f>
        <v>1.2719763049917121E-2</v>
      </c>
      <c r="E14" s="8">
        <f t="shared" ref="E14:E21" si="4">E3-B3</f>
        <v>-7.0333233698359685E-3</v>
      </c>
      <c r="F14" s="8">
        <f t="shared" ref="F14:F21" si="5">F3-B3</f>
        <v>6.427531860547267E-2</v>
      </c>
      <c r="G14" s="8">
        <f t="shared" ref="G14:G21" si="6">G3-B3</f>
        <v>8.1677380461142784E-2</v>
      </c>
      <c r="H14" s="8">
        <f t="shared" ref="H14:H21" si="7">H3-B3</f>
        <v>1.8275318605472678E-2</v>
      </c>
      <c r="J14" s="8" t="s">
        <v>71</v>
      </c>
      <c r="K14" s="7">
        <f>($J3-$J2) * ((K3+K2))</f>
        <v>4.0433417463613267E-3</v>
      </c>
      <c r="L14" s="7">
        <f t="shared" ref="L14:P14" si="8">($J3-$J2) * ((L3+L2))</f>
        <v>2.8199716795135406E-3</v>
      </c>
      <c r="M14" s="7">
        <f t="shared" si="8"/>
        <v>1.5666509330630781E-3</v>
      </c>
      <c r="N14" s="7">
        <f t="shared" si="8"/>
        <v>6.0911388277492479E-3</v>
      </c>
      <c r="O14" s="7">
        <f t="shared" si="8"/>
        <v>5.5599957083192226E-3</v>
      </c>
      <c r="P14" s="7">
        <f t="shared" si="8"/>
        <v>3.7012128293615223E-3</v>
      </c>
    </row>
    <row r="15" spans="1:16" x14ac:dyDescent="0.3">
      <c r="B15" s="8" t="s">
        <v>69</v>
      </c>
      <c r="C15" s="8">
        <f t="shared" si="2"/>
        <v>8.2598458801471167E-3</v>
      </c>
      <c r="D15" s="8">
        <f t="shared" si="3"/>
        <v>4.8129126925898755E-2</v>
      </c>
      <c r="E15" s="8">
        <f t="shared" si="4"/>
        <v>-1.6068403938298781E-2</v>
      </c>
      <c r="F15" s="8">
        <f t="shared" si="5"/>
        <v>3.9240238037009864E-2</v>
      </c>
      <c r="G15" s="8">
        <f t="shared" si="6"/>
        <v>2.1095908140102648E-2</v>
      </c>
      <c r="H15" s="8">
        <f t="shared" si="7"/>
        <v>-7.4264286296568047E-3</v>
      </c>
      <c r="J15" s="8" t="s">
        <v>69</v>
      </c>
      <c r="K15" s="7">
        <f t="shared" ref="K15:P21" si="9">($J4-$J3) * ((K4+K3))</f>
        <v>8.3917156982626744E-3</v>
      </c>
      <c r="L15" s="7">
        <f t="shared" si="9"/>
        <v>9.057724880664475E-3</v>
      </c>
      <c r="M15" s="7">
        <f t="shared" si="9"/>
        <v>4.0256555025175444E-3</v>
      </c>
      <c r="N15" s="7">
        <f t="shared" si="9"/>
        <v>1.4999592402380373E-2</v>
      </c>
      <c r="O15" s="7">
        <f t="shared" si="9"/>
        <v>1.4286926873625408E-2</v>
      </c>
      <c r="P15" s="7">
        <f t="shared" si="9"/>
        <v>8.1519523925980275E-3</v>
      </c>
    </row>
    <row r="16" spans="1:16" x14ac:dyDescent="0.3">
      <c r="B16" s="8" t="s">
        <v>70</v>
      </c>
      <c r="C16" s="8">
        <f t="shared" si="2"/>
        <v>-2.5771358514874117E-2</v>
      </c>
      <c r="D16" s="8">
        <f t="shared" si="3"/>
        <v>-9.3475720768457227E-4</v>
      </c>
      <c r="E16" s="8">
        <f t="shared" si="4"/>
        <v>-2.0687843627437662E-2</v>
      </c>
      <c r="F16" s="8">
        <f t="shared" si="5"/>
        <v>-2.1379201652129018E-2</v>
      </c>
      <c r="G16" s="8">
        <f t="shared" si="6"/>
        <v>-2.4760644951098091E-2</v>
      </c>
      <c r="H16" s="8">
        <f t="shared" si="7"/>
        <v>-4.5379201652129018E-2</v>
      </c>
      <c r="J16" s="8" t="s">
        <v>70</v>
      </c>
      <c r="K16" s="7">
        <f t="shared" si="9"/>
        <v>1.2457035747643256E-2</v>
      </c>
      <c r="L16" s="7">
        <f t="shared" si="9"/>
        <v>1.6134827254090316E-2</v>
      </c>
      <c r="M16" s="7">
        <f t="shared" si="9"/>
        <v>6.7228446892042973E-3</v>
      </c>
      <c r="N16" s="7">
        <f t="shared" si="9"/>
        <v>2.1418983179804896E-2</v>
      </c>
      <c r="O16" s="7">
        <f t="shared" si="9"/>
        <v>1.9648726488550705E-2</v>
      </c>
      <c r="P16" s="7">
        <f t="shared" si="9"/>
        <v>1.0588480385496769E-2</v>
      </c>
    </row>
    <row r="17" spans="2:16" x14ac:dyDescent="0.3">
      <c r="B17" s="8" t="s">
        <v>67</v>
      </c>
      <c r="C17" s="8">
        <f t="shared" si="2"/>
        <v>-1.1801949115832849E-2</v>
      </c>
      <c r="D17" s="8">
        <f t="shared" si="3"/>
        <v>6.0093475720768452E-2</v>
      </c>
      <c r="E17" s="8">
        <f t="shared" si="4"/>
        <v>1.0710759671385739E-2</v>
      </c>
      <c r="F17" s="8">
        <f t="shared" si="5"/>
        <v>-3.0176353903426517E-3</v>
      </c>
      <c r="G17" s="8">
        <f t="shared" si="6"/>
        <v>2.1147313063265588E-2</v>
      </c>
      <c r="H17" s="8">
        <f t="shared" si="7"/>
        <v>-1.0176353903426499E-3</v>
      </c>
      <c r="J17" s="8" t="s">
        <v>67</v>
      </c>
      <c r="K17" s="7">
        <f t="shared" si="9"/>
        <v>1.7005878463447546E-2</v>
      </c>
      <c r="L17" s="7">
        <f t="shared" si="9"/>
        <v>2.6075680310619576E-2</v>
      </c>
      <c r="M17" s="7">
        <f t="shared" si="9"/>
        <v>1.196709965946309E-2</v>
      </c>
      <c r="N17" s="7">
        <f t="shared" si="9"/>
        <v>2.7753593652346406E-2</v>
      </c>
      <c r="O17" s="7">
        <f t="shared" si="9"/>
        <v>2.6823705205231706E-2</v>
      </c>
      <c r="P17" s="7">
        <f t="shared" si="9"/>
        <v>1.4454996693930418E-2</v>
      </c>
    </row>
    <row r="18" spans="2:16" x14ac:dyDescent="0.3">
      <c r="B18" s="8" t="s">
        <v>66</v>
      </c>
      <c r="C18" s="8">
        <f t="shared" si="2"/>
        <v>9.6704533284752703E-5</v>
      </c>
      <c r="D18" s="8">
        <f t="shared" si="3"/>
        <v>-4.6308524224885184E-2</v>
      </c>
      <c r="E18" s="8">
        <f t="shared" si="4"/>
        <v>1.7889006639312338E-2</v>
      </c>
      <c r="F18" s="8">
        <f t="shared" si="5"/>
        <v>-3.6530746447107409E-2</v>
      </c>
      <c r="G18" s="8">
        <f t="shared" si="6"/>
        <v>-1.6984354694530093E-2</v>
      </c>
      <c r="H18" s="8">
        <f t="shared" si="7"/>
        <v>-3.5197413113774077E-2</v>
      </c>
      <c r="J18" s="8" t="s">
        <v>66</v>
      </c>
      <c r="K18" s="7">
        <f t="shared" si="9"/>
        <v>3.0234152844312093E-2</v>
      </c>
      <c r="L18" s="7">
        <f t="shared" si="9"/>
        <v>4.4164258821469217E-2</v>
      </c>
      <c r="M18" s="7">
        <f t="shared" si="9"/>
        <v>2.6227816541485552E-2</v>
      </c>
      <c r="N18" s="7">
        <f t="shared" si="9"/>
        <v>4.2763185782995032E-2</v>
      </c>
      <c r="O18" s="7">
        <f t="shared" si="9"/>
        <v>4.450966006358522E-2</v>
      </c>
      <c r="P18" s="7">
        <f t="shared" si="9"/>
        <v>2.5127940363939387E-2</v>
      </c>
    </row>
    <row r="19" spans="2:16" x14ac:dyDescent="0.3">
      <c r="B19" s="8" t="s">
        <v>68</v>
      </c>
      <c r="C19" s="8">
        <f t="shared" si="2"/>
        <v>-7.8382620676867784E-2</v>
      </c>
      <c r="D19" s="8">
        <f t="shared" si="3"/>
        <v>-0.15419961414092007</v>
      </c>
      <c r="E19" s="8">
        <f t="shared" si="4"/>
        <v>-4.0619367227339831E-2</v>
      </c>
      <c r="F19" s="8">
        <f t="shared" si="5"/>
        <v>-6.442183636314229E-2</v>
      </c>
      <c r="G19" s="8">
        <f t="shared" si="6"/>
        <v>1.945445229665152E-2</v>
      </c>
      <c r="H19" s="8">
        <f t="shared" si="7"/>
        <v>6.9114969701910278E-3</v>
      </c>
      <c r="J19" s="8" t="s">
        <v>68</v>
      </c>
      <c r="K19" s="7">
        <f t="shared" si="9"/>
        <v>0.10723680249524335</v>
      </c>
      <c r="L19" s="7">
        <f t="shared" si="9"/>
        <v>0.12153504282794246</v>
      </c>
      <c r="M19" s="7">
        <f t="shared" si="9"/>
        <v>0.10672432076288856</v>
      </c>
      <c r="N19" s="7">
        <f t="shared" si="9"/>
        <v>0.13549197032689331</v>
      </c>
      <c r="O19" s="7">
        <f t="shared" si="9"/>
        <v>0.15823401818137503</v>
      </c>
      <c r="P19" s="7">
        <f t="shared" si="9"/>
        <v>0.10291273787849965</v>
      </c>
    </row>
    <row r="20" spans="2:16" x14ac:dyDescent="0.3">
      <c r="B20" s="8" t="s">
        <v>65</v>
      </c>
      <c r="C20" s="8">
        <f t="shared" si="2"/>
        <v>-4.1664468836364738E-2</v>
      </c>
      <c r="D20" s="8">
        <f t="shared" si="3"/>
        <v>9.0361674954484911E-2</v>
      </c>
      <c r="E20" s="8">
        <f t="shared" si="4"/>
        <v>0.14715179841127504</v>
      </c>
      <c r="F20" s="8">
        <f t="shared" si="5"/>
        <v>1.7472786065596047E-2</v>
      </c>
      <c r="G20" s="8">
        <f t="shared" si="6"/>
        <v>-6.4506595377702924E-2</v>
      </c>
      <c r="H20" s="8">
        <f t="shared" si="7"/>
        <v>5.1472786065596049E-2</v>
      </c>
      <c r="J20" s="8" t="s">
        <v>65</v>
      </c>
      <c r="K20" s="7">
        <f t="shared" si="9"/>
        <v>0.17127838064928969</v>
      </c>
      <c r="L20" s="7">
        <f t="shared" si="9"/>
        <v>0.19852721393440395</v>
      </c>
      <c r="M20" s="7">
        <f t="shared" si="9"/>
        <v>0.21568388674354999</v>
      </c>
      <c r="N20" s="7">
        <f t="shared" si="9"/>
        <v>0.21758582647210678</v>
      </c>
      <c r="O20" s="7">
        <f t="shared" si="9"/>
        <v>0.24355400472365021</v>
      </c>
      <c r="P20" s="7">
        <f t="shared" si="9"/>
        <v>0.20183600083331071</v>
      </c>
    </row>
    <row r="21" spans="2:16" x14ac:dyDescent="0.3">
      <c r="B21" s="8" t="s">
        <v>72</v>
      </c>
      <c r="C21" s="8">
        <f t="shared" si="2"/>
        <v>0.12974391680532976</v>
      </c>
      <c r="D21" s="8">
        <f t="shared" si="3"/>
        <v>-4.8966060704871972E-3</v>
      </c>
      <c r="E21" s="8">
        <f t="shared" si="4"/>
        <v>-7.6501544342092165E-2</v>
      </c>
      <c r="F21" s="8">
        <f t="shared" si="5"/>
        <v>-1.6452161626042794E-2</v>
      </c>
      <c r="G21" s="8">
        <f t="shared" si="6"/>
        <v>-4.086453276006341E-2</v>
      </c>
      <c r="H21" s="8">
        <f t="shared" si="7"/>
        <v>6.2145050406238744E-3</v>
      </c>
      <c r="J21" s="8" t="s">
        <v>72</v>
      </c>
      <c r="K21" s="7">
        <f t="shared" si="9"/>
        <v>0.54421208716088809</v>
      </c>
      <c r="L21" s="7">
        <f t="shared" si="9"/>
        <v>0.59274355467393702</v>
      </c>
      <c r="M21" s="7">
        <f t="shared" si="9"/>
        <v>0.61855370945703636</v>
      </c>
      <c r="N21" s="7">
        <f t="shared" si="9"/>
        <v>0.59690877965272682</v>
      </c>
      <c r="O21" s="7">
        <f t="shared" si="9"/>
        <v>0.60570827159840168</v>
      </c>
      <c r="P21" s="7">
        <f t="shared" si="9"/>
        <v>0.5887385306558699</v>
      </c>
    </row>
    <row r="22" spans="2:16" x14ac:dyDescent="0.3">
      <c r="J22" s="11" t="s">
        <v>114</v>
      </c>
      <c r="K22" s="9">
        <f>SUM(K13:K21)</f>
        <v>0.896192079179434</v>
      </c>
      <c r="L22" s="9">
        <f t="shared" ref="L22:P22" si="10">SUM(L13:L21)</f>
        <v>1.0116624246321808</v>
      </c>
      <c r="M22" s="9">
        <f t="shared" si="10"/>
        <v>0.99180762331673089</v>
      </c>
      <c r="N22" s="9">
        <f t="shared" si="10"/>
        <v>1.06431803483601</v>
      </c>
      <c r="O22" s="9">
        <f t="shared" si="10"/>
        <v>1.1191661365096253</v>
      </c>
      <c r="P22" s="9">
        <f t="shared" si="10"/>
        <v>0.95641807740731688</v>
      </c>
    </row>
    <row r="23" spans="2:16" x14ac:dyDescent="0.3">
      <c r="J23" s="12" t="s">
        <v>115</v>
      </c>
      <c r="K23" s="10">
        <f>1-K22</f>
        <v>0.103807920820566</v>
      </c>
      <c r="L23" s="10">
        <f t="shared" ref="L23:P23" si="11">1-L22</f>
        <v>-1.1662424632180812E-2</v>
      </c>
      <c r="M23" s="10">
        <f t="shared" si="11"/>
        <v>8.1923766832691092E-3</v>
      </c>
      <c r="N23" s="10">
        <f t="shared" si="11"/>
        <v>-6.4318034836009952E-2</v>
      </c>
      <c r="O23" s="10">
        <f t="shared" si="11"/>
        <v>-0.11916613650962526</v>
      </c>
      <c r="P23" s="10">
        <f t="shared" si="11"/>
        <v>4.358192259268312E-2</v>
      </c>
    </row>
  </sheetData>
  <sortState xmlns:xlrd2="http://schemas.microsoft.com/office/spreadsheetml/2017/richdata2" ref="A2:P11">
    <sortCondition ref="B1:B11"/>
  </sortState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5D355-46AF-4C3B-B830-1771B951CF52}">
  <dimension ref="A1:P45"/>
  <sheetViews>
    <sheetView tabSelected="1" zoomScale="97" workbookViewId="0">
      <selection activeCell="I7" sqref="I7"/>
    </sheetView>
  </sheetViews>
  <sheetFormatPr defaultRowHeight="14.4" x14ac:dyDescent="0.3"/>
  <cols>
    <col min="11" max="16" width="12" bestFit="1" customWidth="1"/>
  </cols>
  <sheetData>
    <row r="1" spans="1:16" ht="36.6" customHeight="1" x14ac:dyDescent="0.3">
      <c r="A1" s="1" t="s">
        <v>94</v>
      </c>
      <c r="B1" s="2" t="s">
        <v>95</v>
      </c>
      <c r="C1" s="3" t="s">
        <v>96</v>
      </c>
      <c r="D1" s="3" t="s">
        <v>97</v>
      </c>
      <c r="E1" s="3" t="s">
        <v>98</v>
      </c>
      <c r="F1" s="2" t="s">
        <v>99</v>
      </c>
      <c r="G1" s="3" t="s">
        <v>100</v>
      </c>
      <c r="H1" s="3" t="s">
        <v>101</v>
      </c>
      <c r="I1" s="4" t="s">
        <v>95</v>
      </c>
      <c r="J1" s="5" t="s">
        <v>95</v>
      </c>
      <c r="K1" s="6" t="s">
        <v>96</v>
      </c>
      <c r="L1" s="6" t="s">
        <v>97</v>
      </c>
      <c r="M1" s="6" t="s">
        <v>98</v>
      </c>
      <c r="N1" s="5" t="s">
        <v>99</v>
      </c>
      <c r="O1" s="6" t="s">
        <v>100</v>
      </c>
      <c r="P1" s="6" t="s">
        <v>101</v>
      </c>
    </row>
    <row r="2" spans="1:16" x14ac:dyDescent="0.3">
      <c r="A2" s="8" t="s">
        <v>90</v>
      </c>
      <c r="B2" s="8">
        <v>7.069991985055403E-3</v>
      </c>
      <c r="C2" s="8">
        <v>9.3457943925233638E-3</v>
      </c>
      <c r="D2" s="8">
        <v>0</v>
      </c>
      <c r="E2" s="8">
        <v>0</v>
      </c>
      <c r="F2" s="8">
        <v>1.2779552715654952E-2</v>
      </c>
      <c r="G2" s="8">
        <v>2.2222222222222223E-2</v>
      </c>
      <c r="H2" s="8">
        <v>2.0408163265306121E-2</v>
      </c>
      <c r="I2" s="8">
        <v>7.069991985055403E-3</v>
      </c>
      <c r="J2" s="8">
        <v>7.069991985055403E-3</v>
      </c>
      <c r="K2" s="8">
        <v>9.3457943925233638E-3</v>
      </c>
      <c r="L2" s="8">
        <v>0</v>
      </c>
      <c r="M2" s="8">
        <v>0</v>
      </c>
      <c r="N2" s="8">
        <v>1.2779552715654952E-2</v>
      </c>
      <c r="O2" s="8">
        <v>2.2222222222222223E-2</v>
      </c>
      <c r="P2" s="8">
        <v>2.0408163265306121E-2</v>
      </c>
    </row>
    <row r="3" spans="1:16" x14ac:dyDescent="0.3">
      <c r="A3" s="8" t="s">
        <v>77</v>
      </c>
      <c r="B3" s="8">
        <v>1.0696988314397898E-2</v>
      </c>
      <c r="C3" s="8">
        <v>1.8691588785046728E-2</v>
      </c>
      <c r="D3" s="8">
        <v>2.1052631578947368E-2</v>
      </c>
      <c r="E3" s="8">
        <v>0</v>
      </c>
      <c r="F3" s="8">
        <v>9.5846645367412137E-3</v>
      </c>
      <c r="G3" s="8">
        <v>3.7037037037037038E-3</v>
      </c>
      <c r="H3" s="8">
        <v>2.7210884353741496E-2</v>
      </c>
      <c r="I3" s="8">
        <v>1.7766980299453301E-2</v>
      </c>
      <c r="J3" s="8">
        <f t="shared" ref="J3:P10" si="0">J2+B3</f>
        <v>1.7766980299453301E-2</v>
      </c>
      <c r="K3" s="8">
        <f t="shared" si="0"/>
        <v>2.803738317757009E-2</v>
      </c>
      <c r="L3" s="8">
        <f t="shared" si="0"/>
        <v>2.1052631578947368E-2</v>
      </c>
      <c r="M3" s="8">
        <f t="shared" si="0"/>
        <v>0</v>
      </c>
      <c r="N3" s="8">
        <f t="shared" si="0"/>
        <v>2.2364217252396165E-2</v>
      </c>
      <c r="O3" s="8">
        <f t="shared" si="0"/>
        <v>2.5925925925925929E-2</v>
      </c>
      <c r="P3" s="8">
        <f t="shared" si="0"/>
        <v>4.7619047619047616E-2</v>
      </c>
    </row>
    <row r="4" spans="1:16" x14ac:dyDescent="0.3">
      <c r="A4" s="8" t="s">
        <v>91</v>
      </c>
      <c r="B4" s="8">
        <v>1.1442346975371978E-2</v>
      </c>
      <c r="C4" s="8">
        <v>2.336448598130841E-2</v>
      </c>
      <c r="D4" s="8">
        <v>1.0526315789473684E-2</v>
      </c>
      <c r="E4" s="8">
        <v>1.7391304347826087E-2</v>
      </c>
      <c r="F4" s="8">
        <v>1.5974440894568689E-2</v>
      </c>
      <c r="G4" s="8">
        <v>1.1111111111111112E-2</v>
      </c>
      <c r="H4" s="8">
        <v>1.3605442176870748E-2</v>
      </c>
      <c r="I4" s="8">
        <v>2.9209327274825281E-2</v>
      </c>
      <c r="J4" s="8">
        <f t="shared" si="0"/>
        <v>2.9209327274825281E-2</v>
      </c>
      <c r="K4" s="8">
        <f t="shared" si="0"/>
        <v>5.1401869158878497E-2</v>
      </c>
      <c r="L4" s="8">
        <f t="shared" si="0"/>
        <v>3.1578947368421054E-2</v>
      </c>
      <c r="M4" s="8">
        <f t="shared" si="0"/>
        <v>1.7391304347826087E-2</v>
      </c>
      <c r="N4" s="8">
        <f t="shared" si="0"/>
        <v>3.8338658146964855E-2</v>
      </c>
      <c r="O4" s="8">
        <f t="shared" si="0"/>
        <v>3.7037037037037042E-2</v>
      </c>
      <c r="P4" s="8">
        <f t="shared" si="0"/>
        <v>6.1224489795918366E-2</v>
      </c>
    </row>
    <row r="5" spans="1:16" x14ac:dyDescent="0.3">
      <c r="A5" s="8" t="s">
        <v>78</v>
      </c>
      <c r="B5" s="8">
        <v>1.3104590349008736E-2</v>
      </c>
      <c r="C5" s="8">
        <v>3.7383177570093455E-2</v>
      </c>
      <c r="D5" s="8">
        <v>1.0526315789473684E-2</v>
      </c>
      <c r="E5" s="8">
        <v>5.2173913043478258E-2</v>
      </c>
      <c r="F5" s="8">
        <v>5.1118210862619806E-2</v>
      </c>
      <c r="G5" s="8">
        <v>4.0740740740740744E-2</v>
      </c>
      <c r="H5" s="8">
        <v>0.12244897959183673</v>
      </c>
      <c r="I5" s="8">
        <v>4.2313917623834019E-2</v>
      </c>
      <c r="J5" s="8">
        <f t="shared" si="0"/>
        <v>4.2313917623834019E-2</v>
      </c>
      <c r="K5" s="8">
        <f t="shared" si="0"/>
        <v>8.8785046728971945E-2</v>
      </c>
      <c r="L5" s="8">
        <f t="shared" si="0"/>
        <v>4.2105263157894736E-2</v>
      </c>
      <c r="M5" s="8">
        <f t="shared" si="0"/>
        <v>6.9565217391304349E-2</v>
      </c>
      <c r="N5" s="8">
        <f t="shared" si="0"/>
        <v>8.9456869009584661E-2</v>
      </c>
      <c r="O5" s="8">
        <f t="shared" si="0"/>
        <v>7.7777777777777779E-2</v>
      </c>
      <c r="P5" s="8">
        <f t="shared" si="0"/>
        <v>0.18367346938775508</v>
      </c>
    </row>
    <row r="6" spans="1:16" x14ac:dyDescent="0.3">
      <c r="A6" s="8" t="s">
        <v>75</v>
      </c>
      <c r="B6" s="8">
        <v>1.3269879089726837E-2</v>
      </c>
      <c r="C6" s="8">
        <v>4.6728971962616819E-3</v>
      </c>
      <c r="D6" s="8">
        <v>1.0526315789473684E-2</v>
      </c>
      <c r="E6" s="8">
        <v>0</v>
      </c>
      <c r="F6" s="8">
        <v>6.3897763578274758E-3</v>
      </c>
      <c r="G6" s="8">
        <v>0</v>
      </c>
      <c r="H6" s="8">
        <v>1.3605442176870748E-2</v>
      </c>
      <c r="I6" s="8">
        <v>5.5583796713560854E-2</v>
      </c>
      <c r="J6" s="8">
        <f t="shared" si="0"/>
        <v>5.5583796713560854E-2</v>
      </c>
      <c r="K6" s="8">
        <f t="shared" si="0"/>
        <v>9.3457943925233627E-2</v>
      </c>
      <c r="L6" s="8">
        <f t="shared" si="0"/>
        <v>5.2631578947368418E-2</v>
      </c>
      <c r="M6" s="8">
        <f t="shared" si="0"/>
        <v>6.9565217391304349E-2</v>
      </c>
      <c r="N6" s="8">
        <f t="shared" si="0"/>
        <v>9.5846645367412137E-2</v>
      </c>
      <c r="O6" s="8">
        <f t="shared" si="0"/>
        <v>7.7777777777777779E-2</v>
      </c>
      <c r="P6" s="8">
        <f t="shared" si="0"/>
        <v>0.19727891156462582</v>
      </c>
    </row>
    <row r="7" spans="1:16" x14ac:dyDescent="0.3">
      <c r="A7" s="8" t="s">
        <v>85</v>
      </c>
      <c r="B7" s="8">
        <v>1.6575653904088869E-2</v>
      </c>
      <c r="C7" s="8">
        <v>4.6728971962616819E-3</v>
      </c>
      <c r="D7" s="8">
        <v>1.0526315789473684E-2</v>
      </c>
      <c r="E7" s="8">
        <v>0</v>
      </c>
      <c r="F7" s="8">
        <v>6.3897763578274758E-3</v>
      </c>
      <c r="G7" s="8">
        <v>1.4814814814814815E-2</v>
      </c>
      <c r="H7" s="8">
        <v>1.3605442176870748E-2</v>
      </c>
      <c r="I7" s="8">
        <v>7.2159450617649723E-2</v>
      </c>
      <c r="J7" s="8">
        <f t="shared" si="0"/>
        <v>7.2159450617649723E-2</v>
      </c>
      <c r="K7" s="8">
        <f t="shared" si="0"/>
        <v>9.813084112149531E-2</v>
      </c>
      <c r="L7" s="8">
        <f t="shared" si="0"/>
        <v>6.3157894736842107E-2</v>
      </c>
      <c r="M7" s="8">
        <f t="shared" si="0"/>
        <v>6.9565217391304349E-2</v>
      </c>
      <c r="N7" s="8">
        <f t="shared" si="0"/>
        <v>0.10223642172523961</v>
      </c>
      <c r="O7" s="8">
        <f t="shared" si="0"/>
        <v>9.2592592592592587E-2</v>
      </c>
      <c r="P7" s="8">
        <f t="shared" si="0"/>
        <v>0.21088435374149656</v>
      </c>
    </row>
    <row r="8" spans="1:16" x14ac:dyDescent="0.3">
      <c r="A8" s="8" t="s">
        <v>81</v>
      </c>
      <c r="B8" s="8">
        <v>2.1911673439346829E-2</v>
      </c>
      <c r="C8" s="8">
        <v>4.6728971962616821E-2</v>
      </c>
      <c r="D8" s="8">
        <v>3.1578947368421054E-2</v>
      </c>
      <c r="E8" s="8">
        <v>0</v>
      </c>
      <c r="F8" s="8">
        <v>9.5846645367412137E-3</v>
      </c>
      <c r="G8" s="8">
        <v>2.9629629629629631E-2</v>
      </c>
      <c r="H8" s="8">
        <v>7.4829931972789115E-2</v>
      </c>
      <c r="I8" s="8">
        <v>9.4071124056996552E-2</v>
      </c>
      <c r="J8" s="8">
        <f t="shared" si="0"/>
        <v>9.4071124056996552E-2</v>
      </c>
      <c r="K8" s="8">
        <f t="shared" si="0"/>
        <v>0.14485981308411214</v>
      </c>
      <c r="L8" s="8">
        <f t="shared" si="0"/>
        <v>9.4736842105263161E-2</v>
      </c>
      <c r="M8" s="8">
        <f t="shared" si="0"/>
        <v>6.9565217391304349E-2</v>
      </c>
      <c r="N8" s="8">
        <f t="shared" si="0"/>
        <v>0.11182108626198083</v>
      </c>
      <c r="O8" s="8">
        <f t="shared" si="0"/>
        <v>0.12222222222222222</v>
      </c>
      <c r="P8" s="8">
        <f t="shared" si="0"/>
        <v>0.2857142857142857</v>
      </c>
    </row>
    <row r="9" spans="1:16" x14ac:dyDescent="0.3">
      <c r="A9" s="8" t="s">
        <v>76</v>
      </c>
      <c r="B9" s="8">
        <v>2.3798460007921386E-2</v>
      </c>
      <c r="C9" s="8">
        <v>1.4018691588785047E-2</v>
      </c>
      <c r="D9" s="8">
        <v>1.0526315789473684E-2</v>
      </c>
      <c r="E9" s="8">
        <v>0</v>
      </c>
      <c r="F9" s="8">
        <v>2.5559105431309903E-2</v>
      </c>
      <c r="G9" s="8">
        <v>1.4814814814814815E-2</v>
      </c>
      <c r="H9" s="8">
        <v>0.12925170068027211</v>
      </c>
      <c r="I9" s="8">
        <v>0.11786958406491793</v>
      </c>
      <c r="J9" s="8">
        <f t="shared" si="0"/>
        <v>0.11786958406491793</v>
      </c>
      <c r="K9" s="8">
        <f t="shared" si="0"/>
        <v>0.15887850467289719</v>
      </c>
      <c r="L9" s="8">
        <f t="shared" si="0"/>
        <v>0.10526315789473685</v>
      </c>
      <c r="M9" s="8">
        <f t="shared" si="0"/>
        <v>6.9565217391304349E-2</v>
      </c>
      <c r="N9" s="8">
        <f t="shared" si="0"/>
        <v>0.13738019169329074</v>
      </c>
      <c r="O9" s="8">
        <f t="shared" si="0"/>
        <v>0.13703703703703704</v>
      </c>
      <c r="P9" s="8">
        <f t="shared" si="0"/>
        <v>0.41496598639455784</v>
      </c>
    </row>
    <row r="10" spans="1:16" x14ac:dyDescent="0.3">
      <c r="A10" s="8" t="s">
        <v>89</v>
      </c>
      <c r="B10" s="8">
        <v>2.4643615644423376E-2</v>
      </c>
      <c r="C10" s="8">
        <v>2.336448598130841E-2</v>
      </c>
      <c r="D10" s="8">
        <v>2.1052631578947368E-2</v>
      </c>
      <c r="E10" s="8">
        <v>8.6956521739130436E-3</v>
      </c>
      <c r="F10" s="8">
        <v>6.3897763578274758E-3</v>
      </c>
      <c r="G10" s="8">
        <v>1.8518518518518517E-2</v>
      </c>
      <c r="H10" s="8">
        <v>6.8027210884353739E-3</v>
      </c>
      <c r="I10" s="8">
        <v>0.14251319970934131</v>
      </c>
      <c r="J10" s="8">
        <f t="shared" si="0"/>
        <v>0.14251319970934131</v>
      </c>
      <c r="K10" s="8">
        <f t="shared" ref="K10" si="1">K9+C10</f>
        <v>0.1822429906542056</v>
      </c>
      <c r="L10" s="8">
        <f t="shared" ref="L10" si="2">L9+D10</f>
        <v>0.12631578947368421</v>
      </c>
      <c r="M10" s="8">
        <f t="shared" ref="M10" si="3">M9+E10</f>
        <v>7.8260869565217397E-2</v>
      </c>
      <c r="N10" s="8">
        <f t="shared" ref="N10" si="4">N9+F10</f>
        <v>0.14376996805111822</v>
      </c>
      <c r="O10" s="8">
        <f t="shared" ref="O10" si="5">O9+G10</f>
        <v>0.15555555555555556</v>
      </c>
      <c r="P10" s="8">
        <f t="shared" ref="P10" si="6">P9+H10</f>
        <v>0.42176870748299322</v>
      </c>
    </row>
    <row r="11" spans="1:16" x14ac:dyDescent="0.3">
      <c r="A11" s="8" t="s">
        <v>82</v>
      </c>
      <c r="B11" s="8">
        <v>2.5872365905610772E-2</v>
      </c>
      <c r="C11" s="8">
        <v>3.7383177570093455E-2</v>
      </c>
      <c r="D11" s="8">
        <v>4.2105263157894736E-2</v>
      </c>
      <c r="E11" s="8">
        <v>1.7391304347826087E-2</v>
      </c>
      <c r="F11" s="8">
        <v>0.12779552715654952</v>
      </c>
      <c r="G11" s="8">
        <v>0.12592592592592591</v>
      </c>
      <c r="H11" s="8">
        <v>5.4421768707482991E-2</v>
      </c>
      <c r="I11" s="8">
        <v>0.16838556561495208</v>
      </c>
      <c r="J11" s="8">
        <f t="shared" ref="J11:J21" si="7">J10+B11</f>
        <v>0.16838556561495208</v>
      </c>
      <c r="K11" s="8">
        <f t="shared" ref="K11:K21" si="8">K10+C11</f>
        <v>0.21962616822429906</v>
      </c>
      <c r="L11" s="8">
        <f t="shared" ref="L11:L21" si="9">L10+D11</f>
        <v>0.16842105263157894</v>
      </c>
      <c r="M11" s="8">
        <f t="shared" ref="M11:M21" si="10">M10+E11</f>
        <v>9.5652173913043481E-2</v>
      </c>
      <c r="N11" s="8">
        <f t="shared" ref="N11:N21" si="11">N10+F11</f>
        <v>0.27156549520766771</v>
      </c>
      <c r="O11" s="8">
        <f t="shared" ref="O11:O21" si="12">O10+G11</f>
        <v>0.28148148148148144</v>
      </c>
      <c r="P11" s="8">
        <f t="shared" ref="P11:P21" si="13">P10+H11</f>
        <v>0.47619047619047622</v>
      </c>
    </row>
    <row r="12" spans="1:16" x14ac:dyDescent="0.3">
      <c r="A12" s="8" t="s">
        <v>87</v>
      </c>
      <c r="B12" s="8">
        <v>2.5987756158564919E-2</v>
      </c>
      <c r="C12" s="8">
        <v>2.336448598130841E-2</v>
      </c>
      <c r="D12" s="8">
        <v>3.1578947368421054E-2</v>
      </c>
      <c r="E12" s="8">
        <v>4.3478260869565216E-2</v>
      </c>
      <c r="F12" s="8">
        <v>3.5143769968051117E-2</v>
      </c>
      <c r="G12" s="8">
        <v>2.9629629629629631E-2</v>
      </c>
      <c r="H12" s="8">
        <v>4.0816326530612242E-2</v>
      </c>
      <c r="I12" s="8">
        <v>0.19437332177351699</v>
      </c>
      <c r="J12" s="8">
        <f t="shared" si="7"/>
        <v>0.19437332177351699</v>
      </c>
      <c r="K12" s="8">
        <f t="shared" si="8"/>
        <v>0.24299065420560748</v>
      </c>
      <c r="L12" s="8">
        <f t="shared" si="9"/>
        <v>0.2</v>
      </c>
      <c r="M12" s="8">
        <f t="shared" si="10"/>
        <v>0.1391304347826087</v>
      </c>
      <c r="N12" s="8">
        <f t="shared" si="11"/>
        <v>0.30670926517571884</v>
      </c>
      <c r="O12" s="8">
        <f t="shared" si="12"/>
        <v>0.31111111111111106</v>
      </c>
      <c r="P12" s="8">
        <f t="shared" si="13"/>
        <v>0.51700680272108845</v>
      </c>
    </row>
    <row r="13" spans="1:16" x14ac:dyDescent="0.3">
      <c r="A13" s="8" t="s">
        <v>80</v>
      </c>
      <c r="B13" s="8">
        <v>2.7837118861316509E-2</v>
      </c>
      <c r="C13" s="8">
        <v>1.4018691588785047E-2</v>
      </c>
      <c r="D13" s="8">
        <v>3.1578947368421054E-2</v>
      </c>
      <c r="E13" s="8">
        <v>2.6086956521739129E-2</v>
      </c>
      <c r="F13" s="8">
        <v>1.5974440894568689E-2</v>
      </c>
      <c r="G13" s="8">
        <v>2.5925925925925925E-2</v>
      </c>
      <c r="H13" s="8">
        <v>2.7210884353741496E-2</v>
      </c>
      <c r="I13" s="8">
        <v>0.2222104406348335</v>
      </c>
      <c r="J13" s="8">
        <f t="shared" si="7"/>
        <v>0.2222104406348335</v>
      </c>
      <c r="K13" s="8">
        <f t="shared" si="8"/>
        <v>0.2570093457943925</v>
      </c>
      <c r="L13" s="8">
        <f t="shared" si="9"/>
        <v>0.23157894736842105</v>
      </c>
      <c r="M13" s="8">
        <f t="shared" si="10"/>
        <v>0.16521739130434782</v>
      </c>
      <c r="N13" s="8">
        <f t="shared" si="11"/>
        <v>0.32268370607028751</v>
      </c>
      <c r="O13" s="8">
        <f t="shared" si="12"/>
        <v>0.33703703703703697</v>
      </c>
      <c r="P13" s="8">
        <f t="shared" si="13"/>
        <v>0.54421768707482998</v>
      </c>
    </row>
    <row r="14" spans="1:16" x14ac:dyDescent="0.3">
      <c r="A14" s="8" t="s">
        <v>84</v>
      </c>
      <c r="B14" s="8">
        <v>3.346941066767295E-2</v>
      </c>
      <c r="C14" s="8">
        <v>3.2710280373831772E-2</v>
      </c>
      <c r="D14" s="8">
        <v>6.3157894736842107E-2</v>
      </c>
      <c r="E14" s="8">
        <v>1.7391304347826087E-2</v>
      </c>
      <c r="F14" s="8">
        <v>6.3897763578274758E-3</v>
      </c>
      <c r="G14" s="8">
        <v>1.4814814814814815E-2</v>
      </c>
      <c r="H14" s="8">
        <v>1.3605442176870748E-2</v>
      </c>
      <c r="I14" s="8">
        <v>0.25567985130250648</v>
      </c>
      <c r="J14" s="8">
        <f t="shared" si="7"/>
        <v>0.25567985130250648</v>
      </c>
      <c r="K14" s="8">
        <f t="shared" si="8"/>
        <v>0.28971962616822428</v>
      </c>
      <c r="L14" s="8">
        <f t="shared" si="9"/>
        <v>0.29473684210526319</v>
      </c>
      <c r="M14" s="8">
        <f t="shared" si="10"/>
        <v>0.18260869565217391</v>
      </c>
      <c r="N14" s="8">
        <f t="shared" si="11"/>
        <v>0.32907348242811496</v>
      </c>
      <c r="O14" s="8">
        <f t="shared" si="12"/>
        <v>0.3518518518518518</v>
      </c>
      <c r="P14" s="8">
        <f t="shared" si="13"/>
        <v>0.55782312925170074</v>
      </c>
    </row>
    <row r="15" spans="1:16" x14ac:dyDescent="0.3">
      <c r="A15" s="8" t="s">
        <v>83</v>
      </c>
      <c r="B15" s="8">
        <v>3.3603512853538582E-2</v>
      </c>
      <c r="C15" s="8">
        <v>7.476635514018691E-2</v>
      </c>
      <c r="D15" s="8">
        <v>9.4736842105263161E-2</v>
      </c>
      <c r="E15" s="8">
        <v>0.12173913043478261</v>
      </c>
      <c r="F15" s="8">
        <v>7.6677316293929709E-2</v>
      </c>
      <c r="G15" s="8">
        <v>7.7777777777777779E-2</v>
      </c>
      <c r="H15" s="8">
        <v>6.1224489795918366E-2</v>
      </c>
      <c r="I15" s="8">
        <v>0.28928336415604505</v>
      </c>
      <c r="J15" s="8">
        <f t="shared" si="7"/>
        <v>0.28928336415604505</v>
      </c>
      <c r="K15" s="8">
        <f t="shared" si="8"/>
        <v>0.3644859813084112</v>
      </c>
      <c r="L15" s="8">
        <f t="shared" si="9"/>
        <v>0.38947368421052636</v>
      </c>
      <c r="M15" s="8">
        <f t="shared" si="10"/>
        <v>0.30434782608695654</v>
      </c>
      <c r="N15" s="8">
        <f t="shared" si="11"/>
        <v>0.40575079872204467</v>
      </c>
      <c r="O15" s="8">
        <f t="shared" si="12"/>
        <v>0.42962962962962958</v>
      </c>
      <c r="P15" s="8">
        <f t="shared" si="13"/>
        <v>0.61904761904761907</v>
      </c>
    </row>
    <row r="16" spans="1:16" x14ac:dyDescent="0.3">
      <c r="A16" s="8" t="s">
        <v>88</v>
      </c>
      <c r="B16" s="8">
        <v>3.9765976092387051E-2</v>
      </c>
      <c r="C16" s="8">
        <v>4.2056074766355138E-2</v>
      </c>
      <c r="D16" s="8">
        <v>1.0526315789473684E-2</v>
      </c>
      <c r="E16" s="8">
        <v>3.4782608695652174E-2</v>
      </c>
      <c r="F16" s="8">
        <v>8.6261980830670923E-2</v>
      </c>
      <c r="G16" s="8">
        <v>1.8518518518518517E-2</v>
      </c>
      <c r="H16" s="8">
        <v>0</v>
      </c>
      <c r="I16" s="8">
        <v>0.32904934024843213</v>
      </c>
      <c r="J16" s="8">
        <f t="shared" si="7"/>
        <v>0.32904934024843213</v>
      </c>
      <c r="K16" s="8">
        <f t="shared" si="8"/>
        <v>0.40654205607476634</v>
      </c>
      <c r="L16" s="8">
        <f t="shared" si="9"/>
        <v>0.4</v>
      </c>
      <c r="M16" s="8">
        <f t="shared" si="10"/>
        <v>0.33913043478260874</v>
      </c>
      <c r="N16" s="8">
        <f t="shared" si="11"/>
        <v>0.49201277955271561</v>
      </c>
      <c r="O16" s="8">
        <f t="shared" si="12"/>
        <v>0.44814814814814807</v>
      </c>
      <c r="P16" s="8">
        <f t="shared" si="13"/>
        <v>0.61904761904761907</v>
      </c>
    </row>
    <row r="17" spans="1:16" x14ac:dyDescent="0.3">
      <c r="A17" s="8" t="s">
        <v>92</v>
      </c>
      <c r="B17" s="8">
        <v>5.2296733832110302E-2</v>
      </c>
      <c r="C17" s="8">
        <v>3.7383177570093455E-2</v>
      </c>
      <c r="D17" s="8">
        <v>7.3684210526315783E-2</v>
      </c>
      <c r="E17" s="8">
        <v>7.8260869565217397E-2</v>
      </c>
      <c r="F17" s="8">
        <v>4.7923322683706068E-2</v>
      </c>
      <c r="G17" s="8">
        <v>3.3333333333333333E-2</v>
      </c>
      <c r="H17" s="8">
        <v>2.0408163265306121E-2</v>
      </c>
      <c r="I17" s="8">
        <v>0.38134607408054244</v>
      </c>
      <c r="J17" s="8">
        <f t="shared" si="7"/>
        <v>0.38134607408054244</v>
      </c>
      <c r="K17" s="8">
        <f t="shared" si="8"/>
        <v>0.44392523364485981</v>
      </c>
      <c r="L17" s="8">
        <f t="shared" si="9"/>
        <v>0.47368421052631582</v>
      </c>
      <c r="M17" s="8">
        <f t="shared" si="10"/>
        <v>0.41739130434782612</v>
      </c>
      <c r="N17" s="8">
        <f t="shared" si="11"/>
        <v>0.53993610223642163</v>
      </c>
      <c r="O17" s="8">
        <f t="shared" si="12"/>
        <v>0.4814814814814814</v>
      </c>
      <c r="P17" s="8">
        <f t="shared" si="13"/>
        <v>0.63945578231292521</v>
      </c>
    </row>
    <row r="18" spans="1:16" x14ac:dyDescent="0.3">
      <c r="A18" s="8" t="s">
        <v>86</v>
      </c>
      <c r="B18" s="8">
        <v>5.6157629322846334E-2</v>
      </c>
      <c r="C18" s="8">
        <v>0.16355140186915887</v>
      </c>
      <c r="D18" s="8">
        <v>7.3684210526315783E-2</v>
      </c>
      <c r="E18" s="8">
        <v>7.8260869565217397E-2</v>
      </c>
      <c r="F18" s="8">
        <v>7.6677316293929709E-2</v>
      </c>
      <c r="G18" s="8">
        <v>5.5555555555555552E-2</v>
      </c>
      <c r="H18" s="8">
        <v>3.4013605442176874E-2</v>
      </c>
      <c r="I18" s="8">
        <v>0.43750370340338879</v>
      </c>
      <c r="J18" s="8">
        <f t="shared" si="7"/>
        <v>0.43750370340338879</v>
      </c>
      <c r="K18" s="8">
        <f t="shared" si="8"/>
        <v>0.60747663551401865</v>
      </c>
      <c r="L18" s="8">
        <f t="shared" si="9"/>
        <v>0.54736842105263162</v>
      </c>
      <c r="M18" s="8">
        <f t="shared" si="10"/>
        <v>0.4956521739130435</v>
      </c>
      <c r="N18" s="8">
        <f t="shared" si="11"/>
        <v>0.61661341853035134</v>
      </c>
      <c r="O18" s="8">
        <f t="shared" si="12"/>
        <v>0.53703703703703698</v>
      </c>
      <c r="P18" s="8">
        <f t="shared" si="13"/>
        <v>0.67346938775510212</v>
      </c>
    </row>
    <row r="19" spans="1:16" x14ac:dyDescent="0.3">
      <c r="A19" s="8" t="s">
        <v>79</v>
      </c>
      <c r="B19" s="8">
        <v>5.9313708673916499E-2</v>
      </c>
      <c r="C19" s="8">
        <v>6.0747663551401869E-2</v>
      </c>
      <c r="D19" s="8">
        <v>0.11578947368421053</v>
      </c>
      <c r="E19" s="8">
        <v>0.2</v>
      </c>
      <c r="F19" s="8">
        <v>9.2651757188498399E-2</v>
      </c>
      <c r="G19" s="8">
        <v>0.16666666666666666</v>
      </c>
      <c r="H19" s="8">
        <v>0.10204081632653061</v>
      </c>
      <c r="I19" s="8">
        <v>0.49681741207730529</v>
      </c>
      <c r="J19" s="8">
        <f t="shared" si="7"/>
        <v>0.49681741207730529</v>
      </c>
      <c r="K19" s="8">
        <f t="shared" si="8"/>
        <v>0.66822429906542047</v>
      </c>
      <c r="L19" s="8">
        <f t="shared" si="9"/>
        <v>0.66315789473684217</v>
      </c>
      <c r="M19" s="8">
        <f t="shared" si="10"/>
        <v>0.69565217391304346</v>
      </c>
      <c r="N19" s="8">
        <f t="shared" si="11"/>
        <v>0.70926517571884973</v>
      </c>
      <c r="O19" s="8">
        <f t="shared" si="12"/>
        <v>0.70370370370370361</v>
      </c>
      <c r="P19" s="8">
        <f t="shared" si="13"/>
        <v>0.77551020408163274</v>
      </c>
    </row>
    <row r="20" spans="1:16" x14ac:dyDescent="0.3">
      <c r="A20" s="8" t="s">
        <v>93</v>
      </c>
      <c r="B20" s="8">
        <v>0.13519683394095139</v>
      </c>
      <c r="C20" s="8">
        <v>7.476635514018691E-2</v>
      </c>
      <c r="D20" s="8">
        <v>6.3157894736842107E-2</v>
      </c>
      <c r="E20" s="8">
        <v>9.5652173913043481E-2</v>
      </c>
      <c r="F20" s="8">
        <v>7.9872204472843447E-2</v>
      </c>
      <c r="G20" s="8">
        <v>5.5555555555555552E-2</v>
      </c>
      <c r="H20" s="8">
        <v>6.1224489795918366E-2</v>
      </c>
      <c r="I20" s="8">
        <v>0.63201424601825673</v>
      </c>
      <c r="J20" s="8">
        <f t="shared" si="7"/>
        <v>0.63201424601825673</v>
      </c>
      <c r="K20" s="8">
        <f t="shared" si="8"/>
        <v>0.74299065420560739</v>
      </c>
      <c r="L20" s="8">
        <f t="shared" si="9"/>
        <v>0.72631578947368425</v>
      </c>
      <c r="M20" s="8">
        <f t="shared" si="10"/>
        <v>0.79130434782608694</v>
      </c>
      <c r="N20" s="8">
        <f t="shared" si="11"/>
        <v>0.78913738019169322</v>
      </c>
      <c r="O20" s="8">
        <f t="shared" si="12"/>
        <v>0.75925925925925919</v>
      </c>
      <c r="P20" s="8">
        <f t="shared" si="13"/>
        <v>0.83673469387755106</v>
      </c>
    </row>
    <row r="21" spans="1:16" x14ac:dyDescent="0.3">
      <c r="A21" s="8" t="s">
        <v>74</v>
      </c>
      <c r="B21" s="8">
        <v>0.36798575398174338</v>
      </c>
      <c r="C21" s="8">
        <v>0.2570093457943925</v>
      </c>
      <c r="D21" s="8">
        <v>0.27368421052631581</v>
      </c>
      <c r="E21" s="8">
        <v>0.20869565217391303</v>
      </c>
      <c r="F21" s="8">
        <v>0.2108626198083067</v>
      </c>
      <c r="G21" s="8">
        <v>0.24074074074074073</v>
      </c>
      <c r="H21" s="8">
        <v>0.16326530612244897</v>
      </c>
      <c r="I21" s="8">
        <v>1</v>
      </c>
      <c r="J21" s="8">
        <f t="shared" si="7"/>
        <v>1</v>
      </c>
      <c r="K21" s="8">
        <f t="shared" si="8"/>
        <v>0.99999999999999989</v>
      </c>
      <c r="L21" s="8">
        <f t="shared" si="9"/>
        <v>1</v>
      </c>
      <c r="M21" s="8">
        <f t="shared" si="10"/>
        <v>1</v>
      </c>
      <c r="N21" s="8">
        <f t="shared" si="11"/>
        <v>0.99999999999999989</v>
      </c>
      <c r="O21" s="8">
        <f t="shared" si="12"/>
        <v>0.99999999999999989</v>
      </c>
      <c r="P21" s="8">
        <f t="shared" si="13"/>
        <v>1</v>
      </c>
    </row>
    <row r="23" spans="1:16" ht="28.8" x14ac:dyDescent="0.3">
      <c r="B23" s="1" t="s">
        <v>94</v>
      </c>
      <c r="C23" s="3" t="s">
        <v>102</v>
      </c>
      <c r="D23" s="3" t="s">
        <v>103</v>
      </c>
      <c r="E23" s="3" t="s">
        <v>104</v>
      </c>
      <c r="F23" s="3" t="s">
        <v>105</v>
      </c>
      <c r="G23" s="3" t="s">
        <v>106</v>
      </c>
      <c r="H23" s="3" t="s">
        <v>107</v>
      </c>
      <c r="J23" s="7"/>
      <c r="K23" s="9" t="s">
        <v>108</v>
      </c>
      <c r="L23" s="9" t="s">
        <v>109</v>
      </c>
      <c r="M23" s="9" t="s">
        <v>110</v>
      </c>
      <c r="N23" s="9" t="s">
        <v>111</v>
      </c>
      <c r="O23" s="9" t="s">
        <v>112</v>
      </c>
      <c r="P23" s="9" t="s">
        <v>113</v>
      </c>
    </row>
    <row r="24" spans="1:16" x14ac:dyDescent="0.3">
      <c r="B24" s="8" t="s">
        <v>90</v>
      </c>
      <c r="C24" s="8">
        <f>C2-B2</f>
        <v>2.2758024074679608E-3</v>
      </c>
      <c r="D24" s="8">
        <f>D2-B2</f>
        <v>-7.069991985055403E-3</v>
      </c>
      <c r="E24" s="8">
        <f>E2-B2</f>
        <v>-7.069991985055403E-3</v>
      </c>
      <c r="F24" s="8">
        <f>F2-B2</f>
        <v>5.7095607305995486E-3</v>
      </c>
      <c r="G24" s="8">
        <f>G2-B2</f>
        <v>1.515223023716682E-2</v>
      </c>
      <c r="H24" s="8">
        <f>H2-B2</f>
        <v>1.3338171280250718E-2</v>
      </c>
      <c r="J24" s="8" t="s">
        <v>90</v>
      </c>
      <c r="K24" s="7">
        <f>(J2-0) * ((K2+0))</f>
        <v>6.6074691449115905E-5</v>
      </c>
      <c r="L24" s="7">
        <f>(J2-0) * ((L2+0))</f>
        <v>0</v>
      </c>
      <c r="M24" s="7">
        <f>(J2-0) * ((M2+0))</f>
        <v>0</v>
      </c>
      <c r="N24" s="7">
        <f>(J2-0) * ((N2+0))</f>
        <v>9.0351335272273516E-5</v>
      </c>
      <c r="O24" s="7">
        <f>(J2-0) * ((O2+0))</f>
        <v>1.571109330012312E-4</v>
      </c>
      <c r="P24" s="7">
        <f>(J2-0) * ((P2+0))</f>
        <v>1.4428555071541638E-4</v>
      </c>
    </row>
    <row r="25" spans="1:16" x14ac:dyDescent="0.3">
      <c r="B25" s="8" t="s">
        <v>77</v>
      </c>
      <c r="C25" s="8">
        <f t="shared" ref="C25:C43" si="14">C3-B3</f>
        <v>7.9946004706488299E-3</v>
      </c>
      <c r="D25" s="8">
        <f t="shared" ref="D25:D43" si="15">D3-B3</f>
        <v>1.035564326454947E-2</v>
      </c>
      <c r="E25" s="8">
        <f t="shared" ref="E25:E43" si="16">E3-B3</f>
        <v>-1.0696988314397898E-2</v>
      </c>
      <c r="F25" s="8">
        <f t="shared" ref="F25:F43" si="17">F3-B3</f>
        <v>-1.112323777656684E-3</v>
      </c>
      <c r="G25" s="8">
        <f t="shared" ref="G25:G43" si="18">G3-B3</f>
        <v>-6.9932846106941938E-3</v>
      </c>
      <c r="H25" s="8">
        <f t="shared" ref="H25:H43" si="19">H3-B3</f>
        <v>1.6513896039343598E-2</v>
      </c>
      <c r="J25" s="8" t="s">
        <v>77</v>
      </c>
      <c r="K25" s="7">
        <f>(J3-J2) * ((K3+K2))</f>
        <v>3.998874136223513E-4</v>
      </c>
      <c r="L25" s="7">
        <f>(J3-J2) * ((L3+L2))</f>
        <v>2.2519975398732416E-4</v>
      </c>
      <c r="M25" s="7">
        <f>(J3-J2) * ((M3+M2))</f>
        <v>0</v>
      </c>
      <c r="N25" s="7">
        <f>(J3-J2) * ((N3+N2))</f>
        <v>3.7593249667213055E-4</v>
      </c>
      <c r="O25" s="7">
        <f>(J3-J2) * ((O3+O2))</f>
        <v>5.1504017810063952E-4</v>
      </c>
      <c r="P25" s="7">
        <f>(J3-J2) * ((P3+P2))</f>
        <v>7.2768627989101332E-4</v>
      </c>
    </row>
    <row r="26" spans="1:16" x14ac:dyDescent="0.3">
      <c r="B26" s="8" t="s">
        <v>91</v>
      </c>
      <c r="C26" s="8">
        <f t="shared" si="14"/>
        <v>1.1922139005936432E-2</v>
      </c>
      <c r="D26" s="8">
        <f t="shared" si="15"/>
        <v>-9.1603118589829446E-4</v>
      </c>
      <c r="E26" s="8">
        <f t="shared" si="16"/>
        <v>5.9489573724541087E-3</v>
      </c>
      <c r="F26" s="8">
        <f t="shared" si="17"/>
        <v>4.532093919196711E-3</v>
      </c>
      <c r="G26" s="8">
        <f t="shared" si="18"/>
        <v>-3.312358642608669E-4</v>
      </c>
      <c r="H26" s="8">
        <f t="shared" si="19"/>
        <v>2.1630952014987694E-3</v>
      </c>
      <c r="J26" s="8" t="s">
        <v>91</v>
      </c>
      <c r="K26" s="7">
        <f t="shared" ref="K26:K43" si="20">(J4-J3) * ((K4+K3))</f>
        <v>9.0897148869777393E-4</v>
      </c>
      <c r="L26" s="7">
        <f t="shared" ref="L26:L43" si="21">(J4-J3) * ((L4+L3))</f>
        <v>6.0222878817747262E-4</v>
      </c>
      <c r="M26" s="7">
        <f t="shared" ref="M26:M43" si="22">(J4-J3) * ((M4+M3))</f>
        <v>1.9899733870212141E-4</v>
      </c>
      <c r="N26" s="7">
        <f t="shared" ref="N26:N43" si="23">(J4-J3) * ((N4+N3))</f>
        <v>6.9458336272226078E-4</v>
      </c>
      <c r="O26" s="7">
        <f t="shared" ref="O26:O43" si="24">(J4-J3) * ((O4+O3))</f>
        <v>7.2044406881971738E-4</v>
      </c>
      <c r="P26" s="7">
        <f t="shared" ref="P26:P43" si="25">(J4-J3) * ((P4+P3))</f>
        <v>1.2454255211289229E-3</v>
      </c>
    </row>
    <row r="27" spans="1:16" x14ac:dyDescent="0.3">
      <c r="B27" s="8" t="s">
        <v>78</v>
      </c>
      <c r="C27" s="8">
        <f t="shared" si="14"/>
        <v>2.4278587221084717E-2</v>
      </c>
      <c r="D27" s="8">
        <f t="shared" si="15"/>
        <v>-2.5782745595350522E-3</v>
      </c>
      <c r="E27" s="8">
        <f t="shared" si="16"/>
        <v>3.906932269446952E-2</v>
      </c>
      <c r="F27" s="8">
        <f t="shared" si="17"/>
        <v>3.8013620513611068E-2</v>
      </c>
      <c r="G27" s="8">
        <f t="shared" si="18"/>
        <v>2.7636150391732006E-2</v>
      </c>
      <c r="H27" s="8">
        <f t="shared" si="19"/>
        <v>0.10934438924282799</v>
      </c>
      <c r="J27" s="8" t="s">
        <v>78</v>
      </c>
      <c r="K27" s="7">
        <f t="shared" si="20"/>
        <v>1.8370921050012243E-3</v>
      </c>
      <c r="L27" s="7">
        <f t="shared" si="21"/>
        <v>9.6560139413748606E-4</v>
      </c>
      <c r="M27" s="7">
        <f t="shared" si="22"/>
        <v>1.1395295955659772E-3</v>
      </c>
      <c r="N27" s="7">
        <f t="shared" si="23"/>
        <v>1.6747080318222029E-3</v>
      </c>
      <c r="O27" s="7">
        <f t="shared" si="24"/>
        <v>1.5046011141454476E-3</v>
      </c>
      <c r="P27" s="7">
        <f t="shared" si="25"/>
        <v>3.2092874324103032E-3</v>
      </c>
    </row>
    <row r="28" spans="1:16" x14ac:dyDescent="0.3">
      <c r="B28" s="8" t="s">
        <v>75</v>
      </c>
      <c r="C28" s="8">
        <f t="shared" si="14"/>
        <v>-8.5969818934651561E-3</v>
      </c>
      <c r="D28" s="8">
        <f t="shared" si="15"/>
        <v>-2.7435633002531531E-3</v>
      </c>
      <c r="E28" s="8">
        <f t="shared" si="16"/>
        <v>-1.3269879089726837E-2</v>
      </c>
      <c r="F28" s="8">
        <f t="shared" si="17"/>
        <v>-6.8801027318993613E-3</v>
      </c>
      <c r="G28" s="8">
        <f t="shared" si="18"/>
        <v>-1.3269879089726837E-2</v>
      </c>
      <c r="H28" s="8">
        <f t="shared" si="19"/>
        <v>3.3556308714391067E-4</v>
      </c>
      <c r="J28" s="8" t="s">
        <v>75</v>
      </c>
      <c r="K28" s="7">
        <f t="shared" si="20"/>
        <v>2.4183424509315256E-3</v>
      </c>
      <c r="L28" s="7">
        <f t="shared" si="21"/>
        <v>1.2571464400793842E-3</v>
      </c>
      <c r="M28" s="7">
        <f t="shared" si="22"/>
        <v>1.8462440472663422E-3</v>
      </c>
      <c r="N28" s="7">
        <f t="shared" si="23"/>
        <v>2.4589552306842058E-3</v>
      </c>
      <c r="O28" s="7">
        <f t="shared" si="24"/>
        <v>2.0642034139575077E-3</v>
      </c>
      <c r="P28" s="7">
        <f t="shared" si="25"/>
        <v>5.0551920341816515E-3</v>
      </c>
    </row>
    <row r="29" spans="1:16" x14ac:dyDescent="0.3">
      <c r="B29" s="8" t="s">
        <v>85</v>
      </c>
      <c r="C29" s="8">
        <f t="shared" si="14"/>
        <v>-1.1902756707827186E-2</v>
      </c>
      <c r="D29" s="8">
        <f t="shared" si="15"/>
        <v>-6.049338114615185E-3</v>
      </c>
      <c r="E29" s="8">
        <f t="shared" si="16"/>
        <v>-1.6575653904088869E-2</v>
      </c>
      <c r="F29" s="8">
        <f t="shared" si="17"/>
        <v>-1.0185877546261393E-2</v>
      </c>
      <c r="G29" s="8">
        <f t="shared" si="18"/>
        <v>-1.7608390892740536E-3</v>
      </c>
      <c r="H29" s="8">
        <f t="shared" si="19"/>
        <v>-2.9702117272181212E-3</v>
      </c>
      <c r="J29" s="8" t="s">
        <v>85</v>
      </c>
      <c r="K29" s="7">
        <f t="shared" si="20"/>
        <v>3.1757093928394555E-3</v>
      </c>
      <c r="L29" s="7">
        <f t="shared" si="21"/>
        <v>1.9192862415260796E-3</v>
      </c>
      <c r="M29" s="7">
        <f t="shared" si="22"/>
        <v>2.3061779344819297E-3</v>
      </c>
      <c r="N29" s="7">
        <f t="shared" si="23"/>
        <v>3.2833563643882104E-3</v>
      </c>
      <c r="O29" s="7">
        <f t="shared" si="24"/>
        <v>2.8240002947706963E-3</v>
      </c>
      <c r="P29" s="7">
        <f t="shared" si="25"/>
        <v>6.765573022077088E-3</v>
      </c>
    </row>
    <row r="30" spans="1:16" x14ac:dyDescent="0.3">
      <c r="B30" s="8" t="s">
        <v>81</v>
      </c>
      <c r="C30" s="8">
        <f t="shared" si="14"/>
        <v>2.4817298523269991E-2</v>
      </c>
      <c r="D30" s="8">
        <f t="shared" si="15"/>
        <v>9.6672739290742243E-3</v>
      </c>
      <c r="E30" s="8">
        <f t="shared" si="16"/>
        <v>-2.1911673439346829E-2</v>
      </c>
      <c r="F30" s="8">
        <f t="shared" si="17"/>
        <v>-1.2327008902605616E-2</v>
      </c>
      <c r="G30" s="8">
        <f t="shared" si="18"/>
        <v>7.7179561902828014E-3</v>
      </c>
      <c r="H30" s="8">
        <f t="shared" si="19"/>
        <v>5.2918258533442286E-2</v>
      </c>
      <c r="J30" s="8" t="s">
        <v>81</v>
      </c>
      <c r="K30" s="7">
        <f t="shared" si="20"/>
        <v>5.3243318637665182E-3</v>
      </c>
      <c r="L30" s="7">
        <f t="shared" si="21"/>
        <v>3.459737911475815E-3</v>
      </c>
      <c r="M30" s="7">
        <f t="shared" si="22"/>
        <v>3.0485806524308632E-3</v>
      </c>
      <c r="N30" s="7">
        <f t="shared" si="23"/>
        <v>4.69035821225635E-3</v>
      </c>
      <c r="O30" s="7">
        <f t="shared" si="24"/>
        <v>4.7069520721559847E-3</v>
      </c>
      <c r="P30" s="7">
        <f t="shared" si="25"/>
        <v>1.0881307218179037E-2</v>
      </c>
    </row>
    <row r="31" spans="1:16" x14ac:dyDescent="0.3">
      <c r="B31" s="8" t="s">
        <v>76</v>
      </c>
      <c r="C31" s="8">
        <f t="shared" si="14"/>
        <v>-9.7797684191363397E-3</v>
      </c>
      <c r="D31" s="8">
        <f t="shared" si="15"/>
        <v>-1.3272144218447702E-2</v>
      </c>
      <c r="E31" s="8">
        <f t="shared" si="16"/>
        <v>-2.3798460007921386E-2</v>
      </c>
      <c r="F31" s="8">
        <f t="shared" si="17"/>
        <v>1.7606454233885169E-3</v>
      </c>
      <c r="G31" s="8">
        <f t="shared" si="18"/>
        <v>-8.9836451931065708E-3</v>
      </c>
      <c r="H31" s="8">
        <f t="shared" si="19"/>
        <v>0.10545324067235073</v>
      </c>
      <c r="J31" s="8" t="s">
        <v>76</v>
      </c>
      <c r="K31" s="7">
        <f t="shared" si="20"/>
        <v>7.2285042080135024E-3</v>
      </c>
      <c r="L31" s="7">
        <f t="shared" si="21"/>
        <v>4.7596920015842764E-3</v>
      </c>
      <c r="M31" s="7">
        <f t="shared" si="22"/>
        <v>3.3110900880586268E-3</v>
      </c>
      <c r="N31" s="7">
        <f t="shared" si="23"/>
        <v>5.9306066473414302E-3</v>
      </c>
      <c r="O31" s="7">
        <f t="shared" si="24"/>
        <v>6.169971113164802E-3</v>
      </c>
      <c r="P31" s="7">
        <f t="shared" si="25"/>
        <v>1.6675111434121783E-2</v>
      </c>
    </row>
    <row r="32" spans="1:16" x14ac:dyDescent="0.3">
      <c r="B32" s="8" t="s">
        <v>89</v>
      </c>
      <c r="C32" s="8">
        <f t="shared" si="14"/>
        <v>-1.2791296631149661E-3</v>
      </c>
      <c r="D32" s="8">
        <f t="shared" si="15"/>
        <v>-3.5909840654760085E-3</v>
      </c>
      <c r="E32" s="8">
        <f t="shared" si="16"/>
        <v>-1.5947963470510335E-2</v>
      </c>
      <c r="F32" s="8">
        <f t="shared" si="17"/>
        <v>-1.8253839286595901E-2</v>
      </c>
      <c r="G32" s="8">
        <f t="shared" si="18"/>
        <v>-6.1250971259048589E-3</v>
      </c>
      <c r="H32" s="8">
        <f t="shared" si="19"/>
        <v>-1.7840894555988002E-2</v>
      </c>
      <c r="J32" s="8" t="s">
        <v>89</v>
      </c>
      <c r="K32" s="7">
        <f t="shared" si="20"/>
        <v>8.4064670188920883E-3</v>
      </c>
      <c r="L32" s="7">
        <f t="shared" si="21"/>
        <v>5.7069425702875199E-3</v>
      </c>
      <c r="M32" s="7">
        <f t="shared" si="22"/>
        <v>3.6429692691756308E-3</v>
      </c>
      <c r="N32" s="7">
        <f t="shared" si="23"/>
        <v>6.928556475109449E-3</v>
      </c>
      <c r="O32" s="7">
        <f t="shared" si="24"/>
        <v>7.210539392257213E-3</v>
      </c>
      <c r="P32" s="7">
        <f t="shared" si="25"/>
        <v>2.062016819227263E-2</v>
      </c>
    </row>
    <row r="33" spans="2:16" x14ac:dyDescent="0.3">
      <c r="B33" s="8" t="s">
        <v>82</v>
      </c>
      <c r="C33" s="8">
        <f t="shared" si="14"/>
        <v>1.1510811664482683E-2</v>
      </c>
      <c r="D33" s="8">
        <f t="shared" si="15"/>
        <v>1.6232897252283964E-2</v>
      </c>
      <c r="E33" s="8">
        <f t="shared" si="16"/>
        <v>-8.4810615577846846E-3</v>
      </c>
      <c r="F33" s="8">
        <f t="shared" si="17"/>
        <v>0.10192316125093874</v>
      </c>
      <c r="G33" s="8">
        <f t="shared" si="18"/>
        <v>0.10005356002031514</v>
      </c>
      <c r="H33" s="8">
        <f t="shared" si="19"/>
        <v>2.8549402801872219E-2</v>
      </c>
      <c r="J33" s="8" t="s">
        <v>82</v>
      </c>
      <c r="K33" s="7">
        <f t="shared" si="20"/>
        <v>1.0397305924684698E-2</v>
      </c>
      <c r="L33" s="7">
        <f t="shared" si="21"/>
        <v>7.6255394248115936E-3</v>
      </c>
      <c r="M33" s="7">
        <f t="shared" si="22"/>
        <v>4.4995418966279586E-3</v>
      </c>
      <c r="N33" s="7">
        <f t="shared" si="23"/>
        <v>1.0745711079007663E-2</v>
      </c>
      <c r="O33" s="7">
        <f t="shared" si="24"/>
        <v>1.1307182136526183E-2</v>
      </c>
      <c r="P33" s="7">
        <f t="shared" si="25"/>
        <v>2.3232328568303543E-2</v>
      </c>
    </row>
    <row r="34" spans="2:16" x14ac:dyDescent="0.3">
      <c r="B34" s="8" t="s">
        <v>87</v>
      </c>
      <c r="C34" s="8">
        <f t="shared" si="14"/>
        <v>-2.6232701772565085E-3</v>
      </c>
      <c r="D34" s="8">
        <f t="shared" si="15"/>
        <v>5.5911912098561348E-3</v>
      </c>
      <c r="E34" s="8">
        <f t="shared" si="16"/>
        <v>1.7490504711000297E-2</v>
      </c>
      <c r="F34" s="8">
        <f t="shared" si="17"/>
        <v>9.1560138094861979E-3</v>
      </c>
      <c r="G34" s="8">
        <f t="shared" si="18"/>
        <v>3.6418734710647119E-3</v>
      </c>
      <c r="H34" s="8">
        <f t="shared" si="19"/>
        <v>1.4828570372047323E-2</v>
      </c>
      <c r="J34" s="8" t="s">
        <v>87</v>
      </c>
      <c r="K34" s="7">
        <f t="shared" si="20"/>
        <v>1.2022373176158533E-2</v>
      </c>
      <c r="L34" s="7">
        <f t="shared" si="21"/>
        <v>9.5744364794712843E-3</v>
      </c>
      <c r="M34" s="7">
        <f t="shared" si="22"/>
        <v>6.1014731850543708E-3</v>
      </c>
      <c r="N34" s="7">
        <f t="shared" si="23"/>
        <v>1.5028063465496002E-2</v>
      </c>
      <c r="O34" s="7">
        <f t="shared" si="24"/>
        <v>1.5400151797668096E-2</v>
      </c>
      <c r="P34" s="7">
        <f t="shared" si="25"/>
        <v>2.5810968701703924E-2</v>
      </c>
    </row>
    <row r="35" spans="2:16" x14ac:dyDescent="0.3">
      <c r="B35" s="8" t="s">
        <v>80</v>
      </c>
      <c r="C35" s="8">
        <f t="shared" si="14"/>
        <v>-1.3818427272531462E-2</v>
      </c>
      <c r="D35" s="8">
        <f t="shared" si="15"/>
        <v>3.741828507104545E-3</v>
      </c>
      <c r="E35" s="8">
        <f t="shared" si="16"/>
        <v>-1.7501623395773797E-3</v>
      </c>
      <c r="F35" s="8">
        <f t="shared" si="17"/>
        <v>-1.1862677966747819E-2</v>
      </c>
      <c r="G35" s="8">
        <f t="shared" si="18"/>
        <v>-1.9111929353905835E-3</v>
      </c>
      <c r="H35" s="8">
        <f t="shared" si="19"/>
        <v>-6.2623450757501309E-4</v>
      </c>
      <c r="J35" s="8" t="s">
        <v>80</v>
      </c>
      <c r="K35" s="7">
        <f t="shared" si="20"/>
        <v>1.3918559430658256E-2</v>
      </c>
      <c r="L35" s="7">
        <f t="shared" si="21"/>
        <v>1.20139144559366E-2</v>
      </c>
      <c r="M35" s="7">
        <f t="shared" si="22"/>
        <v>8.4721666099658952E-3</v>
      </c>
      <c r="N35" s="7">
        <f t="shared" si="23"/>
        <v>1.7520486951052246E-2</v>
      </c>
      <c r="O35" s="7">
        <f t="shared" si="24"/>
        <v>1.8042577039742179E-2</v>
      </c>
      <c r="P35" s="7">
        <f t="shared" si="25"/>
        <v>2.9541432260988952E-2</v>
      </c>
    </row>
    <row r="36" spans="2:16" x14ac:dyDescent="0.3">
      <c r="B36" s="8" t="s">
        <v>84</v>
      </c>
      <c r="C36" s="8">
        <f t="shared" si="14"/>
        <v>-7.5913029384117731E-4</v>
      </c>
      <c r="D36" s="8">
        <f t="shared" si="15"/>
        <v>2.9688484069169158E-2</v>
      </c>
      <c r="E36" s="8">
        <f t="shared" si="16"/>
        <v>-1.6078106319846863E-2</v>
      </c>
      <c r="F36" s="8">
        <f t="shared" si="17"/>
        <v>-2.7079634309845474E-2</v>
      </c>
      <c r="G36" s="8">
        <f t="shared" si="18"/>
        <v>-1.8654595852858134E-2</v>
      </c>
      <c r="H36" s="8">
        <f t="shared" si="19"/>
        <v>-1.98639684908022E-2</v>
      </c>
      <c r="J36" s="8" t="s">
        <v>84</v>
      </c>
      <c r="K36" s="7">
        <f t="shared" si="20"/>
        <v>1.8298696486531485E-2</v>
      </c>
      <c r="L36" s="7">
        <f t="shared" si="21"/>
        <v>1.7615479298775254E-2</v>
      </c>
      <c r="M36" s="7">
        <f t="shared" si="22"/>
        <v>1.1641534145277558E-2</v>
      </c>
      <c r="N36" s="7">
        <f t="shared" si="23"/>
        <v>2.1813928997460978E-2</v>
      </c>
      <c r="O36" s="7">
        <f t="shared" si="24"/>
        <v>2.305670512661916E-2</v>
      </c>
      <c r="P36" s="7">
        <f t="shared" si="25"/>
        <v>3.6884656654170227E-2</v>
      </c>
    </row>
    <row r="37" spans="2:16" x14ac:dyDescent="0.3">
      <c r="B37" s="8" t="s">
        <v>83</v>
      </c>
      <c r="C37" s="8">
        <f t="shared" si="14"/>
        <v>4.1162842286648328E-2</v>
      </c>
      <c r="D37" s="8">
        <f t="shared" si="15"/>
        <v>6.1133329251724579E-2</v>
      </c>
      <c r="E37" s="8">
        <f t="shared" si="16"/>
        <v>8.8135617581244025E-2</v>
      </c>
      <c r="F37" s="8">
        <f t="shared" si="17"/>
        <v>4.3073803440391127E-2</v>
      </c>
      <c r="G37" s="8">
        <f t="shared" si="18"/>
        <v>4.4174264924239197E-2</v>
      </c>
      <c r="H37" s="8">
        <f t="shared" si="19"/>
        <v>2.7620976942379784E-2</v>
      </c>
      <c r="J37" s="8" t="s">
        <v>83</v>
      </c>
      <c r="K37" s="7">
        <f t="shared" si="20"/>
        <v>2.1983606539698133E-2</v>
      </c>
      <c r="L37" s="7">
        <f t="shared" si="21"/>
        <v>2.2991877215579031E-2</v>
      </c>
      <c r="M37" s="7">
        <f t="shared" si="22"/>
        <v>1.6363449737375305E-2</v>
      </c>
      <c r="N37" s="7">
        <f t="shared" si="23"/>
        <v>2.4692677176721634E-2</v>
      </c>
      <c r="O37" s="7">
        <f t="shared" si="24"/>
        <v>2.6260523007765331E-2</v>
      </c>
      <c r="P37" s="7">
        <f t="shared" si="25"/>
        <v>3.954699131742976E-2</v>
      </c>
    </row>
    <row r="38" spans="2:16" x14ac:dyDescent="0.3">
      <c r="B38" s="8" t="s">
        <v>88</v>
      </c>
      <c r="C38" s="8">
        <f t="shared" si="14"/>
        <v>2.290098673968087E-3</v>
      </c>
      <c r="D38" s="8">
        <f t="shared" si="15"/>
        <v>-2.9239660302913369E-2</v>
      </c>
      <c r="E38" s="8">
        <f t="shared" si="16"/>
        <v>-4.9833673967348766E-3</v>
      </c>
      <c r="F38" s="8">
        <f t="shared" si="17"/>
        <v>4.6496004738283872E-2</v>
      </c>
      <c r="G38" s="8">
        <f t="shared" si="18"/>
        <v>-2.1247457573868533E-2</v>
      </c>
      <c r="H38" s="8">
        <f t="shared" si="19"/>
        <v>-3.9765976092387051E-2</v>
      </c>
      <c r="J38" s="8" t="s">
        <v>88</v>
      </c>
      <c r="K38" s="7">
        <f t="shared" si="20"/>
        <v>3.0660682501139565E-2</v>
      </c>
      <c r="L38" s="7">
        <f t="shared" si="21"/>
        <v>3.1394191651884534E-2</v>
      </c>
      <c r="M38" s="7">
        <f t="shared" si="22"/>
        <v>2.5588541137709947E-2</v>
      </c>
      <c r="N38" s="7">
        <f t="shared" si="23"/>
        <v>3.5700444990289994E-2</v>
      </c>
      <c r="O38" s="7">
        <f t="shared" si="24"/>
        <v>3.4905690125539762E-2</v>
      </c>
      <c r="P38" s="7">
        <f t="shared" si="25"/>
        <v>4.9234065638193526E-2</v>
      </c>
    </row>
    <row r="39" spans="2:16" x14ac:dyDescent="0.3">
      <c r="B39" s="8" t="s">
        <v>92</v>
      </c>
      <c r="C39" s="8">
        <f t="shared" si="14"/>
        <v>-1.4913556262016847E-2</v>
      </c>
      <c r="D39" s="8">
        <f t="shared" si="15"/>
        <v>2.138747669420548E-2</v>
      </c>
      <c r="E39" s="8">
        <f t="shared" si="16"/>
        <v>2.5964135733107095E-2</v>
      </c>
      <c r="F39" s="8">
        <f t="shared" si="17"/>
        <v>-4.373411148404234E-3</v>
      </c>
      <c r="G39" s="8">
        <f t="shared" si="18"/>
        <v>-1.8963400498776969E-2</v>
      </c>
      <c r="H39" s="8">
        <f t="shared" si="19"/>
        <v>-3.1888570566804178E-2</v>
      </c>
      <c r="J39" s="8" t="s">
        <v>92</v>
      </c>
      <c r="K39" s="7">
        <f t="shared" si="20"/>
        <v>4.4476661483383535E-2</v>
      </c>
      <c r="L39" s="7">
        <f t="shared" si="21"/>
        <v>4.5690830611212166E-2</v>
      </c>
      <c r="M39" s="7">
        <f t="shared" si="22"/>
        <v>3.9563616029509543E-2</v>
      </c>
      <c r="N39" s="7">
        <f t="shared" si="23"/>
        <v>5.3967555999270368E-2</v>
      </c>
      <c r="O39" s="7">
        <f t="shared" si="24"/>
        <v>4.8616593303184019E-2</v>
      </c>
      <c r="P39" s="7">
        <f t="shared" si="25"/>
        <v>6.5815617407757876E-2</v>
      </c>
    </row>
    <row r="40" spans="2:16" x14ac:dyDescent="0.3">
      <c r="B40" s="8" t="s">
        <v>86</v>
      </c>
      <c r="C40" s="8">
        <f t="shared" si="14"/>
        <v>0.10739377254631254</v>
      </c>
      <c r="D40" s="8">
        <f t="shared" si="15"/>
        <v>1.7526581203469449E-2</v>
      </c>
      <c r="E40" s="8">
        <f t="shared" si="16"/>
        <v>2.2103240242371064E-2</v>
      </c>
      <c r="F40" s="8">
        <f t="shared" si="17"/>
        <v>2.0519686971083376E-2</v>
      </c>
      <c r="G40" s="8">
        <f t="shared" si="18"/>
        <v>-6.020737672907811E-4</v>
      </c>
      <c r="H40" s="8">
        <f t="shared" si="19"/>
        <v>-2.214402388066946E-2</v>
      </c>
      <c r="J40" s="8" t="s">
        <v>86</v>
      </c>
      <c r="K40" s="7">
        <f t="shared" si="20"/>
        <v>5.904423643757209E-2</v>
      </c>
      <c r="L40" s="7">
        <f t="shared" si="21"/>
        <v>5.7339895203327329E-2</v>
      </c>
      <c r="M40" s="7">
        <f t="shared" si="22"/>
        <v>5.1274357207816236E-2</v>
      </c>
      <c r="N40" s="7">
        <f t="shared" si="23"/>
        <v>6.4949079280736011E-2</v>
      </c>
      <c r="O40" s="7">
        <f t="shared" si="24"/>
        <v>5.719758542141757E-2</v>
      </c>
      <c r="P40" s="7">
        <f t="shared" si="25"/>
        <v>7.3730765029315276E-2</v>
      </c>
    </row>
    <row r="41" spans="2:16" x14ac:dyDescent="0.3">
      <c r="B41" s="8" t="s">
        <v>79</v>
      </c>
      <c r="C41" s="8">
        <f t="shared" si="14"/>
        <v>1.4339548774853703E-3</v>
      </c>
      <c r="D41" s="8">
        <f t="shared" si="15"/>
        <v>5.6475765010294027E-2</v>
      </c>
      <c r="E41" s="8">
        <f t="shared" si="16"/>
        <v>0.14068629132608351</v>
      </c>
      <c r="F41" s="8">
        <f t="shared" si="17"/>
        <v>3.33380485145819E-2</v>
      </c>
      <c r="G41" s="8">
        <f t="shared" si="18"/>
        <v>0.10735295799275016</v>
      </c>
      <c r="H41" s="8">
        <f t="shared" si="19"/>
        <v>4.2727107652614116E-2</v>
      </c>
      <c r="J41" s="8" t="s">
        <v>79</v>
      </c>
      <c r="K41" s="7">
        <f t="shared" si="20"/>
        <v>7.5666553588687874E-2</v>
      </c>
      <c r="L41" s="7">
        <f t="shared" si="21"/>
        <v>7.1800805236846302E-2</v>
      </c>
      <c r="M41" s="7">
        <f t="shared" si="22"/>
        <v>7.0660679028926615E-2</v>
      </c>
      <c r="N41" s="7">
        <f t="shared" si="23"/>
        <v>7.8642776676279058E-2</v>
      </c>
      <c r="O41" s="7">
        <f t="shared" si="24"/>
        <v>7.3592934836155643E-2</v>
      </c>
      <c r="P41" s="7">
        <f t="shared" si="25"/>
        <v>8.5944353384654518E-2</v>
      </c>
    </row>
    <row r="42" spans="2:16" x14ac:dyDescent="0.3">
      <c r="B42" s="8" t="s">
        <v>93</v>
      </c>
      <c r="C42" s="8">
        <f t="shared" si="14"/>
        <v>-6.0430478800764478E-2</v>
      </c>
      <c r="D42" s="8">
        <f t="shared" si="15"/>
        <v>-7.2038939204109281E-2</v>
      </c>
      <c r="E42" s="8">
        <f t="shared" si="16"/>
        <v>-3.9544660027907907E-2</v>
      </c>
      <c r="F42" s="8">
        <f t="shared" si="17"/>
        <v>-5.5324629468107941E-2</v>
      </c>
      <c r="G42" s="8">
        <f t="shared" si="18"/>
        <v>-7.9641278385395836E-2</v>
      </c>
      <c r="H42" s="8">
        <f t="shared" si="19"/>
        <v>-7.3972344145033023E-2</v>
      </c>
      <c r="J42" s="8" t="s">
        <v>93</v>
      </c>
      <c r="K42" s="7">
        <f t="shared" si="20"/>
        <v>0.1907917936923707</v>
      </c>
      <c r="L42" s="7">
        <f t="shared" si="21"/>
        <v>0.18785244294953254</v>
      </c>
      <c r="M42" s="7">
        <f t="shared" si="22"/>
        <v>0.20103181394697994</v>
      </c>
      <c r="N42" s="7">
        <f t="shared" si="23"/>
        <v>0.2025792815281349</v>
      </c>
      <c r="O42" s="7">
        <f t="shared" si="24"/>
        <v>0.19778796076546598</v>
      </c>
      <c r="P42" s="7">
        <f t="shared" si="25"/>
        <v>0.21797040574153398</v>
      </c>
    </row>
    <row r="43" spans="2:16" x14ac:dyDescent="0.3">
      <c r="B43" s="8" t="s">
        <v>74</v>
      </c>
      <c r="C43" s="8">
        <f t="shared" si="14"/>
        <v>-0.11097640818735088</v>
      </c>
      <c r="D43" s="8">
        <f t="shared" si="15"/>
        <v>-9.4301543455427572E-2</v>
      </c>
      <c r="E43" s="8">
        <f t="shared" si="16"/>
        <v>-0.15929010180783035</v>
      </c>
      <c r="F43" s="8">
        <f t="shared" si="17"/>
        <v>-0.15712313417343668</v>
      </c>
      <c r="G43" s="8">
        <f t="shared" si="18"/>
        <v>-0.12724501324100265</v>
      </c>
      <c r="H43" s="8">
        <f t="shared" si="19"/>
        <v>-0.20472044785929441</v>
      </c>
      <c r="J43" s="8" t="s">
        <v>74</v>
      </c>
      <c r="K43" s="7">
        <f t="shared" si="20"/>
        <v>0.64139573007098238</v>
      </c>
      <c r="L43" s="7">
        <f t="shared" si="21"/>
        <v>0.63525961740006209</v>
      </c>
      <c r="M43" s="7">
        <f t="shared" si="22"/>
        <v>0.65917448104555743</v>
      </c>
      <c r="N43" s="7">
        <f t="shared" si="23"/>
        <v>0.65837706782676098</v>
      </c>
      <c r="O43" s="7">
        <f t="shared" si="24"/>
        <v>0.64738234496788161</v>
      </c>
      <c r="P43" s="7">
        <f t="shared" si="25"/>
        <v>0.67589220119095705</v>
      </c>
    </row>
    <row r="44" spans="2:16" x14ac:dyDescent="0.3">
      <c r="J44" s="11" t="s">
        <v>114</v>
      </c>
      <c r="K44" s="9">
        <f>SUM(K24:K43)</f>
        <v>1.1484215799650808</v>
      </c>
      <c r="L44" s="9">
        <f t="shared" ref="L44:P44" si="26">SUM(L24:L43)</f>
        <v>1.1180548650286941</v>
      </c>
      <c r="M44" s="9">
        <f t="shared" si="26"/>
        <v>1.1098652428964821</v>
      </c>
      <c r="N44" s="9">
        <f t="shared" si="26"/>
        <v>1.2101444821274783</v>
      </c>
      <c r="O44" s="9">
        <f t="shared" si="26"/>
        <v>1.1794231111083389</v>
      </c>
      <c r="P44" s="9">
        <f t="shared" si="26"/>
        <v>1.3889278225799866</v>
      </c>
    </row>
    <row r="45" spans="2:16" x14ac:dyDescent="0.3">
      <c r="J45" s="12" t="s">
        <v>115</v>
      </c>
      <c r="K45" s="10">
        <f>1-K44</f>
        <v>-0.14842157996508076</v>
      </c>
      <c r="L45" s="10">
        <f t="shared" ref="L45:P45" si="27">1-L44</f>
        <v>-0.11805486502869411</v>
      </c>
      <c r="M45" s="10">
        <f t="shared" si="27"/>
        <v>-0.10986524289648214</v>
      </c>
      <c r="N45" s="10">
        <f t="shared" si="27"/>
        <v>-0.21014448212747827</v>
      </c>
      <c r="O45" s="10">
        <f t="shared" si="27"/>
        <v>-0.17942311110833886</v>
      </c>
      <c r="P45" s="10">
        <f t="shared" si="27"/>
        <v>-0.38892782257998659</v>
      </c>
    </row>
  </sheetData>
  <sortState xmlns:xlrd2="http://schemas.microsoft.com/office/spreadsheetml/2017/richdata2" ref="A2:P22">
    <sortCondition ref="B1:B22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ALÉM PARAÍBA</vt:lpstr>
      <vt:lpstr>CARANGOLA</vt:lpstr>
      <vt:lpstr>JUIZ DE FORA</vt:lpstr>
      <vt:lpstr>LEOPOLDINA-CATAGUASES</vt:lpstr>
      <vt:lpstr>LIMA DUARTE</vt:lpstr>
      <vt:lpstr>MURIAÉ</vt:lpstr>
      <vt:lpstr>SANTOS DUMONT</vt:lpstr>
      <vt:lpstr>SÃO JOÃO NEPOMUCENO-BICAS</vt:lpstr>
      <vt:lpstr>UBÁ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Belotti</dc:creator>
  <cp:lastModifiedBy>Marina Belotti</cp:lastModifiedBy>
  <cp:lastPrinted>2025-05-03T21:23:56Z</cp:lastPrinted>
  <dcterms:created xsi:type="dcterms:W3CDTF">2025-04-21T21:29:39Z</dcterms:created>
  <dcterms:modified xsi:type="dcterms:W3CDTF">2025-08-24T20:11:35Z</dcterms:modified>
</cp:coreProperties>
</file>