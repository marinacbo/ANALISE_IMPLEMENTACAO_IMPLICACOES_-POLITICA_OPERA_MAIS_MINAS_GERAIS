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gineco/"/>
    </mc:Choice>
  </mc:AlternateContent>
  <xr:revisionPtr revIDLastSave="119" documentId="8_{B7050FD6-D7F6-4CB5-9803-BFE3FEC955FD}" xr6:coauthVersionLast="47" xr6:coauthVersionMax="47" xr10:uidLastSave="{1F95D919-695A-4E09-AA6E-927E3F2DB629}"/>
  <bookViews>
    <workbookView xWindow="-108" yWindow="-108" windowWidth="23256" windowHeight="12456" xr2:uid="{03639413-2B29-4D5E-8F8E-861E641BE113}"/>
  </bookViews>
  <sheets>
    <sheet name="ALFENAS-MACHADO" sheetId="1" r:id="rId1"/>
    <sheet name="CÁSSIA" sheetId="2" r:id="rId2"/>
    <sheet name="GUAXUPÉ" sheetId="3" r:id="rId3"/>
    <sheet name="ITAJUBÁ" sheetId="4" r:id="rId4"/>
    <sheet name="LAVRAS" sheetId="5" r:id="rId5"/>
    <sheet name="PASSOS" sheetId="6" r:id="rId6"/>
    <sheet name="PINHUÍ" sheetId="7" r:id="rId7"/>
    <sheet name="POÇOS DE CALDA" sheetId="8" r:id="rId8"/>
    <sheet name="POUSO ALEGRE" sheetId="9" r:id="rId9"/>
    <sheet name="SÃO LOURENÇO" sheetId="10" r:id="rId10"/>
    <sheet name="SÃO SEBASTIÃO DO PARAÍSO" sheetId="11" r:id="rId11"/>
    <sheet name="TRÊS CORAÇÕES" sheetId="12" r:id="rId12"/>
    <sheet name="TRÊS PONTAS" sheetId="13" r:id="rId13"/>
    <sheet name="VARGINHA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1" l="1"/>
  <c r="M36" i="1"/>
  <c r="N36" i="1"/>
  <c r="O36" i="1"/>
  <c r="P36" i="1"/>
  <c r="K36" i="1"/>
  <c r="P25" i="5"/>
  <c r="O25" i="5"/>
  <c r="N25" i="5"/>
  <c r="M25" i="5"/>
  <c r="L25" i="5"/>
  <c r="K25" i="5"/>
  <c r="P12" i="14"/>
  <c r="P9" i="14"/>
  <c r="O9" i="14"/>
  <c r="N9" i="14"/>
  <c r="M9" i="14"/>
  <c r="L9" i="14"/>
  <c r="K9" i="14"/>
  <c r="P9" i="13"/>
  <c r="O9" i="13"/>
  <c r="N9" i="13"/>
  <c r="M9" i="13"/>
  <c r="L9" i="13"/>
  <c r="K9" i="13"/>
  <c r="P10" i="12"/>
  <c r="O10" i="12"/>
  <c r="N10" i="12"/>
  <c r="M10" i="12"/>
  <c r="L10" i="12"/>
  <c r="K10" i="12"/>
  <c r="M13" i="11"/>
  <c r="P10" i="11"/>
  <c r="O10" i="11"/>
  <c r="N10" i="11"/>
  <c r="M10" i="11"/>
  <c r="L10" i="11"/>
  <c r="K10" i="11"/>
  <c r="P28" i="10"/>
  <c r="O28" i="10"/>
  <c r="N28" i="10"/>
  <c r="M28" i="10"/>
  <c r="L28" i="10"/>
  <c r="K28" i="10"/>
  <c r="O37" i="9"/>
  <c r="P36" i="9"/>
  <c r="O36" i="9"/>
  <c r="N36" i="9"/>
  <c r="M36" i="9"/>
  <c r="L36" i="9"/>
  <c r="K36" i="9"/>
  <c r="P10" i="8"/>
  <c r="O10" i="8"/>
  <c r="N10" i="8"/>
  <c r="M10" i="8"/>
  <c r="L10" i="8"/>
  <c r="K10" i="8"/>
  <c r="K14" i="7"/>
  <c r="P11" i="7"/>
  <c r="O11" i="7"/>
  <c r="N11" i="7"/>
  <c r="M11" i="7"/>
  <c r="L11" i="7"/>
  <c r="K11" i="7"/>
  <c r="P13" i="6"/>
  <c r="O13" i="6"/>
  <c r="N13" i="6"/>
  <c r="M13" i="6"/>
  <c r="L13" i="6"/>
  <c r="K13" i="6"/>
  <c r="P14" i="5"/>
  <c r="O14" i="5"/>
  <c r="N14" i="5"/>
  <c r="M14" i="5"/>
  <c r="L14" i="5"/>
  <c r="K14" i="5"/>
  <c r="P19" i="4"/>
  <c r="O19" i="4"/>
  <c r="N19" i="4"/>
  <c r="M19" i="4"/>
  <c r="L19" i="4"/>
  <c r="K19" i="4"/>
  <c r="P12" i="3"/>
  <c r="O12" i="3"/>
  <c r="N12" i="3"/>
  <c r="M12" i="3"/>
  <c r="L12" i="3"/>
  <c r="K12" i="3"/>
  <c r="P9" i="2"/>
  <c r="O9" i="2"/>
  <c r="N9" i="2"/>
  <c r="M9" i="2"/>
  <c r="L9" i="2"/>
  <c r="K9" i="2"/>
  <c r="P20" i="1"/>
  <c r="O20" i="1"/>
  <c r="N20" i="1"/>
  <c r="M20" i="1"/>
  <c r="L20" i="1"/>
  <c r="K20" i="1"/>
  <c r="H13" i="14"/>
  <c r="G13" i="14"/>
  <c r="F13" i="14"/>
  <c r="E13" i="14"/>
  <c r="D13" i="14"/>
  <c r="C13" i="14"/>
  <c r="H12" i="14"/>
  <c r="G12" i="14"/>
  <c r="F12" i="14"/>
  <c r="E12" i="14"/>
  <c r="D12" i="14"/>
  <c r="C12" i="14"/>
  <c r="H11" i="14"/>
  <c r="G11" i="14"/>
  <c r="F11" i="14"/>
  <c r="E11" i="14"/>
  <c r="D11" i="14"/>
  <c r="C11" i="14"/>
  <c r="H10" i="14"/>
  <c r="G10" i="14"/>
  <c r="F10" i="14"/>
  <c r="E10" i="14"/>
  <c r="D10" i="14"/>
  <c r="C10" i="14"/>
  <c r="H9" i="14"/>
  <c r="G9" i="14"/>
  <c r="F9" i="14"/>
  <c r="E9" i="14"/>
  <c r="D9" i="14"/>
  <c r="C9" i="14"/>
  <c r="H13" i="13"/>
  <c r="G13" i="13"/>
  <c r="F13" i="13"/>
  <c r="E13" i="13"/>
  <c r="D13" i="13"/>
  <c r="C13" i="13"/>
  <c r="H12" i="13"/>
  <c r="G12" i="13"/>
  <c r="F12" i="13"/>
  <c r="E12" i="13"/>
  <c r="D12" i="13"/>
  <c r="C12" i="13"/>
  <c r="H11" i="13"/>
  <c r="G11" i="13"/>
  <c r="F11" i="13"/>
  <c r="E11" i="13"/>
  <c r="D11" i="13"/>
  <c r="C11" i="13"/>
  <c r="H10" i="13"/>
  <c r="G10" i="13"/>
  <c r="F10" i="13"/>
  <c r="E10" i="13"/>
  <c r="D10" i="13"/>
  <c r="C10" i="13"/>
  <c r="H9" i="13"/>
  <c r="G9" i="13"/>
  <c r="F9" i="13"/>
  <c r="E9" i="13"/>
  <c r="D9" i="13"/>
  <c r="C9" i="13"/>
  <c r="P3" i="13"/>
  <c r="P4" i="13" s="1"/>
  <c r="P5" i="13" s="1"/>
  <c r="P6" i="13" s="1"/>
  <c r="O3" i="13"/>
  <c r="O4" i="13" s="1"/>
  <c r="O5" i="13" s="1"/>
  <c r="O6" i="13" s="1"/>
  <c r="N3" i="13"/>
  <c r="N4" i="13" s="1"/>
  <c r="N5" i="13" s="1"/>
  <c r="N6" i="13" s="1"/>
  <c r="M3" i="13"/>
  <c r="M4" i="13" s="1"/>
  <c r="M5" i="13" s="1"/>
  <c r="M6" i="13" s="1"/>
  <c r="L3" i="13"/>
  <c r="L4" i="13" s="1"/>
  <c r="L5" i="13" s="1"/>
  <c r="L6" i="13" s="1"/>
  <c r="K3" i="13"/>
  <c r="K4" i="13" s="1"/>
  <c r="K5" i="13" s="1"/>
  <c r="K6" i="13" s="1"/>
  <c r="J3" i="13"/>
  <c r="J4" i="13" s="1"/>
  <c r="J5" i="13" s="1"/>
  <c r="J6" i="13" s="1"/>
  <c r="N13" i="13" s="1"/>
  <c r="P3" i="14"/>
  <c r="P4" i="14" s="1"/>
  <c r="P5" i="14" s="1"/>
  <c r="P6" i="14" s="1"/>
  <c r="O3" i="14"/>
  <c r="O4" i="14" s="1"/>
  <c r="O5" i="14" s="1"/>
  <c r="O6" i="14" s="1"/>
  <c r="N3" i="14"/>
  <c r="N4" i="14" s="1"/>
  <c r="N5" i="14" s="1"/>
  <c r="N6" i="14" s="1"/>
  <c r="M3" i="14"/>
  <c r="M4" i="14" s="1"/>
  <c r="M5" i="14" s="1"/>
  <c r="M6" i="14" s="1"/>
  <c r="L3" i="14"/>
  <c r="L4" i="14" s="1"/>
  <c r="L5" i="14" s="1"/>
  <c r="L6" i="14" s="1"/>
  <c r="K3" i="14"/>
  <c r="K4" i="14" s="1"/>
  <c r="K5" i="14" s="1"/>
  <c r="K6" i="14" s="1"/>
  <c r="J3" i="14"/>
  <c r="J4" i="14" s="1"/>
  <c r="J5" i="14" s="1"/>
  <c r="J6" i="14" s="1"/>
  <c r="H15" i="12"/>
  <c r="G15" i="12"/>
  <c r="F15" i="12"/>
  <c r="E15" i="12"/>
  <c r="D15" i="12"/>
  <c r="C15" i="12"/>
  <c r="H14" i="12"/>
  <c r="G14" i="12"/>
  <c r="F14" i="12"/>
  <c r="E14" i="12"/>
  <c r="D14" i="12"/>
  <c r="C14" i="12"/>
  <c r="H13" i="12"/>
  <c r="G13" i="12"/>
  <c r="F13" i="12"/>
  <c r="E13" i="12"/>
  <c r="D13" i="12"/>
  <c r="C13" i="12"/>
  <c r="H12" i="12"/>
  <c r="G12" i="12"/>
  <c r="F12" i="12"/>
  <c r="E12" i="12"/>
  <c r="D12" i="12"/>
  <c r="C12" i="12"/>
  <c r="H11" i="12"/>
  <c r="G11" i="12"/>
  <c r="F11" i="12"/>
  <c r="E11" i="12"/>
  <c r="D11" i="12"/>
  <c r="C11" i="12"/>
  <c r="H10" i="12"/>
  <c r="G10" i="12"/>
  <c r="F10" i="12"/>
  <c r="E10" i="12"/>
  <c r="D10" i="12"/>
  <c r="C10" i="12"/>
  <c r="P3" i="12"/>
  <c r="P4" i="12" s="1"/>
  <c r="P5" i="12" s="1"/>
  <c r="P6" i="12" s="1"/>
  <c r="P7" i="12" s="1"/>
  <c r="O3" i="12"/>
  <c r="O4" i="12" s="1"/>
  <c r="O5" i="12" s="1"/>
  <c r="O6" i="12" s="1"/>
  <c r="O7" i="12" s="1"/>
  <c r="N3" i="12"/>
  <c r="N4" i="12" s="1"/>
  <c r="N5" i="12" s="1"/>
  <c r="N6" i="12" s="1"/>
  <c r="N7" i="12" s="1"/>
  <c r="M3" i="12"/>
  <c r="M4" i="12" s="1"/>
  <c r="M5" i="12" s="1"/>
  <c r="M6" i="12" s="1"/>
  <c r="M7" i="12" s="1"/>
  <c r="L3" i="12"/>
  <c r="L4" i="12" s="1"/>
  <c r="L5" i="12" s="1"/>
  <c r="L6" i="12" s="1"/>
  <c r="L7" i="12" s="1"/>
  <c r="K3" i="12"/>
  <c r="K4" i="12" s="1"/>
  <c r="K5" i="12" s="1"/>
  <c r="K6" i="12" s="1"/>
  <c r="K7" i="12" s="1"/>
  <c r="J3" i="12"/>
  <c r="J4" i="12" s="1"/>
  <c r="J5" i="12" s="1"/>
  <c r="J6" i="12" s="1"/>
  <c r="J7" i="12" s="1"/>
  <c r="K15" i="12" s="1"/>
  <c r="H15" i="11"/>
  <c r="G15" i="11"/>
  <c r="F15" i="11"/>
  <c r="E15" i="11"/>
  <c r="D15" i="11"/>
  <c r="C15" i="11"/>
  <c r="H14" i="11"/>
  <c r="G14" i="11"/>
  <c r="F14" i="11"/>
  <c r="E14" i="11"/>
  <c r="D14" i="11"/>
  <c r="C14" i="11"/>
  <c r="H13" i="11"/>
  <c r="G13" i="11"/>
  <c r="F13" i="11"/>
  <c r="E13" i="11"/>
  <c r="D13" i="11"/>
  <c r="C13" i="11"/>
  <c r="H12" i="11"/>
  <c r="G12" i="11"/>
  <c r="F12" i="11"/>
  <c r="E12" i="11"/>
  <c r="D12" i="11"/>
  <c r="C12" i="11"/>
  <c r="H11" i="11"/>
  <c r="G11" i="11"/>
  <c r="F11" i="11"/>
  <c r="E11" i="11"/>
  <c r="D11" i="11"/>
  <c r="C11" i="11"/>
  <c r="H10" i="11"/>
  <c r="G10" i="11"/>
  <c r="F10" i="11"/>
  <c r="E10" i="11"/>
  <c r="D10" i="11"/>
  <c r="C10" i="11"/>
  <c r="P3" i="11"/>
  <c r="P4" i="11" s="1"/>
  <c r="P5" i="11" s="1"/>
  <c r="P6" i="11" s="1"/>
  <c r="P7" i="11" s="1"/>
  <c r="O3" i="11"/>
  <c r="O4" i="11" s="1"/>
  <c r="O5" i="11" s="1"/>
  <c r="O6" i="11" s="1"/>
  <c r="O7" i="11" s="1"/>
  <c r="N3" i="11"/>
  <c r="N4" i="11" s="1"/>
  <c r="N5" i="11" s="1"/>
  <c r="N6" i="11" s="1"/>
  <c r="N7" i="11" s="1"/>
  <c r="M3" i="11"/>
  <c r="M4" i="11" s="1"/>
  <c r="M5" i="11" s="1"/>
  <c r="M6" i="11" s="1"/>
  <c r="M7" i="11" s="1"/>
  <c r="L3" i="11"/>
  <c r="L4" i="11" s="1"/>
  <c r="L5" i="11" s="1"/>
  <c r="L6" i="11" s="1"/>
  <c r="L7" i="11" s="1"/>
  <c r="K3" i="11"/>
  <c r="K4" i="11" s="1"/>
  <c r="K5" i="11" s="1"/>
  <c r="K6" i="11" s="1"/>
  <c r="K7" i="11" s="1"/>
  <c r="J3" i="11"/>
  <c r="J4" i="11" s="1"/>
  <c r="J5" i="11" s="1"/>
  <c r="J6" i="11" s="1"/>
  <c r="J7" i="11" s="1"/>
  <c r="H51" i="10"/>
  <c r="G51" i="10"/>
  <c r="F51" i="10"/>
  <c r="E51" i="10"/>
  <c r="D51" i="10"/>
  <c r="C51" i="10"/>
  <c r="H50" i="10"/>
  <c r="G50" i="10"/>
  <c r="F50" i="10"/>
  <c r="E50" i="10"/>
  <c r="D50" i="10"/>
  <c r="C50" i="10"/>
  <c r="H49" i="10"/>
  <c r="G49" i="10"/>
  <c r="F49" i="10"/>
  <c r="E49" i="10"/>
  <c r="D49" i="10"/>
  <c r="C49" i="10"/>
  <c r="H48" i="10"/>
  <c r="G48" i="10"/>
  <c r="F48" i="10"/>
  <c r="E48" i="10"/>
  <c r="D48" i="10"/>
  <c r="C48" i="10"/>
  <c r="H47" i="10"/>
  <c r="G47" i="10"/>
  <c r="F47" i="10"/>
  <c r="E47" i="10"/>
  <c r="D47" i="10"/>
  <c r="C47" i="10"/>
  <c r="H46" i="10"/>
  <c r="G46" i="10"/>
  <c r="F46" i="10"/>
  <c r="E46" i="10"/>
  <c r="D46" i="10"/>
  <c r="C46" i="10"/>
  <c r="H45" i="10"/>
  <c r="G45" i="10"/>
  <c r="F45" i="10"/>
  <c r="E45" i="10"/>
  <c r="D45" i="10"/>
  <c r="C45" i="10"/>
  <c r="H44" i="10"/>
  <c r="G44" i="10"/>
  <c r="F44" i="10"/>
  <c r="E44" i="10"/>
  <c r="D44" i="10"/>
  <c r="C44" i="10"/>
  <c r="H43" i="10"/>
  <c r="G43" i="10"/>
  <c r="F43" i="10"/>
  <c r="E43" i="10"/>
  <c r="D43" i="10"/>
  <c r="C43" i="10"/>
  <c r="H42" i="10"/>
  <c r="G42" i="10"/>
  <c r="F42" i="10"/>
  <c r="E42" i="10"/>
  <c r="D42" i="10"/>
  <c r="C42" i="10"/>
  <c r="H41" i="10"/>
  <c r="G41" i="10"/>
  <c r="F41" i="10"/>
  <c r="E41" i="10"/>
  <c r="D41" i="10"/>
  <c r="C41" i="10"/>
  <c r="H40" i="10"/>
  <c r="G40" i="10"/>
  <c r="F40" i="10"/>
  <c r="E40" i="10"/>
  <c r="D40" i="10"/>
  <c r="C40" i="10"/>
  <c r="H39" i="10"/>
  <c r="G39" i="10"/>
  <c r="F39" i="10"/>
  <c r="E39" i="10"/>
  <c r="D39" i="10"/>
  <c r="C39" i="10"/>
  <c r="H38" i="10"/>
  <c r="G38" i="10"/>
  <c r="F38" i="10"/>
  <c r="E38" i="10"/>
  <c r="D38" i="10"/>
  <c r="C38" i="10"/>
  <c r="H37" i="10"/>
  <c r="G37" i="10"/>
  <c r="F37" i="10"/>
  <c r="E37" i="10"/>
  <c r="D37" i="10"/>
  <c r="C37" i="10"/>
  <c r="H36" i="10"/>
  <c r="G36" i="10"/>
  <c r="F36" i="10"/>
  <c r="E36" i="10"/>
  <c r="D36" i="10"/>
  <c r="C36" i="10"/>
  <c r="H35" i="10"/>
  <c r="G35" i="10"/>
  <c r="F35" i="10"/>
  <c r="E35" i="10"/>
  <c r="D35" i="10"/>
  <c r="C35" i="10"/>
  <c r="H34" i="10"/>
  <c r="G34" i="10"/>
  <c r="F34" i="10"/>
  <c r="E34" i="10"/>
  <c r="D34" i="10"/>
  <c r="C34" i="10"/>
  <c r="H33" i="10"/>
  <c r="G33" i="10"/>
  <c r="F33" i="10"/>
  <c r="E33" i="10"/>
  <c r="D33" i="10"/>
  <c r="C33" i="10"/>
  <c r="H32" i="10"/>
  <c r="G32" i="10"/>
  <c r="F32" i="10"/>
  <c r="E32" i="10"/>
  <c r="D32" i="10"/>
  <c r="C32" i="10"/>
  <c r="H31" i="10"/>
  <c r="G31" i="10"/>
  <c r="F31" i="10"/>
  <c r="E31" i="10"/>
  <c r="D31" i="10"/>
  <c r="C31" i="10"/>
  <c r="H30" i="10"/>
  <c r="G30" i="10"/>
  <c r="F30" i="10"/>
  <c r="E30" i="10"/>
  <c r="D30" i="10"/>
  <c r="C30" i="10"/>
  <c r="H29" i="10"/>
  <c r="G29" i="10"/>
  <c r="F29" i="10"/>
  <c r="E29" i="10"/>
  <c r="D29" i="10"/>
  <c r="C29" i="10"/>
  <c r="H28" i="10"/>
  <c r="G28" i="10"/>
  <c r="F28" i="10"/>
  <c r="E28" i="10"/>
  <c r="D28" i="10"/>
  <c r="C28" i="10"/>
  <c r="P3" i="10"/>
  <c r="P4" i="10" s="1"/>
  <c r="P5" i="10" s="1"/>
  <c r="P6" i="10" s="1"/>
  <c r="P7" i="10" s="1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O3" i="10"/>
  <c r="O4" i="10" s="1"/>
  <c r="O5" i="10" s="1"/>
  <c r="O6" i="10" s="1"/>
  <c r="O7" i="10" s="1"/>
  <c r="O8" i="10" s="1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O24" i="10" s="1"/>
  <c r="O25" i="10" s="1"/>
  <c r="N3" i="10"/>
  <c r="N4" i="10" s="1"/>
  <c r="N5" i="10" s="1"/>
  <c r="N6" i="10" s="1"/>
  <c r="N7" i="10" s="1"/>
  <c r="N8" i="10" s="1"/>
  <c r="N9" i="10" s="1"/>
  <c r="N10" i="10" s="1"/>
  <c r="N11" i="10" s="1"/>
  <c r="N12" i="10" s="1"/>
  <c r="N13" i="10" s="1"/>
  <c r="N14" i="10" s="1"/>
  <c r="N15" i="10" s="1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M3" i="10"/>
  <c r="M4" i="10" s="1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L3" i="10"/>
  <c r="L4" i="10" s="1"/>
  <c r="L5" i="10" s="1"/>
  <c r="L6" i="10" s="1"/>
  <c r="L7" i="10" s="1"/>
  <c r="L8" i="10" s="1"/>
  <c r="L9" i="10" s="1"/>
  <c r="L10" i="10" s="1"/>
  <c r="L11" i="10" s="1"/>
  <c r="L12" i="10" s="1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K3" i="10"/>
  <c r="K4" i="10" s="1"/>
  <c r="K5" i="10" s="1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J3" i="10"/>
  <c r="J4" i="10" s="1"/>
  <c r="J5" i="10" s="1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C37" i="9"/>
  <c r="D37" i="9"/>
  <c r="E37" i="9"/>
  <c r="F37" i="9"/>
  <c r="G37" i="9"/>
  <c r="H37" i="9"/>
  <c r="C38" i="9"/>
  <c r="D38" i="9"/>
  <c r="E38" i="9"/>
  <c r="F38" i="9"/>
  <c r="G38" i="9"/>
  <c r="H38" i="9"/>
  <c r="C39" i="9"/>
  <c r="D39" i="9"/>
  <c r="E39" i="9"/>
  <c r="F39" i="9"/>
  <c r="G39" i="9"/>
  <c r="H39" i="9"/>
  <c r="C40" i="9"/>
  <c r="D40" i="9"/>
  <c r="E40" i="9"/>
  <c r="F40" i="9"/>
  <c r="G40" i="9"/>
  <c r="H40" i="9"/>
  <c r="C41" i="9"/>
  <c r="D41" i="9"/>
  <c r="E41" i="9"/>
  <c r="F41" i="9"/>
  <c r="G41" i="9"/>
  <c r="H41" i="9"/>
  <c r="C42" i="9"/>
  <c r="D42" i="9"/>
  <c r="E42" i="9"/>
  <c r="F42" i="9"/>
  <c r="G42" i="9"/>
  <c r="H42" i="9"/>
  <c r="C43" i="9"/>
  <c r="D43" i="9"/>
  <c r="E43" i="9"/>
  <c r="F43" i="9"/>
  <c r="G43" i="9"/>
  <c r="H43" i="9"/>
  <c r="C44" i="9"/>
  <c r="D44" i="9"/>
  <c r="E44" i="9"/>
  <c r="F44" i="9"/>
  <c r="G44" i="9"/>
  <c r="H44" i="9"/>
  <c r="C45" i="9"/>
  <c r="D45" i="9"/>
  <c r="E45" i="9"/>
  <c r="F45" i="9"/>
  <c r="G45" i="9"/>
  <c r="H45" i="9"/>
  <c r="C46" i="9"/>
  <c r="D46" i="9"/>
  <c r="E46" i="9"/>
  <c r="F46" i="9"/>
  <c r="G46" i="9"/>
  <c r="H46" i="9"/>
  <c r="C47" i="9"/>
  <c r="D47" i="9"/>
  <c r="E47" i="9"/>
  <c r="F47" i="9"/>
  <c r="G47" i="9"/>
  <c r="H47" i="9"/>
  <c r="C48" i="9"/>
  <c r="D48" i="9"/>
  <c r="E48" i="9"/>
  <c r="F48" i="9"/>
  <c r="G48" i="9"/>
  <c r="H48" i="9"/>
  <c r="C49" i="9"/>
  <c r="D49" i="9"/>
  <c r="E49" i="9"/>
  <c r="F49" i="9"/>
  <c r="G49" i="9"/>
  <c r="H49" i="9"/>
  <c r="C50" i="9"/>
  <c r="D50" i="9"/>
  <c r="E50" i="9"/>
  <c r="F50" i="9"/>
  <c r="G50" i="9"/>
  <c r="H50" i="9"/>
  <c r="C51" i="9"/>
  <c r="D51" i="9"/>
  <c r="E51" i="9"/>
  <c r="F51" i="9"/>
  <c r="G51" i="9"/>
  <c r="H51" i="9"/>
  <c r="C52" i="9"/>
  <c r="D52" i="9"/>
  <c r="E52" i="9"/>
  <c r="F52" i="9"/>
  <c r="G52" i="9"/>
  <c r="H52" i="9"/>
  <c r="C53" i="9"/>
  <c r="D53" i="9"/>
  <c r="E53" i="9"/>
  <c r="F53" i="9"/>
  <c r="G53" i="9"/>
  <c r="H53" i="9"/>
  <c r="C54" i="9"/>
  <c r="D54" i="9"/>
  <c r="E54" i="9"/>
  <c r="F54" i="9"/>
  <c r="G54" i="9"/>
  <c r="H54" i="9"/>
  <c r="C55" i="9"/>
  <c r="D55" i="9"/>
  <c r="E55" i="9"/>
  <c r="F55" i="9"/>
  <c r="G55" i="9"/>
  <c r="H55" i="9"/>
  <c r="C56" i="9"/>
  <c r="D56" i="9"/>
  <c r="E56" i="9"/>
  <c r="F56" i="9"/>
  <c r="G56" i="9"/>
  <c r="H56" i="9"/>
  <c r="C57" i="9"/>
  <c r="D57" i="9"/>
  <c r="E57" i="9"/>
  <c r="F57" i="9"/>
  <c r="G57" i="9"/>
  <c r="H57" i="9"/>
  <c r="C58" i="9"/>
  <c r="D58" i="9"/>
  <c r="E58" i="9"/>
  <c r="F58" i="9"/>
  <c r="G58" i="9"/>
  <c r="H58" i="9"/>
  <c r="C59" i="9"/>
  <c r="D59" i="9"/>
  <c r="E59" i="9"/>
  <c r="F59" i="9"/>
  <c r="G59" i="9"/>
  <c r="H59" i="9"/>
  <c r="C60" i="9"/>
  <c r="D60" i="9"/>
  <c r="E60" i="9"/>
  <c r="F60" i="9"/>
  <c r="G60" i="9"/>
  <c r="H60" i="9"/>
  <c r="C61" i="9"/>
  <c r="D61" i="9"/>
  <c r="E61" i="9"/>
  <c r="F61" i="9"/>
  <c r="G61" i="9"/>
  <c r="H61" i="9"/>
  <c r="C62" i="9"/>
  <c r="D62" i="9"/>
  <c r="E62" i="9"/>
  <c r="F62" i="9"/>
  <c r="G62" i="9"/>
  <c r="H62" i="9"/>
  <c r="C63" i="9"/>
  <c r="D63" i="9"/>
  <c r="E63" i="9"/>
  <c r="F63" i="9"/>
  <c r="G63" i="9"/>
  <c r="H63" i="9"/>
  <c r="C64" i="9"/>
  <c r="D64" i="9"/>
  <c r="E64" i="9"/>
  <c r="F64" i="9"/>
  <c r="G64" i="9"/>
  <c r="H64" i="9"/>
  <c r="C65" i="9"/>
  <c r="D65" i="9"/>
  <c r="E65" i="9"/>
  <c r="F65" i="9"/>
  <c r="G65" i="9"/>
  <c r="H65" i="9"/>
  <c r="C66" i="9"/>
  <c r="D66" i="9"/>
  <c r="E66" i="9"/>
  <c r="F66" i="9"/>
  <c r="G66" i="9"/>
  <c r="H66" i="9"/>
  <c r="C67" i="9"/>
  <c r="D67" i="9"/>
  <c r="E67" i="9"/>
  <c r="F67" i="9"/>
  <c r="G67" i="9"/>
  <c r="H67" i="9"/>
  <c r="H36" i="9"/>
  <c r="G36" i="9"/>
  <c r="F36" i="9"/>
  <c r="E36" i="9"/>
  <c r="D36" i="9"/>
  <c r="C36" i="9"/>
  <c r="P3" i="9"/>
  <c r="P4" i="9" s="1"/>
  <c r="P5" i="9" s="1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P33" i="9" s="1"/>
  <c r="O3" i="9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N3" i="9"/>
  <c r="N4" i="9" s="1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M3" i="9"/>
  <c r="L3" i="9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K3" i="9"/>
  <c r="K4" i="9" s="1"/>
  <c r="K5" i="9" s="1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J3" i="9"/>
  <c r="P37" i="9" s="1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H12" i="8"/>
  <c r="G12" i="8"/>
  <c r="F12" i="8"/>
  <c r="E12" i="8"/>
  <c r="D12" i="8"/>
  <c r="C12" i="8"/>
  <c r="H11" i="8"/>
  <c r="G11" i="8"/>
  <c r="F11" i="8"/>
  <c r="E11" i="8"/>
  <c r="D11" i="8"/>
  <c r="C11" i="8"/>
  <c r="H10" i="8"/>
  <c r="G10" i="8"/>
  <c r="F10" i="8"/>
  <c r="E10" i="8"/>
  <c r="D10" i="8"/>
  <c r="C10" i="8"/>
  <c r="P3" i="8"/>
  <c r="P4" i="8" s="1"/>
  <c r="P5" i="8" s="1"/>
  <c r="P6" i="8" s="1"/>
  <c r="P7" i="8" s="1"/>
  <c r="O3" i="8"/>
  <c r="O4" i="8" s="1"/>
  <c r="O5" i="8" s="1"/>
  <c r="O6" i="8" s="1"/>
  <c r="O7" i="8" s="1"/>
  <c r="N3" i="8"/>
  <c r="N4" i="8" s="1"/>
  <c r="N5" i="8" s="1"/>
  <c r="N6" i="8" s="1"/>
  <c r="N7" i="8" s="1"/>
  <c r="M3" i="8"/>
  <c r="M4" i="8" s="1"/>
  <c r="M5" i="8" s="1"/>
  <c r="M6" i="8" s="1"/>
  <c r="M7" i="8" s="1"/>
  <c r="L3" i="8"/>
  <c r="L4" i="8" s="1"/>
  <c r="L5" i="8" s="1"/>
  <c r="L6" i="8" s="1"/>
  <c r="L7" i="8" s="1"/>
  <c r="K3" i="8"/>
  <c r="K4" i="8" s="1"/>
  <c r="K5" i="8" s="1"/>
  <c r="K6" i="8" s="1"/>
  <c r="K7" i="8" s="1"/>
  <c r="J3" i="8"/>
  <c r="J4" i="8" s="1"/>
  <c r="J5" i="8" s="1"/>
  <c r="J6" i="8" s="1"/>
  <c r="J7" i="8" s="1"/>
  <c r="H17" i="7"/>
  <c r="G17" i="7"/>
  <c r="F17" i="7"/>
  <c r="E17" i="7"/>
  <c r="D17" i="7"/>
  <c r="C17" i="7"/>
  <c r="H16" i="7"/>
  <c r="G16" i="7"/>
  <c r="F16" i="7"/>
  <c r="E16" i="7"/>
  <c r="D16" i="7"/>
  <c r="C16" i="7"/>
  <c r="H15" i="7"/>
  <c r="G15" i="7"/>
  <c r="F15" i="7"/>
  <c r="E15" i="7"/>
  <c r="D15" i="7"/>
  <c r="C15" i="7"/>
  <c r="H14" i="7"/>
  <c r="G14" i="7"/>
  <c r="F14" i="7"/>
  <c r="E14" i="7"/>
  <c r="D14" i="7"/>
  <c r="C14" i="7"/>
  <c r="H13" i="7"/>
  <c r="G13" i="7"/>
  <c r="F13" i="7"/>
  <c r="E13" i="7"/>
  <c r="D13" i="7"/>
  <c r="C13" i="7"/>
  <c r="H12" i="7"/>
  <c r="G12" i="7"/>
  <c r="F12" i="7"/>
  <c r="E12" i="7"/>
  <c r="D12" i="7"/>
  <c r="C12" i="7"/>
  <c r="H11" i="7"/>
  <c r="G11" i="7"/>
  <c r="F11" i="7"/>
  <c r="E11" i="7"/>
  <c r="D11" i="7"/>
  <c r="C11" i="7"/>
  <c r="P3" i="7"/>
  <c r="P4" i="7" s="1"/>
  <c r="P5" i="7" s="1"/>
  <c r="P6" i="7" s="1"/>
  <c r="P7" i="7" s="1"/>
  <c r="P8" i="7" s="1"/>
  <c r="O3" i="7"/>
  <c r="O4" i="7" s="1"/>
  <c r="O5" i="7" s="1"/>
  <c r="O6" i="7" s="1"/>
  <c r="O7" i="7" s="1"/>
  <c r="O8" i="7" s="1"/>
  <c r="N3" i="7"/>
  <c r="N4" i="7" s="1"/>
  <c r="N5" i="7" s="1"/>
  <c r="N6" i="7" s="1"/>
  <c r="N7" i="7" s="1"/>
  <c r="N8" i="7" s="1"/>
  <c r="M3" i="7"/>
  <c r="M4" i="7" s="1"/>
  <c r="M5" i="7" s="1"/>
  <c r="M6" i="7" s="1"/>
  <c r="M7" i="7" s="1"/>
  <c r="M8" i="7" s="1"/>
  <c r="L3" i="7"/>
  <c r="L4" i="7" s="1"/>
  <c r="L5" i="7" s="1"/>
  <c r="L6" i="7" s="1"/>
  <c r="L7" i="7" s="1"/>
  <c r="L8" i="7" s="1"/>
  <c r="K3" i="7"/>
  <c r="K4" i="7" s="1"/>
  <c r="K5" i="7" s="1"/>
  <c r="K6" i="7" s="1"/>
  <c r="K7" i="7" s="1"/>
  <c r="K8" i="7" s="1"/>
  <c r="J3" i="7"/>
  <c r="J4" i="7" s="1"/>
  <c r="J5" i="7" s="1"/>
  <c r="J6" i="7" s="1"/>
  <c r="J7" i="7" s="1"/>
  <c r="J8" i="7" s="1"/>
  <c r="H21" i="6"/>
  <c r="G21" i="6"/>
  <c r="F21" i="6"/>
  <c r="E21" i="6"/>
  <c r="D21" i="6"/>
  <c r="C21" i="6"/>
  <c r="H20" i="6"/>
  <c r="G20" i="6"/>
  <c r="F20" i="6"/>
  <c r="E20" i="6"/>
  <c r="D20" i="6"/>
  <c r="C20" i="6"/>
  <c r="H19" i="6"/>
  <c r="G19" i="6"/>
  <c r="F19" i="6"/>
  <c r="E19" i="6"/>
  <c r="D19" i="6"/>
  <c r="C19" i="6"/>
  <c r="H18" i="6"/>
  <c r="G18" i="6"/>
  <c r="F18" i="6"/>
  <c r="E18" i="6"/>
  <c r="D18" i="6"/>
  <c r="C18" i="6"/>
  <c r="H17" i="6"/>
  <c r="G17" i="6"/>
  <c r="F17" i="6"/>
  <c r="E17" i="6"/>
  <c r="D17" i="6"/>
  <c r="C17" i="6"/>
  <c r="H16" i="6"/>
  <c r="G16" i="6"/>
  <c r="F16" i="6"/>
  <c r="E16" i="6"/>
  <c r="D16" i="6"/>
  <c r="C16" i="6"/>
  <c r="H15" i="6"/>
  <c r="G15" i="6"/>
  <c r="F15" i="6"/>
  <c r="E15" i="6"/>
  <c r="D15" i="6"/>
  <c r="C15" i="6"/>
  <c r="H14" i="6"/>
  <c r="G14" i="6"/>
  <c r="F14" i="6"/>
  <c r="E14" i="6"/>
  <c r="D14" i="6"/>
  <c r="C14" i="6"/>
  <c r="H13" i="6"/>
  <c r="G13" i="6"/>
  <c r="F13" i="6"/>
  <c r="E13" i="6"/>
  <c r="D13" i="6"/>
  <c r="C13" i="6"/>
  <c r="P3" i="6"/>
  <c r="P4" i="6" s="1"/>
  <c r="P5" i="6" s="1"/>
  <c r="P6" i="6" s="1"/>
  <c r="P7" i="6" s="1"/>
  <c r="P8" i="6" s="1"/>
  <c r="P9" i="6" s="1"/>
  <c r="P10" i="6" s="1"/>
  <c r="O3" i="6"/>
  <c r="O4" i="6" s="1"/>
  <c r="O5" i="6" s="1"/>
  <c r="O6" i="6" s="1"/>
  <c r="O7" i="6" s="1"/>
  <c r="O8" i="6" s="1"/>
  <c r="O9" i="6" s="1"/>
  <c r="O10" i="6" s="1"/>
  <c r="N3" i="6"/>
  <c r="N4" i="6" s="1"/>
  <c r="N5" i="6" s="1"/>
  <c r="N6" i="6" s="1"/>
  <c r="N7" i="6" s="1"/>
  <c r="N8" i="6" s="1"/>
  <c r="N9" i="6" s="1"/>
  <c r="N10" i="6" s="1"/>
  <c r="M3" i="6"/>
  <c r="M4" i="6" s="1"/>
  <c r="M5" i="6" s="1"/>
  <c r="M6" i="6" s="1"/>
  <c r="M7" i="6" s="1"/>
  <c r="M8" i="6" s="1"/>
  <c r="M9" i="6" s="1"/>
  <c r="M10" i="6" s="1"/>
  <c r="L3" i="6"/>
  <c r="L4" i="6" s="1"/>
  <c r="L5" i="6" s="1"/>
  <c r="L6" i="6" s="1"/>
  <c r="L7" i="6" s="1"/>
  <c r="L8" i="6" s="1"/>
  <c r="L9" i="6" s="1"/>
  <c r="L10" i="6" s="1"/>
  <c r="K3" i="6"/>
  <c r="K4" i="6" s="1"/>
  <c r="K5" i="6" s="1"/>
  <c r="K6" i="6" s="1"/>
  <c r="K7" i="6" s="1"/>
  <c r="K8" i="6" s="1"/>
  <c r="K9" i="6" s="1"/>
  <c r="K10" i="6" s="1"/>
  <c r="J3" i="6"/>
  <c r="J4" i="6" s="1"/>
  <c r="J5" i="6" s="1"/>
  <c r="J6" i="6" s="1"/>
  <c r="J7" i="6" s="1"/>
  <c r="J8" i="6" s="1"/>
  <c r="J9" i="6" s="1"/>
  <c r="J10" i="6" s="1"/>
  <c r="P21" i="6" s="1"/>
  <c r="H23" i="5"/>
  <c r="G23" i="5"/>
  <c r="F23" i="5"/>
  <c r="E23" i="5"/>
  <c r="D23" i="5"/>
  <c r="C23" i="5"/>
  <c r="H22" i="5"/>
  <c r="G22" i="5"/>
  <c r="F22" i="5"/>
  <c r="E22" i="5"/>
  <c r="D22" i="5"/>
  <c r="C22" i="5"/>
  <c r="H21" i="5"/>
  <c r="G21" i="5"/>
  <c r="F21" i="5"/>
  <c r="E21" i="5"/>
  <c r="D21" i="5"/>
  <c r="C21" i="5"/>
  <c r="H20" i="5"/>
  <c r="G20" i="5"/>
  <c r="F20" i="5"/>
  <c r="E20" i="5"/>
  <c r="D20" i="5"/>
  <c r="C20" i="5"/>
  <c r="H19" i="5"/>
  <c r="G19" i="5"/>
  <c r="F19" i="5"/>
  <c r="E19" i="5"/>
  <c r="D19" i="5"/>
  <c r="C19" i="5"/>
  <c r="H18" i="5"/>
  <c r="G18" i="5"/>
  <c r="F18" i="5"/>
  <c r="E18" i="5"/>
  <c r="D18" i="5"/>
  <c r="C18" i="5"/>
  <c r="H17" i="5"/>
  <c r="G17" i="5"/>
  <c r="F17" i="5"/>
  <c r="E17" i="5"/>
  <c r="D17" i="5"/>
  <c r="C17" i="5"/>
  <c r="H16" i="5"/>
  <c r="G16" i="5"/>
  <c r="F16" i="5"/>
  <c r="E16" i="5"/>
  <c r="D16" i="5"/>
  <c r="C16" i="5"/>
  <c r="H15" i="5"/>
  <c r="G15" i="5"/>
  <c r="F15" i="5"/>
  <c r="E15" i="5"/>
  <c r="D15" i="5"/>
  <c r="C15" i="5"/>
  <c r="H14" i="5"/>
  <c r="G14" i="5"/>
  <c r="F14" i="5"/>
  <c r="E14" i="5"/>
  <c r="D14" i="5"/>
  <c r="C14" i="5"/>
  <c r="P3" i="5"/>
  <c r="P4" i="5" s="1"/>
  <c r="P5" i="5" s="1"/>
  <c r="P6" i="5" s="1"/>
  <c r="P7" i="5" s="1"/>
  <c r="P8" i="5" s="1"/>
  <c r="P9" i="5" s="1"/>
  <c r="P10" i="5" s="1"/>
  <c r="P11" i="5" s="1"/>
  <c r="O3" i="5"/>
  <c r="O4" i="5" s="1"/>
  <c r="O5" i="5" s="1"/>
  <c r="O6" i="5" s="1"/>
  <c r="O7" i="5" s="1"/>
  <c r="O8" i="5" s="1"/>
  <c r="O9" i="5" s="1"/>
  <c r="O10" i="5" s="1"/>
  <c r="O11" i="5" s="1"/>
  <c r="N3" i="5"/>
  <c r="N4" i="5" s="1"/>
  <c r="N5" i="5" s="1"/>
  <c r="N6" i="5" s="1"/>
  <c r="N7" i="5" s="1"/>
  <c r="N8" i="5" s="1"/>
  <c r="N9" i="5" s="1"/>
  <c r="N10" i="5" s="1"/>
  <c r="N11" i="5" s="1"/>
  <c r="M3" i="5"/>
  <c r="M4" i="5" s="1"/>
  <c r="M5" i="5" s="1"/>
  <c r="M6" i="5" s="1"/>
  <c r="M7" i="5" s="1"/>
  <c r="M8" i="5" s="1"/>
  <c r="M9" i="5" s="1"/>
  <c r="M10" i="5" s="1"/>
  <c r="M11" i="5" s="1"/>
  <c r="L3" i="5"/>
  <c r="L4" i="5" s="1"/>
  <c r="L5" i="5" s="1"/>
  <c r="L6" i="5" s="1"/>
  <c r="L7" i="5" s="1"/>
  <c r="L8" i="5" s="1"/>
  <c r="L9" i="5" s="1"/>
  <c r="L10" i="5" s="1"/>
  <c r="L11" i="5" s="1"/>
  <c r="K3" i="5"/>
  <c r="K4" i="5" s="1"/>
  <c r="K5" i="5" s="1"/>
  <c r="K6" i="5" s="1"/>
  <c r="K7" i="5" s="1"/>
  <c r="K8" i="5" s="1"/>
  <c r="K9" i="5" s="1"/>
  <c r="K10" i="5" s="1"/>
  <c r="K11" i="5" s="1"/>
  <c r="J3" i="5"/>
  <c r="J4" i="5" s="1"/>
  <c r="J5" i="5" s="1"/>
  <c r="J6" i="5" s="1"/>
  <c r="J7" i="5" s="1"/>
  <c r="J8" i="5" s="1"/>
  <c r="J9" i="5" s="1"/>
  <c r="J10" i="5" s="1"/>
  <c r="J11" i="5" s="1"/>
  <c r="M23" i="5" s="1"/>
  <c r="N11" i="14" l="1"/>
  <c r="O12" i="14"/>
  <c r="P13" i="14"/>
  <c r="M11" i="14"/>
  <c r="L11" i="13"/>
  <c r="M12" i="13"/>
  <c r="O11" i="13"/>
  <c r="O13" i="13"/>
  <c r="P13" i="13"/>
  <c r="K13" i="13"/>
  <c r="K11" i="13"/>
  <c r="K12" i="12"/>
  <c r="P14" i="12"/>
  <c r="P15" i="12"/>
  <c r="K11" i="12"/>
  <c r="L15" i="12"/>
  <c r="L11" i="12"/>
  <c r="M15" i="12"/>
  <c r="L12" i="12"/>
  <c r="K14" i="12"/>
  <c r="O14" i="12"/>
  <c r="N13" i="11"/>
  <c r="O14" i="11"/>
  <c r="K12" i="11"/>
  <c r="P15" i="11"/>
  <c r="L12" i="11"/>
  <c r="P51" i="10"/>
  <c r="N29" i="10"/>
  <c r="L32" i="10"/>
  <c r="P34" i="10"/>
  <c r="N37" i="10"/>
  <c r="L40" i="10"/>
  <c r="N41" i="10"/>
  <c r="P42" i="10"/>
  <c r="L44" i="10"/>
  <c r="N45" i="10"/>
  <c r="P46" i="10"/>
  <c r="L48" i="10"/>
  <c r="N49" i="10"/>
  <c r="P50" i="10"/>
  <c r="K31" i="10"/>
  <c r="O33" i="10"/>
  <c r="M36" i="10"/>
  <c r="K39" i="10"/>
  <c r="O41" i="10"/>
  <c r="O45" i="10"/>
  <c r="N32" i="10"/>
  <c r="K30" i="10"/>
  <c r="M31" i="10"/>
  <c r="O32" i="10"/>
  <c r="K34" i="10"/>
  <c r="M35" i="10"/>
  <c r="O36" i="10"/>
  <c r="K38" i="10"/>
  <c r="M39" i="10"/>
  <c r="O40" i="10"/>
  <c r="K42" i="10"/>
  <c r="M43" i="10"/>
  <c r="O44" i="10"/>
  <c r="K46" i="10"/>
  <c r="M47" i="10"/>
  <c r="K50" i="10"/>
  <c r="M51" i="10"/>
  <c r="L30" i="10"/>
  <c r="P32" i="10"/>
  <c r="N35" i="10"/>
  <c r="L38" i="10"/>
  <c r="P40" i="10"/>
  <c r="N43" i="10"/>
  <c r="L46" i="10"/>
  <c r="P48" i="10"/>
  <c r="L50" i="10"/>
  <c r="K29" i="10"/>
  <c r="M30" i="10"/>
  <c r="O31" i="10"/>
  <c r="K33" i="10"/>
  <c r="M34" i="10"/>
  <c r="O35" i="10"/>
  <c r="K37" i="10"/>
  <c r="M38" i="10"/>
  <c r="O39" i="10"/>
  <c r="K41" i="10"/>
  <c r="M42" i="10"/>
  <c r="O43" i="10"/>
  <c r="K45" i="10"/>
  <c r="M46" i="10"/>
  <c r="O47" i="10"/>
  <c r="K49" i="10"/>
  <c r="M50" i="10"/>
  <c r="O51" i="10"/>
  <c r="P30" i="10"/>
  <c r="N33" i="10"/>
  <c r="L36" i="10"/>
  <c r="P38" i="10"/>
  <c r="O29" i="10"/>
  <c r="M32" i="10"/>
  <c r="K35" i="10"/>
  <c r="O37" i="10"/>
  <c r="M40" i="10"/>
  <c r="K43" i="10"/>
  <c r="M44" i="10"/>
  <c r="K47" i="10"/>
  <c r="M48" i="10"/>
  <c r="O49" i="10"/>
  <c r="K51" i="10"/>
  <c r="P29" i="10"/>
  <c r="P52" i="10" s="1"/>
  <c r="P53" i="10" s="1"/>
  <c r="L31" i="10"/>
  <c r="P33" i="10"/>
  <c r="L35" i="10"/>
  <c r="N36" i="10"/>
  <c r="P37" i="10"/>
  <c r="L39" i="10"/>
  <c r="N40" i="10"/>
  <c r="P41" i="10"/>
  <c r="L43" i="10"/>
  <c r="N44" i="10"/>
  <c r="P45" i="10"/>
  <c r="L47" i="10"/>
  <c r="N48" i="10"/>
  <c r="P49" i="10"/>
  <c r="L51" i="10"/>
  <c r="O48" i="10"/>
  <c r="N31" i="10"/>
  <c r="L34" i="10"/>
  <c r="P36" i="10"/>
  <c r="N39" i="10"/>
  <c r="L42" i="10"/>
  <c r="P44" i="10"/>
  <c r="N47" i="10"/>
  <c r="N51" i="10"/>
  <c r="L29" i="10"/>
  <c r="N30" i="10"/>
  <c r="P31" i="10"/>
  <c r="L33" i="10"/>
  <c r="N34" i="10"/>
  <c r="P35" i="10"/>
  <c r="L37" i="10"/>
  <c r="N38" i="10"/>
  <c r="P39" i="10"/>
  <c r="L41" i="10"/>
  <c r="N42" i="10"/>
  <c r="P43" i="10"/>
  <c r="L45" i="10"/>
  <c r="N46" i="10"/>
  <c r="P47" i="10"/>
  <c r="L49" i="10"/>
  <c r="N50" i="10"/>
  <c r="M29" i="10"/>
  <c r="O30" i="10"/>
  <c r="K32" i="10"/>
  <c r="M33" i="10"/>
  <c r="O34" i="10"/>
  <c r="K36" i="10"/>
  <c r="M37" i="10"/>
  <c r="O38" i="10"/>
  <c r="K40" i="10"/>
  <c r="M41" i="10"/>
  <c r="O42" i="10"/>
  <c r="K44" i="10"/>
  <c r="M45" i="10"/>
  <c r="O46" i="10"/>
  <c r="K48" i="10"/>
  <c r="M49" i="10"/>
  <c r="O50" i="10"/>
  <c r="N37" i="9"/>
  <c r="L37" i="9"/>
  <c r="M4" i="9"/>
  <c r="M5" i="9" s="1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7" i="9"/>
  <c r="K37" i="9"/>
  <c r="P15" i="8"/>
  <c r="M15" i="8"/>
  <c r="K12" i="8"/>
  <c r="L12" i="8"/>
  <c r="K14" i="8"/>
  <c r="O14" i="8"/>
  <c r="P14" i="8"/>
  <c r="K15" i="8"/>
  <c r="K11" i="8"/>
  <c r="L15" i="8"/>
  <c r="L11" i="8"/>
  <c r="L17" i="7"/>
  <c r="M15" i="7"/>
  <c r="N15" i="7"/>
  <c r="O15" i="7"/>
  <c r="O12" i="7"/>
  <c r="O16" i="7"/>
  <c r="P17" i="7"/>
  <c r="P12" i="7"/>
  <c r="P16" i="7"/>
  <c r="P15" i="7"/>
  <c r="K13" i="7"/>
  <c r="K17" i="7"/>
  <c r="M14" i="6"/>
  <c r="M15" i="6"/>
  <c r="K17" i="6"/>
  <c r="K18" i="6"/>
  <c r="M19" i="6"/>
  <c r="O20" i="6"/>
  <c r="O16" i="6"/>
  <c r="P20" i="6"/>
  <c r="P16" i="6"/>
  <c r="K21" i="6"/>
  <c r="K14" i="6"/>
  <c r="L18" i="6"/>
  <c r="L14" i="6"/>
  <c r="M18" i="6"/>
  <c r="K17" i="5"/>
  <c r="M18" i="5"/>
  <c r="L22" i="5"/>
  <c r="M22" i="5"/>
  <c r="N15" i="5"/>
  <c r="N23" i="5"/>
  <c r="O23" i="5"/>
  <c r="L18" i="5"/>
  <c r="N19" i="5"/>
  <c r="K21" i="5"/>
  <c r="P16" i="5"/>
  <c r="O15" i="5"/>
  <c r="L17" i="5"/>
  <c r="P19" i="5"/>
  <c r="L21" i="5"/>
  <c r="N22" i="5"/>
  <c r="P23" i="5"/>
  <c r="M21" i="5"/>
  <c r="L16" i="5"/>
  <c r="P18" i="5"/>
  <c r="N21" i="5"/>
  <c r="K15" i="5"/>
  <c r="M16" i="5"/>
  <c r="O17" i="5"/>
  <c r="O24" i="5" s="1"/>
  <c r="K19" i="5"/>
  <c r="M20" i="5"/>
  <c r="O21" i="5"/>
  <c r="K23" i="5"/>
  <c r="P20" i="5"/>
  <c r="O19" i="5"/>
  <c r="P15" i="5"/>
  <c r="N18" i="5"/>
  <c r="K16" i="5"/>
  <c r="M17" i="5"/>
  <c r="O18" i="5"/>
  <c r="K20" i="5"/>
  <c r="O22" i="5"/>
  <c r="N17" i="5"/>
  <c r="L20" i="5"/>
  <c r="P22" i="5"/>
  <c r="L15" i="5"/>
  <c r="N16" i="5"/>
  <c r="P17" i="5"/>
  <c r="L19" i="5"/>
  <c r="N20" i="5"/>
  <c r="P21" i="5"/>
  <c r="L23" i="5"/>
  <c r="M15" i="5"/>
  <c r="M24" i="5" s="1"/>
  <c r="O16" i="5"/>
  <c r="K18" i="5"/>
  <c r="M19" i="5"/>
  <c r="O20" i="5"/>
  <c r="K22" i="5"/>
  <c r="M10" i="14"/>
  <c r="O11" i="14"/>
  <c r="K13" i="14"/>
  <c r="K10" i="14"/>
  <c r="N10" i="14"/>
  <c r="P11" i="14"/>
  <c r="L13" i="14"/>
  <c r="O10" i="14"/>
  <c r="K12" i="14"/>
  <c r="M13" i="14"/>
  <c r="L10" i="14"/>
  <c r="P10" i="14"/>
  <c r="L12" i="14"/>
  <c r="N13" i="14"/>
  <c r="K11" i="14"/>
  <c r="M12" i="14"/>
  <c r="O13" i="14"/>
  <c r="L11" i="14"/>
  <c r="N12" i="14"/>
  <c r="N12" i="13"/>
  <c r="K10" i="13"/>
  <c r="M11" i="13"/>
  <c r="O12" i="13"/>
  <c r="L10" i="13"/>
  <c r="N11" i="13"/>
  <c r="P12" i="13"/>
  <c r="N10" i="13"/>
  <c r="P11" i="13"/>
  <c r="L13" i="13"/>
  <c r="O10" i="13"/>
  <c r="O14" i="13" s="1"/>
  <c r="O15" i="13" s="1"/>
  <c r="K12" i="13"/>
  <c r="M13" i="13"/>
  <c r="M10" i="13"/>
  <c r="P10" i="13"/>
  <c r="L12" i="13"/>
  <c r="M13" i="12"/>
  <c r="O13" i="12"/>
  <c r="N15" i="12"/>
  <c r="O11" i="12"/>
  <c r="K13" i="12"/>
  <c r="M14" i="12"/>
  <c r="O15" i="12"/>
  <c r="N13" i="12"/>
  <c r="M12" i="12"/>
  <c r="N12" i="12"/>
  <c r="P13" i="12"/>
  <c r="M11" i="12"/>
  <c r="M16" i="12" s="1"/>
  <c r="M17" i="12" s="1"/>
  <c r="O12" i="12"/>
  <c r="N11" i="12"/>
  <c r="P12" i="12"/>
  <c r="L14" i="12"/>
  <c r="P11" i="12"/>
  <c r="L13" i="12"/>
  <c r="N14" i="12"/>
  <c r="K15" i="11"/>
  <c r="L11" i="11"/>
  <c r="M15" i="11"/>
  <c r="K11" i="11"/>
  <c r="L15" i="11"/>
  <c r="M11" i="11"/>
  <c r="N11" i="11"/>
  <c r="P12" i="11"/>
  <c r="L14" i="11"/>
  <c r="N15" i="11"/>
  <c r="P14" i="11"/>
  <c r="O13" i="11"/>
  <c r="P13" i="11"/>
  <c r="K14" i="11"/>
  <c r="O11" i="11"/>
  <c r="K13" i="11"/>
  <c r="M14" i="11"/>
  <c r="O15" i="11"/>
  <c r="M12" i="11"/>
  <c r="N12" i="11"/>
  <c r="O12" i="11"/>
  <c r="P11" i="11"/>
  <c r="L13" i="11"/>
  <c r="N14" i="11"/>
  <c r="J4" i="9"/>
  <c r="M13" i="8"/>
  <c r="M12" i="8"/>
  <c r="O13" i="8"/>
  <c r="M11" i="8"/>
  <c r="N11" i="8"/>
  <c r="N15" i="8"/>
  <c r="O11" i="8"/>
  <c r="K13" i="8"/>
  <c r="K16" i="8" s="1"/>
  <c r="K17" i="8" s="1"/>
  <c r="M14" i="8"/>
  <c r="O15" i="8"/>
  <c r="N13" i="8"/>
  <c r="N12" i="8"/>
  <c r="P13" i="8"/>
  <c r="O12" i="8"/>
  <c r="P12" i="8"/>
  <c r="L14" i="8"/>
  <c r="P11" i="8"/>
  <c r="L13" i="8"/>
  <c r="N14" i="8"/>
  <c r="K12" i="7"/>
  <c r="M13" i="7"/>
  <c r="O14" i="7"/>
  <c r="K16" i="7"/>
  <c r="M17" i="7"/>
  <c r="L12" i="7"/>
  <c r="N13" i="7"/>
  <c r="P14" i="7"/>
  <c r="L16" i="7"/>
  <c r="N17" i="7"/>
  <c r="L13" i="7"/>
  <c r="M12" i="7"/>
  <c r="O13" i="7"/>
  <c r="K15" i="7"/>
  <c r="M16" i="7"/>
  <c r="O17" i="7"/>
  <c r="L14" i="7"/>
  <c r="M14" i="7"/>
  <c r="N14" i="7"/>
  <c r="N12" i="7"/>
  <c r="P13" i="7"/>
  <c r="L15" i="7"/>
  <c r="N16" i="7"/>
  <c r="N19" i="6"/>
  <c r="N14" i="6"/>
  <c r="P15" i="6"/>
  <c r="L17" i="6"/>
  <c r="N18" i="6"/>
  <c r="P19" i="6"/>
  <c r="L21" i="6"/>
  <c r="N15" i="6"/>
  <c r="O19" i="6"/>
  <c r="O14" i="6"/>
  <c r="K16" i="6"/>
  <c r="M17" i="6"/>
  <c r="O18" i="6"/>
  <c r="K20" i="6"/>
  <c r="M21" i="6"/>
  <c r="P14" i="6"/>
  <c r="L16" i="6"/>
  <c r="N17" i="6"/>
  <c r="P18" i="6"/>
  <c r="L20" i="6"/>
  <c r="N21" i="6"/>
  <c r="K15" i="6"/>
  <c r="M16" i="6"/>
  <c r="O17" i="6"/>
  <c r="K19" i="6"/>
  <c r="M20" i="6"/>
  <c r="O21" i="6"/>
  <c r="O15" i="6"/>
  <c r="L15" i="6"/>
  <c r="L22" i="6" s="1"/>
  <c r="L23" i="6" s="1"/>
  <c r="N16" i="6"/>
  <c r="P17" i="6"/>
  <c r="L19" i="6"/>
  <c r="N20" i="6"/>
  <c r="K24" i="5"/>
  <c r="H33" i="4"/>
  <c r="G33" i="4"/>
  <c r="F33" i="4"/>
  <c r="E33" i="4"/>
  <c r="D33" i="4"/>
  <c r="C33" i="4"/>
  <c r="H32" i="4"/>
  <c r="G32" i="4"/>
  <c r="F32" i="4"/>
  <c r="E32" i="4"/>
  <c r="D32" i="4"/>
  <c r="C32" i="4"/>
  <c r="H31" i="4"/>
  <c r="G31" i="4"/>
  <c r="F31" i="4"/>
  <c r="E31" i="4"/>
  <c r="D31" i="4"/>
  <c r="C31" i="4"/>
  <c r="H30" i="4"/>
  <c r="G30" i="4"/>
  <c r="F30" i="4"/>
  <c r="E30" i="4"/>
  <c r="D30" i="4"/>
  <c r="C30" i="4"/>
  <c r="H29" i="4"/>
  <c r="G29" i="4"/>
  <c r="F29" i="4"/>
  <c r="E29" i="4"/>
  <c r="D29" i="4"/>
  <c r="C29" i="4"/>
  <c r="H28" i="4"/>
  <c r="G28" i="4"/>
  <c r="F28" i="4"/>
  <c r="E28" i="4"/>
  <c r="D28" i="4"/>
  <c r="C28" i="4"/>
  <c r="H27" i="4"/>
  <c r="G27" i="4"/>
  <c r="F27" i="4"/>
  <c r="E27" i="4"/>
  <c r="D27" i="4"/>
  <c r="C27" i="4"/>
  <c r="H26" i="4"/>
  <c r="G26" i="4"/>
  <c r="F26" i="4"/>
  <c r="E26" i="4"/>
  <c r="D26" i="4"/>
  <c r="C26" i="4"/>
  <c r="H25" i="4"/>
  <c r="G25" i="4"/>
  <c r="F25" i="4"/>
  <c r="E25" i="4"/>
  <c r="D25" i="4"/>
  <c r="C25" i="4"/>
  <c r="H24" i="4"/>
  <c r="G24" i="4"/>
  <c r="F24" i="4"/>
  <c r="E24" i="4"/>
  <c r="D24" i="4"/>
  <c r="C24" i="4"/>
  <c r="H23" i="4"/>
  <c r="G23" i="4"/>
  <c r="F23" i="4"/>
  <c r="E23" i="4"/>
  <c r="D23" i="4"/>
  <c r="C23" i="4"/>
  <c r="H22" i="4"/>
  <c r="G22" i="4"/>
  <c r="F22" i="4"/>
  <c r="E22" i="4"/>
  <c r="D22" i="4"/>
  <c r="C22" i="4"/>
  <c r="H21" i="4"/>
  <c r="G21" i="4"/>
  <c r="F21" i="4"/>
  <c r="E21" i="4"/>
  <c r="D21" i="4"/>
  <c r="C21" i="4"/>
  <c r="H20" i="4"/>
  <c r="G20" i="4"/>
  <c r="F20" i="4"/>
  <c r="E20" i="4"/>
  <c r="D20" i="4"/>
  <c r="C20" i="4"/>
  <c r="H19" i="4"/>
  <c r="G19" i="4"/>
  <c r="F19" i="4"/>
  <c r="E19" i="4"/>
  <c r="D19" i="4"/>
  <c r="C19" i="4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N3" i="4"/>
  <c r="N4" i="4" s="1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M3" i="4"/>
  <c r="M4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L3" i="4"/>
  <c r="L4" i="4" s="1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K3" i="4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J3" i="4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P3" i="3"/>
  <c r="P4" i="3" s="1"/>
  <c r="P5" i="3" s="1"/>
  <c r="P6" i="3" s="1"/>
  <c r="P7" i="3" s="1"/>
  <c r="P8" i="3" s="1"/>
  <c r="P9" i="3" s="1"/>
  <c r="O3" i="3"/>
  <c r="O4" i="3" s="1"/>
  <c r="O5" i="3" s="1"/>
  <c r="O6" i="3" s="1"/>
  <c r="O7" i="3" s="1"/>
  <c r="O8" i="3" s="1"/>
  <c r="O9" i="3" s="1"/>
  <c r="N3" i="3"/>
  <c r="N4" i="3" s="1"/>
  <c r="N5" i="3" s="1"/>
  <c r="N6" i="3" s="1"/>
  <c r="N7" i="3" s="1"/>
  <c r="N8" i="3" s="1"/>
  <c r="N9" i="3" s="1"/>
  <c r="M3" i="3"/>
  <c r="M4" i="3" s="1"/>
  <c r="M5" i="3" s="1"/>
  <c r="M6" i="3" s="1"/>
  <c r="M7" i="3" s="1"/>
  <c r="M8" i="3" s="1"/>
  <c r="M9" i="3" s="1"/>
  <c r="L3" i="3"/>
  <c r="L4" i="3" s="1"/>
  <c r="L5" i="3" s="1"/>
  <c r="L6" i="3" s="1"/>
  <c r="L7" i="3" s="1"/>
  <c r="L8" i="3" s="1"/>
  <c r="L9" i="3" s="1"/>
  <c r="K3" i="3"/>
  <c r="K4" i="3" s="1"/>
  <c r="K5" i="3" s="1"/>
  <c r="K6" i="3" s="1"/>
  <c r="K7" i="3" s="1"/>
  <c r="K8" i="3" s="1"/>
  <c r="K9" i="3" s="1"/>
  <c r="J3" i="3"/>
  <c r="H13" i="2"/>
  <c r="G13" i="2"/>
  <c r="F13" i="2"/>
  <c r="E13" i="2"/>
  <c r="D13" i="2"/>
  <c r="C13" i="2"/>
  <c r="H12" i="2"/>
  <c r="G12" i="2"/>
  <c r="F12" i="2"/>
  <c r="E12" i="2"/>
  <c r="D12" i="2"/>
  <c r="C12" i="2"/>
  <c r="H11" i="2"/>
  <c r="G11" i="2"/>
  <c r="F11" i="2"/>
  <c r="E11" i="2"/>
  <c r="D11" i="2"/>
  <c r="C11" i="2"/>
  <c r="H10" i="2"/>
  <c r="G10" i="2"/>
  <c r="F10" i="2"/>
  <c r="E10" i="2"/>
  <c r="D10" i="2"/>
  <c r="C10" i="2"/>
  <c r="H9" i="2"/>
  <c r="G9" i="2"/>
  <c r="F9" i="2"/>
  <c r="E9" i="2"/>
  <c r="D9" i="2"/>
  <c r="C9" i="2"/>
  <c r="P3" i="2"/>
  <c r="P4" i="2" s="1"/>
  <c r="P5" i="2" s="1"/>
  <c r="P6" i="2" s="1"/>
  <c r="O3" i="2"/>
  <c r="O4" i="2" s="1"/>
  <c r="O5" i="2" s="1"/>
  <c r="O6" i="2" s="1"/>
  <c r="N3" i="2"/>
  <c r="N4" i="2" s="1"/>
  <c r="N5" i="2" s="1"/>
  <c r="N6" i="2" s="1"/>
  <c r="M3" i="2"/>
  <c r="M4" i="2" s="1"/>
  <c r="M5" i="2" s="1"/>
  <c r="M6" i="2" s="1"/>
  <c r="L3" i="2"/>
  <c r="L4" i="2" s="1"/>
  <c r="L5" i="2" s="1"/>
  <c r="L6" i="2" s="1"/>
  <c r="K3" i="2"/>
  <c r="K4" i="2" s="1"/>
  <c r="K5" i="2" s="1"/>
  <c r="K6" i="2" s="1"/>
  <c r="J3" i="2"/>
  <c r="O14" i="14" l="1"/>
  <c r="O15" i="14" s="1"/>
  <c r="P14" i="14"/>
  <c r="P15" i="14" s="1"/>
  <c r="L14" i="14"/>
  <c r="L15" i="14" s="1"/>
  <c r="L14" i="13"/>
  <c r="L15" i="13" s="1"/>
  <c r="P14" i="13"/>
  <c r="P15" i="13" s="1"/>
  <c r="M14" i="13"/>
  <c r="M15" i="13" s="1"/>
  <c r="K16" i="12"/>
  <c r="K17" i="12" s="1"/>
  <c r="O16" i="12"/>
  <c r="O17" i="12" s="1"/>
  <c r="L16" i="12"/>
  <c r="L17" i="12" s="1"/>
  <c r="P16" i="12"/>
  <c r="P17" i="12" s="1"/>
  <c r="K16" i="11"/>
  <c r="K17" i="11" s="1"/>
  <c r="P16" i="11"/>
  <c r="P17" i="11" s="1"/>
  <c r="M16" i="11"/>
  <c r="M17" i="11" s="1"/>
  <c r="N16" i="11"/>
  <c r="N17" i="11" s="1"/>
  <c r="M52" i="10"/>
  <c r="M53" i="10" s="1"/>
  <c r="K52" i="10"/>
  <c r="K53" i="10" s="1"/>
  <c r="L52" i="10"/>
  <c r="L53" i="10" s="1"/>
  <c r="N52" i="10"/>
  <c r="N53" i="10" s="1"/>
  <c r="K38" i="9"/>
  <c r="M38" i="9"/>
  <c r="O38" i="9"/>
  <c r="P38" i="9"/>
  <c r="L38" i="9"/>
  <c r="N38" i="9"/>
  <c r="M16" i="8"/>
  <c r="M17" i="8" s="1"/>
  <c r="P16" i="8"/>
  <c r="P17" i="8" s="1"/>
  <c r="L16" i="8"/>
  <c r="L17" i="8" s="1"/>
  <c r="O16" i="8"/>
  <c r="O17" i="8" s="1"/>
  <c r="O18" i="7"/>
  <c r="O19" i="7" s="1"/>
  <c r="L18" i="7"/>
  <c r="L19" i="7" s="1"/>
  <c r="M18" i="7"/>
  <c r="M19" i="7" s="1"/>
  <c r="P18" i="7"/>
  <c r="P19" i="7" s="1"/>
  <c r="N18" i="7"/>
  <c r="N19" i="7" s="1"/>
  <c r="M22" i="6"/>
  <c r="M23" i="6" s="1"/>
  <c r="K22" i="6"/>
  <c r="K23" i="6" s="1"/>
  <c r="P24" i="5"/>
  <c r="N24" i="5"/>
  <c r="L24" i="5"/>
  <c r="N14" i="14"/>
  <c r="N15" i="14" s="1"/>
  <c r="K14" i="14"/>
  <c r="K15" i="14" s="1"/>
  <c r="M14" i="14"/>
  <c r="M15" i="14" s="1"/>
  <c r="N14" i="13"/>
  <c r="N15" i="13" s="1"/>
  <c r="K14" i="13"/>
  <c r="K15" i="13" s="1"/>
  <c r="N16" i="12"/>
  <c r="N17" i="12" s="1"/>
  <c r="L16" i="11"/>
  <c r="L17" i="11" s="1"/>
  <c r="O16" i="11"/>
  <c r="O17" i="11" s="1"/>
  <c r="O52" i="10"/>
  <c r="O53" i="10" s="1"/>
  <c r="J5" i="9"/>
  <c r="N16" i="8"/>
  <c r="N17" i="8" s="1"/>
  <c r="K18" i="7"/>
  <c r="K19" i="7" s="1"/>
  <c r="N22" i="6"/>
  <c r="N23" i="6" s="1"/>
  <c r="P22" i="6"/>
  <c r="P23" i="6" s="1"/>
  <c r="O22" i="6"/>
  <c r="O23" i="6" s="1"/>
  <c r="J4" i="4"/>
  <c r="N20" i="4"/>
  <c r="M20" i="4"/>
  <c r="L20" i="4"/>
  <c r="P20" i="4"/>
  <c r="K20" i="4"/>
  <c r="O20" i="4"/>
  <c r="J4" i="3"/>
  <c r="L13" i="3"/>
  <c r="K13" i="3"/>
  <c r="P13" i="3"/>
  <c r="O13" i="3"/>
  <c r="N13" i="3"/>
  <c r="M13" i="3"/>
  <c r="J4" i="2"/>
  <c r="P10" i="2"/>
  <c r="M10" i="2"/>
  <c r="L10" i="2"/>
  <c r="K10" i="2"/>
  <c r="O10" i="2"/>
  <c r="N10" i="2"/>
  <c r="L39" i="9" l="1"/>
  <c r="M39" i="9"/>
  <c r="P39" i="9"/>
  <c r="K39" i="9"/>
  <c r="N39" i="9"/>
  <c r="O39" i="9"/>
  <c r="J6" i="9"/>
  <c r="J5" i="4"/>
  <c r="P21" i="4"/>
  <c r="O21" i="4"/>
  <c r="N21" i="4"/>
  <c r="K21" i="4"/>
  <c r="M21" i="4"/>
  <c r="L21" i="4"/>
  <c r="J5" i="3"/>
  <c r="N14" i="3"/>
  <c r="M14" i="3"/>
  <c r="L14" i="3"/>
  <c r="K14" i="3"/>
  <c r="O14" i="3"/>
  <c r="P14" i="3"/>
  <c r="J5" i="2"/>
  <c r="L11" i="2"/>
  <c r="O11" i="2"/>
  <c r="K11" i="2"/>
  <c r="P11" i="2"/>
  <c r="N11" i="2"/>
  <c r="M11" i="2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/>
  <c r="G27" i="1"/>
  <c r="H27" i="1"/>
  <c r="D28" i="1"/>
  <c r="E28" i="1"/>
  <c r="F28" i="1"/>
  <c r="G28" i="1"/>
  <c r="H28" i="1"/>
  <c r="D29" i="1"/>
  <c r="E29" i="1"/>
  <c r="F29" i="1"/>
  <c r="G29" i="1"/>
  <c r="H29" i="1"/>
  <c r="D30" i="1"/>
  <c r="E30" i="1"/>
  <c r="F30" i="1"/>
  <c r="G30" i="1"/>
  <c r="H30" i="1"/>
  <c r="D31" i="1"/>
  <c r="E31" i="1"/>
  <c r="F31" i="1"/>
  <c r="G31" i="1"/>
  <c r="H31" i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H20" i="1"/>
  <c r="G20" i="1"/>
  <c r="F20" i="1"/>
  <c r="E20" i="1"/>
  <c r="D20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1" i="1"/>
  <c r="C22" i="1"/>
  <c r="C20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J3" i="1"/>
  <c r="N40" i="9" l="1"/>
  <c r="O40" i="9"/>
  <c r="L40" i="9"/>
  <c r="M40" i="9"/>
  <c r="P40" i="9"/>
  <c r="K40" i="9"/>
  <c r="J7" i="9"/>
  <c r="J6" i="4"/>
  <c r="P22" i="4"/>
  <c r="K22" i="4"/>
  <c r="O22" i="4"/>
  <c r="N22" i="4"/>
  <c r="M22" i="4"/>
  <c r="L22" i="4"/>
  <c r="J6" i="3"/>
  <c r="P15" i="3"/>
  <c r="O15" i="3"/>
  <c r="N15" i="3"/>
  <c r="L15" i="3"/>
  <c r="M15" i="3"/>
  <c r="K15" i="3"/>
  <c r="J6" i="2"/>
  <c r="N12" i="2"/>
  <c r="P12" i="2"/>
  <c r="O12" i="2"/>
  <c r="M12" i="2"/>
  <c r="L12" i="2"/>
  <c r="K12" i="2"/>
  <c r="J4" i="1"/>
  <c r="L21" i="1"/>
  <c r="P21" i="1"/>
  <c r="O21" i="1"/>
  <c r="N21" i="1"/>
  <c r="M21" i="1"/>
  <c r="K21" i="1"/>
  <c r="P41" i="9" l="1"/>
  <c r="N41" i="9"/>
  <c r="O41" i="9"/>
  <c r="K41" i="9"/>
  <c r="L41" i="9"/>
  <c r="M41" i="9"/>
  <c r="J8" i="9"/>
  <c r="J7" i="4"/>
  <c r="L23" i="4"/>
  <c r="K23" i="4"/>
  <c r="O23" i="4"/>
  <c r="N23" i="4"/>
  <c r="P23" i="4"/>
  <c r="M23" i="4"/>
  <c r="J7" i="3"/>
  <c r="K16" i="3"/>
  <c r="N16" i="3"/>
  <c r="P16" i="3"/>
  <c r="O16" i="3"/>
  <c r="M16" i="3"/>
  <c r="L16" i="3"/>
  <c r="P13" i="2"/>
  <c r="P14" i="2" s="1"/>
  <c r="P15" i="2" s="1"/>
  <c r="L13" i="2"/>
  <c r="L14" i="2" s="1"/>
  <c r="L15" i="2" s="1"/>
  <c r="O13" i="2"/>
  <c r="O14" i="2" s="1"/>
  <c r="O15" i="2" s="1"/>
  <c r="K13" i="2"/>
  <c r="K14" i="2" s="1"/>
  <c r="K15" i="2" s="1"/>
  <c r="N13" i="2"/>
  <c r="N14" i="2" s="1"/>
  <c r="N15" i="2" s="1"/>
  <c r="M13" i="2"/>
  <c r="M14" i="2" s="1"/>
  <c r="M15" i="2" s="1"/>
  <c r="P37" i="1"/>
  <c r="J5" i="1"/>
  <c r="K22" i="1"/>
  <c r="K37" i="1" s="1"/>
  <c r="M22" i="1"/>
  <c r="M37" i="1" s="1"/>
  <c r="O22" i="1"/>
  <c r="O37" i="1" s="1"/>
  <c r="P22" i="1"/>
  <c r="L22" i="1"/>
  <c r="L37" i="1" s="1"/>
  <c r="N22" i="1"/>
  <c r="N37" i="1" s="1"/>
  <c r="K42" i="9" l="1"/>
  <c r="M42" i="9"/>
  <c r="N42" i="9"/>
  <c r="O42" i="9"/>
  <c r="P42" i="9"/>
  <c r="L42" i="9"/>
  <c r="J9" i="9"/>
  <c r="J8" i="4"/>
  <c r="N24" i="4"/>
  <c r="M24" i="4"/>
  <c r="L24" i="4"/>
  <c r="O24" i="4"/>
  <c r="K24" i="4"/>
  <c r="P24" i="4"/>
  <c r="J8" i="3"/>
  <c r="L17" i="3"/>
  <c r="P17" i="3"/>
  <c r="K17" i="3"/>
  <c r="M17" i="3"/>
  <c r="O17" i="3"/>
  <c r="N17" i="3"/>
  <c r="J6" i="1"/>
  <c r="M23" i="1"/>
  <c r="P23" i="1"/>
  <c r="K23" i="1"/>
  <c r="L23" i="1"/>
  <c r="N23" i="1"/>
  <c r="O23" i="1"/>
  <c r="L43" i="9" l="1"/>
  <c r="M43" i="9"/>
  <c r="O43" i="9"/>
  <c r="K43" i="9"/>
  <c r="N43" i="9"/>
  <c r="P43" i="9"/>
  <c r="J10" i="9"/>
  <c r="J9" i="4"/>
  <c r="P25" i="4"/>
  <c r="O25" i="4"/>
  <c r="N25" i="4"/>
  <c r="M25" i="4"/>
  <c r="L25" i="4"/>
  <c r="K25" i="4"/>
  <c r="J9" i="3"/>
  <c r="N18" i="3"/>
  <c r="M18" i="3"/>
  <c r="O18" i="3"/>
  <c r="L18" i="3"/>
  <c r="K18" i="3"/>
  <c r="P18" i="3"/>
  <c r="J7" i="1"/>
  <c r="O24" i="1"/>
  <c r="P24" i="1"/>
  <c r="K24" i="1"/>
  <c r="L24" i="1"/>
  <c r="M24" i="1"/>
  <c r="N24" i="1"/>
  <c r="N44" i="9" l="1"/>
  <c r="O44" i="9"/>
  <c r="L44" i="9"/>
  <c r="M44" i="9"/>
  <c r="P44" i="9"/>
  <c r="K44" i="9"/>
  <c r="J11" i="9"/>
  <c r="J10" i="4"/>
  <c r="P26" i="4"/>
  <c r="M26" i="4"/>
  <c r="L26" i="4"/>
  <c r="O26" i="4"/>
  <c r="N26" i="4"/>
  <c r="K26" i="4"/>
  <c r="P19" i="3"/>
  <c r="P20" i="3" s="1"/>
  <c r="P21" i="3" s="1"/>
  <c r="O19" i="3"/>
  <c r="O20" i="3" s="1"/>
  <c r="O21" i="3" s="1"/>
  <c r="N19" i="3"/>
  <c r="N20" i="3" s="1"/>
  <c r="N21" i="3" s="1"/>
  <c r="M19" i="3"/>
  <c r="M20" i="3" s="1"/>
  <c r="M21" i="3" s="1"/>
  <c r="L19" i="3"/>
  <c r="L20" i="3" s="1"/>
  <c r="L21" i="3" s="1"/>
  <c r="K19" i="3"/>
  <c r="K20" i="3" s="1"/>
  <c r="K21" i="3" s="1"/>
  <c r="J8" i="1"/>
  <c r="K25" i="1"/>
  <c r="L25" i="1"/>
  <c r="M25" i="1"/>
  <c r="N25" i="1"/>
  <c r="O25" i="1"/>
  <c r="P25" i="1"/>
  <c r="P45" i="9" l="1"/>
  <c r="L45" i="9"/>
  <c r="M45" i="9"/>
  <c r="K45" i="9"/>
  <c r="N45" i="9"/>
  <c r="O45" i="9"/>
  <c r="J12" i="9"/>
  <c r="J11" i="4"/>
  <c r="L27" i="4"/>
  <c r="K27" i="4"/>
  <c r="M27" i="4"/>
  <c r="P27" i="4"/>
  <c r="O27" i="4"/>
  <c r="N27" i="4"/>
  <c r="J9" i="1"/>
  <c r="K26" i="1"/>
  <c r="M26" i="1"/>
  <c r="N26" i="1"/>
  <c r="O26" i="1"/>
  <c r="P26" i="1"/>
  <c r="L26" i="1"/>
  <c r="K46" i="9" l="1"/>
  <c r="M46" i="9"/>
  <c r="P46" i="9"/>
  <c r="L46" i="9"/>
  <c r="N46" i="9"/>
  <c r="O46" i="9"/>
  <c r="J13" i="9"/>
  <c r="J12" i="4"/>
  <c r="N28" i="4"/>
  <c r="M28" i="4"/>
  <c r="L28" i="4"/>
  <c r="P28" i="4"/>
  <c r="K28" i="4"/>
  <c r="O28" i="4"/>
  <c r="J10" i="1"/>
  <c r="M27" i="1"/>
  <c r="O27" i="1"/>
  <c r="P27" i="1"/>
  <c r="K27" i="1"/>
  <c r="L27" i="1"/>
  <c r="N27" i="1"/>
  <c r="L47" i="9" l="1"/>
  <c r="M47" i="9"/>
  <c r="P47" i="9"/>
  <c r="N47" i="9"/>
  <c r="O47" i="9"/>
  <c r="K47" i="9"/>
  <c r="J14" i="9"/>
  <c r="J13" i="4"/>
  <c r="P29" i="4"/>
  <c r="O29" i="4"/>
  <c r="N29" i="4"/>
  <c r="K29" i="4"/>
  <c r="M29" i="4"/>
  <c r="L29" i="4"/>
  <c r="J11" i="1"/>
  <c r="O28" i="1"/>
  <c r="K28" i="1"/>
  <c r="L28" i="1"/>
  <c r="M28" i="1"/>
  <c r="N28" i="1"/>
  <c r="P28" i="1"/>
  <c r="N48" i="9" l="1"/>
  <c r="O48" i="9"/>
  <c r="K48" i="9"/>
  <c r="L48" i="9"/>
  <c r="P48" i="9"/>
  <c r="M48" i="9"/>
  <c r="J15" i="9"/>
  <c r="J14" i="4"/>
  <c r="M30" i="4"/>
  <c r="L30" i="4"/>
  <c r="K30" i="4"/>
  <c r="P30" i="4"/>
  <c r="O30" i="4"/>
  <c r="N30" i="4"/>
  <c r="J12" i="1"/>
  <c r="K29" i="1"/>
  <c r="L29" i="1"/>
  <c r="M29" i="1"/>
  <c r="N29" i="1"/>
  <c r="O29" i="1"/>
  <c r="P29" i="1"/>
  <c r="P49" i="9" l="1"/>
  <c r="K49" i="9"/>
  <c r="N49" i="9"/>
  <c r="L49" i="9"/>
  <c r="M49" i="9"/>
  <c r="O49" i="9"/>
  <c r="J16" i="9"/>
  <c r="J15" i="4"/>
  <c r="L31" i="4"/>
  <c r="K31" i="4"/>
  <c r="O31" i="4"/>
  <c r="N31" i="4"/>
  <c r="P31" i="4"/>
  <c r="M31" i="4"/>
  <c r="J13" i="1"/>
  <c r="K30" i="1"/>
  <c r="M30" i="1"/>
  <c r="N30" i="1"/>
  <c r="O30" i="1"/>
  <c r="P30" i="1"/>
  <c r="L30" i="1"/>
  <c r="K50" i="9" l="1"/>
  <c r="N50" i="9"/>
  <c r="O50" i="9"/>
  <c r="P50" i="9"/>
  <c r="L50" i="9"/>
  <c r="M50" i="9"/>
  <c r="J17" i="9"/>
  <c r="J16" i="4"/>
  <c r="N32" i="4"/>
  <c r="L32" i="4"/>
  <c r="M32" i="4"/>
  <c r="O32" i="4"/>
  <c r="K32" i="4"/>
  <c r="P32" i="4"/>
  <c r="J14" i="1"/>
  <c r="M31" i="1"/>
  <c r="O31" i="1"/>
  <c r="P31" i="1"/>
  <c r="K31" i="1"/>
  <c r="L31" i="1"/>
  <c r="N31" i="1"/>
  <c r="L51" i="9" l="1"/>
  <c r="M51" i="9"/>
  <c r="O51" i="9"/>
  <c r="N51" i="9"/>
  <c r="P51" i="9"/>
  <c r="K51" i="9"/>
  <c r="J18" i="9"/>
  <c r="P33" i="4"/>
  <c r="P34" i="4" s="1"/>
  <c r="P35" i="4" s="1"/>
  <c r="O33" i="4"/>
  <c r="O34" i="4" s="1"/>
  <c r="O35" i="4" s="1"/>
  <c r="N33" i="4"/>
  <c r="N34" i="4" s="1"/>
  <c r="N35" i="4" s="1"/>
  <c r="M33" i="4"/>
  <c r="M34" i="4" s="1"/>
  <c r="M35" i="4" s="1"/>
  <c r="L33" i="4"/>
  <c r="L34" i="4" s="1"/>
  <c r="L35" i="4" s="1"/>
  <c r="K33" i="4"/>
  <c r="K34" i="4" s="1"/>
  <c r="K35" i="4" s="1"/>
  <c r="J15" i="1"/>
  <c r="O32" i="1"/>
  <c r="K32" i="1"/>
  <c r="L32" i="1"/>
  <c r="M32" i="1"/>
  <c r="N32" i="1"/>
  <c r="P32" i="1"/>
  <c r="N52" i="9" l="1"/>
  <c r="O52" i="9"/>
  <c r="L52" i="9"/>
  <c r="P52" i="9"/>
  <c r="K52" i="9"/>
  <c r="M52" i="9"/>
  <c r="J19" i="9"/>
  <c r="J16" i="1"/>
  <c r="K33" i="1"/>
  <c r="L33" i="1"/>
  <c r="M33" i="1"/>
  <c r="N33" i="1"/>
  <c r="O33" i="1"/>
  <c r="P33" i="1"/>
  <c r="P53" i="9" l="1"/>
  <c r="L53" i="9"/>
  <c r="M53" i="9"/>
  <c r="N53" i="9"/>
  <c r="K53" i="9"/>
  <c r="O53" i="9"/>
  <c r="J20" i="9"/>
  <c r="J17" i="1"/>
  <c r="K34" i="1"/>
  <c r="M34" i="1"/>
  <c r="N34" i="1"/>
  <c r="O34" i="1"/>
  <c r="P34" i="1"/>
  <c r="L34" i="1"/>
  <c r="K54" i="9" l="1"/>
  <c r="M54" i="9"/>
  <c r="P54" i="9"/>
  <c r="L54" i="9"/>
  <c r="N54" i="9"/>
  <c r="O54" i="9"/>
  <c r="J21" i="9"/>
  <c r="M35" i="1"/>
  <c r="O35" i="1"/>
  <c r="P35" i="1"/>
  <c r="K35" i="1"/>
  <c r="L35" i="1"/>
  <c r="N35" i="1"/>
  <c r="L55" i="9" l="1"/>
  <c r="M55" i="9"/>
  <c r="P55" i="9"/>
  <c r="N55" i="9"/>
  <c r="O55" i="9"/>
  <c r="K55" i="9"/>
  <c r="J22" i="9"/>
  <c r="N56" i="9" l="1"/>
  <c r="O56" i="9"/>
  <c r="K56" i="9"/>
  <c r="L56" i="9"/>
  <c r="P56" i="9"/>
  <c r="M56" i="9"/>
  <c r="J23" i="9"/>
  <c r="P57" i="9" l="1"/>
  <c r="K57" i="9"/>
  <c r="N57" i="9"/>
  <c r="L57" i="9"/>
  <c r="M57" i="9"/>
  <c r="O57" i="9"/>
  <c r="J24" i="9"/>
  <c r="K58" i="9" l="1"/>
  <c r="N58" i="9"/>
  <c r="O58" i="9"/>
  <c r="P58" i="9"/>
  <c r="L58" i="9"/>
  <c r="M58" i="9"/>
  <c r="J25" i="9"/>
  <c r="L59" i="9" l="1"/>
  <c r="M59" i="9"/>
  <c r="O59" i="9"/>
  <c r="N59" i="9"/>
  <c r="P59" i="9"/>
  <c r="K59" i="9"/>
  <c r="J26" i="9"/>
  <c r="N60" i="9" l="1"/>
  <c r="O60" i="9"/>
  <c r="L60" i="9"/>
  <c r="P60" i="9"/>
  <c r="K60" i="9"/>
  <c r="M60" i="9"/>
  <c r="J27" i="9"/>
  <c r="P61" i="9" l="1"/>
  <c r="L61" i="9"/>
  <c r="M61" i="9"/>
  <c r="N61" i="9"/>
  <c r="K61" i="9"/>
  <c r="O61" i="9"/>
  <c r="J28" i="9"/>
  <c r="K62" i="9" l="1"/>
  <c r="M62" i="9"/>
  <c r="P62" i="9"/>
  <c r="L62" i="9"/>
  <c r="N62" i="9"/>
  <c r="O62" i="9"/>
  <c r="J29" i="9"/>
  <c r="L63" i="9" l="1"/>
  <c r="M63" i="9"/>
  <c r="P63" i="9"/>
  <c r="N63" i="9"/>
  <c r="O63" i="9"/>
  <c r="K63" i="9"/>
  <c r="J30" i="9"/>
  <c r="N64" i="9" l="1"/>
  <c r="O64" i="9"/>
  <c r="K64" i="9"/>
  <c r="L64" i="9"/>
  <c r="P64" i="9"/>
  <c r="M64" i="9"/>
  <c r="J31" i="9"/>
  <c r="P65" i="9" l="1"/>
  <c r="K65" i="9"/>
  <c r="N65" i="9"/>
  <c r="L65" i="9"/>
  <c r="M65" i="9"/>
  <c r="O65" i="9"/>
  <c r="J32" i="9"/>
  <c r="K66" i="9" l="1"/>
  <c r="N66" i="9"/>
  <c r="O66" i="9"/>
  <c r="P66" i="9"/>
  <c r="L66" i="9"/>
  <c r="M66" i="9"/>
  <c r="J33" i="9"/>
  <c r="L67" i="9" l="1"/>
  <c r="M67" i="9"/>
  <c r="M68" i="9" s="1"/>
  <c r="M69" i="9" s="1"/>
  <c r="O67" i="9"/>
  <c r="N67" i="9"/>
  <c r="N68" i="9" s="1"/>
  <c r="N69" i="9" s="1"/>
  <c r="P67" i="9"/>
  <c r="P68" i="9" s="1"/>
  <c r="P69" i="9" s="1"/>
  <c r="K67" i="9"/>
  <c r="K68" i="9"/>
  <c r="K69" i="9" s="1"/>
  <c r="L68" i="9"/>
  <c r="L69" i="9" s="1"/>
  <c r="O68" i="9"/>
  <c r="O69" i="9" s="1"/>
</calcChain>
</file>

<file path=xl/sharedStrings.xml><?xml version="1.0" encoding="utf-8"?>
<sst xmlns="http://schemas.openxmlformats.org/spreadsheetml/2006/main" count="899" uniqueCount="176">
  <si>
    <t>ALFENAS</t>
  </si>
  <si>
    <t>ALTEROSA</t>
  </si>
  <si>
    <t>AREADO</t>
  </si>
  <si>
    <t>BANDEIRA DO SUL</t>
  </si>
  <si>
    <t>BOTELHOS</t>
  </si>
  <si>
    <t>CAMPESTRE</t>
  </si>
  <si>
    <t>CAMPO DO MEIO</t>
  </si>
  <si>
    <t>CAMPOS GERAIS</t>
  </si>
  <si>
    <t>CARVALHóPOLIS</t>
  </si>
  <si>
    <t>CONCEIÇÃO DA APARECIDA</t>
  </si>
  <si>
    <t>DIVISA NOVA</t>
  </si>
  <si>
    <t>FAMA</t>
  </si>
  <si>
    <t>MACHADO</t>
  </si>
  <si>
    <t>PARAGUAÇU</t>
  </si>
  <si>
    <t>POÇO FUNDO</t>
  </si>
  <si>
    <t>SERRANIA</t>
  </si>
  <si>
    <t>CÁSSIA</t>
  </si>
  <si>
    <t>CAPETINGA</t>
  </si>
  <si>
    <t>CLARAVAL</t>
  </si>
  <si>
    <t>DELFINÓPOLIS</t>
  </si>
  <si>
    <t>IBIRACI</t>
  </si>
  <si>
    <t>GUAXUPÉ</t>
  </si>
  <si>
    <t>ARCEBURGO</t>
  </si>
  <si>
    <t>CABO VERDE</t>
  </si>
  <si>
    <t>GUARANÉSIA</t>
  </si>
  <si>
    <t>JURUAIA</t>
  </si>
  <si>
    <t>MONTE BELO</t>
  </si>
  <si>
    <t>MUZAMBINHO</t>
  </si>
  <si>
    <t>SÃO PEDRO DA UNIÃO</t>
  </si>
  <si>
    <t>ITAJUBÁ</t>
  </si>
  <si>
    <t>BRAZÓPOLIS</t>
  </si>
  <si>
    <t>CONCEIÇÃO DAS PEDRAS</t>
  </si>
  <si>
    <t>CONSOLAÇÃO</t>
  </si>
  <si>
    <t>DELFIM MOREIRA</t>
  </si>
  <si>
    <t>GONÇALVES</t>
  </si>
  <si>
    <t>MARIA DA FÉ</t>
  </si>
  <si>
    <t>MARMELÓPOLIS</t>
  </si>
  <si>
    <t>PARAISÓPOLIS</t>
  </si>
  <si>
    <t>PEDRALVA</t>
  </si>
  <si>
    <t>PIRANGUÇU</t>
  </si>
  <si>
    <t>PIRANGUINHO</t>
  </si>
  <si>
    <t>SÃO JOSÉ DO ALEGRE</t>
  </si>
  <si>
    <t>SAPUCAÍ-MIRIM</t>
  </si>
  <si>
    <t>WENCESLAU BRAZ</t>
  </si>
  <si>
    <t>LAVRAS</t>
  </si>
  <si>
    <t>CARRANCAS</t>
  </si>
  <si>
    <t>IJACI</t>
  </si>
  <si>
    <t>INGAÍ</t>
  </si>
  <si>
    <t>ITUMIRIM</t>
  </si>
  <si>
    <t>ITUTINGA</t>
  </si>
  <si>
    <t>LUMINÁRIAS</t>
  </si>
  <si>
    <t>NEPOMUCENO</t>
  </si>
  <si>
    <t>PERDÕES</t>
  </si>
  <si>
    <t>RIBEIRÃO VERMELHO</t>
  </si>
  <si>
    <t>PASSOS</t>
  </si>
  <si>
    <t>ALPINÓPOLIS</t>
  </si>
  <si>
    <t>BOM JESUS DA PENHA</t>
  </si>
  <si>
    <t>CARMO DO RIO CLARO</t>
  </si>
  <si>
    <t>FORTALEZA DE MINAS</t>
  </si>
  <si>
    <t>ITAÚ DE MINAS</t>
  </si>
  <si>
    <t>NOVA RESENDE</t>
  </si>
  <si>
    <t>SÃO JOÃO BATISTA DO GLÓRIA</t>
  </si>
  <si>
    <t>SÃO JOSÉ DA BARRA</t>
  </si>
  <si>
    <t>PIUMHI</t>
  </si>
  <si>
    <t>CAPITÓLIO</t>
  </si>
  <si>
    <t>DORESÓPOLIS</t>
  </si>
  <si>
    <t>GUAPÉ</t>
  </si>
  <si>
    <t>PIMENTA</t>
  </si>
  <si>
    <t>SÃO ROQUE DE MINAS</t>
  </si>
  <si>
    <t>VARGEM BONITA</t>
  </si>
  <si>
    <t>POÇOS DE CALDAS</t>
  </si>
  <si>
    <t>ALBERTINA</t>
  </si>
  <si>
    <t>ANDRADAS</t>
  </si>
  <si>
    <t>CALDAS</t>
  </si>
  <si>
    <t>IBITIÚRA DE MINAS</t>
  </si>
  <si>
    <t>SANTA RITA DE CALDAS</t>
  </si>
  <si>
    <t>POUSO ALEGRE</t>
  </si>
  <si>
    <t>BOM REPOUSO</t>
  </si>
  <si>
    <t>BORDA DA MATA</t>
  </si>
  <si>
    <t>BUENO BRANDÃO</t>
  </si>
  <si>
    <t>CACHOEIRA DE MINAS</t>
  </si>
  <si>
    <t>CAMANDUCAIA</t>
  </si>
  <si>
    <t>CAMBUÍ</t>
  </si>
  <si>
    <t>CAREAÇU</t>
  </si>
  <si>
    <t>CONCEIÇÃO DOS OUROS</t>
  </si>
  <si>
    <t>CONGONHAL</t>
  </si>
  <si>
    <t>CÓRREGO DO BOM JESUS</t>
  </si>
  <si>
    <t>ESPÍRITO SANTO DO DOURADO</t>
  </si>
  <si>
    <t>ESTIVA</t>
  </si>
  <si>
    <t>EXTREMA</t>
  </si>
  <si>
    <t>HELIODORA</t>
  </si>
  <si>
    <t>INCONFIDENTES</t>
  </si>
  <si>
    <t>IPUIÚNA</t>
  </si>
  <si>
    <t>ITAPEVA</t>
  </si>
  <si>
    <t>JACUTINGA</t>
  </si>
  <si>
    <t>MONTE SIÃO</t>
  </si>
  <si>
    <t>MUNHOZ</t>
  </si>
  <si>
    <t>NATÉRCIA</t>
  </si>
  <si>
    <t>OURO FINO</t>
  </si>
  <si>
    <t>SANTA RITA DO SAPUCAÍ</t>
  </si>
  <si>
    <t>SÃO JOÃO DA MATA</t>
  </si>
  <si>
    <t>SÃO SEBASTIÃO DA BELA VISTA</t>
  </si>
  <si>
    <t>SENADOR AMARAL</t>
  </si>
  <si>
    <t>SENADOR JOSÉ BENTO</t>
  </si>
  <si>
    <t>SILVIANÓPOLIS</t>
  </si>
  <si>
    <t>TOCOS DO MOJI</t>
  </si>
  <si>
    <t>TOLEDO</t>
  </si>
  <si>
    <t>TURVOLÂNDIA</t>
  </si>
  <si>
    <t>SÃO LOURENÇO</t>
  </si>
  <si>
    <t>AIURUOCA</t>
  </si>
  <si>
    <t>ALAGOA</t>
  </si>
  <si>
    <t>BAEPENDI</t>
  </si>
  <si>
    <t>CARMO DE MINAS</t>
  </si>
  <si>
    <t>CARVALHOS</t>
  </si>
  <si>
    <t>CAXAMBU</t>
  </si>
  <si>
    <t>CONCEIÇÃO DO RIO VERDE</t>
  </si>
  <si>
    <t>CRISTINA</t>
  </si>
  <si>
    <t>CRUZÍLIA</t>
  </si>
  <si>
    <t>DOM VIÇOSO</t>
  </si>
  <si>
    <t>ITAMONTE</t>
  </si>
  <si>
    <t>ITANHANDU</t>
  </si>
  <si>
    <t>JESUÂNIA</t>
  </si>
  <si>
    <t>LAMBARI</t>
  </si>
  <si>
    <t>MINDURI</t>
  </si>
  <si>
    <t>OLÍMPIO NORONHA</t>
  </si>
  <si>
    <t>PASSA QUATRO</t>
  </si>
  <si>
    <t>POUSO ALTO</t>
  </si>
  <si>
    <t>SÃO SEBASTIÃO DO RIO VERDE</t>
  </si>
  <si>
    <t>SERITINGA</t>
  </si>
  <si>
    <t>SERRANOS</t>
  </si>
  <si>
    <t>SOLEDADE DE MINAS</t>
  </si>
  <si>
    <t>VIRGíNIA</t>
  </si>
  <si>
    <t>SÃO SEBASTIÃO DO PARAÍSO</t>
  </si>
  <si>
    <t>ITAMOGI</t>
  </si>
  <si>
    <t>JACUÍ</t>
  </si>
  <si>
    <t>MONTE SANTO DE MINAS</t>
  </si>
  <si>
    <t>PRATÁPOLIS</t>
  </si>
  <si>
    <t>SÃO TOMÁS DE AQUINO</t>
  </si>
  <si>
    <t>TRÊS CORAÇÕES</t>
  </si>
  <si>
    <t>CAMBUQUIRA</t>
  </si>
  <si>
    <t>CAMPANHA</t>
  </si>
  <si>
    <t>CARMO DA CACHOEIRA</t>
  </si>
  <si>
    <t>SÃO BENTO ABADE</t>
  </si>
  <si>
    <t>SÃO TOMÉ DAS LETRAS</t>
  </si>
  <si>
    <t>TRÊS PONTAS</t>
  </si>
  <si>
    <t>BOA ESPERANÇA</t>
  </si>
  <si>
    <t>COQUEIRAL</t>
  </si>
  <si>
    <t>ILICÍNEA</t>
  </si>
  <si>
    <t>SANTANA DA VARGEM</t>
  </si>
  <si>
    <t>VARGINHA</t>
  </si>
  <si>
    <t>CORDISLÂNDIA</t>
  </si>
  <si>
    <t>ELÓI MENDES</t>
  </si>
  <si>
    <t>MONSENHOR PAULO</t>
  </si>
  <si>
    <t>SÃO GONÇALO DO SAPUCAÍ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</si>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</sst>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2" xfId="0" applyNumberFormat="1" applyBorder="1"/>
    <xf numFmtId="164" fontId="0" fillId="0" borderId="1" xfId="0" applyNumberFormat="1" applyBorder="1"/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'ALFENAS-MACHADO'!$J$1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'ALFENAS-MACHADO'!$J$2:$J$17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35-433A-8685-3389AE695151}"/>
            </c:ext>
          </c:extLst>
        </c:ser>
        <c:ser>
          <c:idx val="1"/>
          <c:order val="1"/>
          <c:tx>
            <c:strRef>
              <c:f>'ALFENAS-MACHADO'!$K$1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'ALFENAS-MACHADO'!$K$2:$K$17</c:f>
              <c:numCache>
                <c:formatCode>0.00</c:formatCode>
                <c:ptCount val="16"/>
                <c:pt idx="0">
                  <c:v>5.3003533568904597E-3</c:v>
                </c:pt>
                <c:pt idx="1">
                  <c:v>1.7667844522968199E-2</c:v>
                </c:pt>
                <c:pt idx="2">
                  <c:v>2.2968197879858657E-2</c:v>
                </c:pt>
                <c:pt idx="3">
                  <c:v>5.3003533568904596E-2</c:v>
                </c:pt>
                <c:pt idx="4">
                  <c:v>7.5971731448763249E-2</c:v>
                </c:pt>
                <c:pt idx="5">
                  <c:v>0.14487632508833923</c:v>
                </c:pt>
                <c:pt idx="6">
                  <c:v>0.21024734982332155</c:v>
                </c:pt>
                <c:pt idx="7">
                  <c:v>0.26325088339222613</c:v>
                </c:pt>
                <c:pt idx="8">
                  <c:v>0.28091872791519434</c:v>
                </c:pt>
                <c:pt idx="9">
                  <c:v>0.31625441696113077</c:v>
                </c:pt>
                <c:pt idx="10">
                  <c:v>0.34275618374558309</c:v>
                </c:pt>
                <c:pt idx="11">
                  <c:v>0.36749116607773857</c:v>
                </c:pt>
                <c:pt idx="12">
                  <c:v>0.45053003533568908</c:v>
                </c:pt>
                <c:pt idx="13">
                  <c:v>0.5565371024734983</c:v>
                </c:pt>
                <c:pt idx="14">
                  <c:v>0.63074204946996471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35-433A-8685-3389AE695151}"/>
            </c:ext>
          </c:extLst>
        </c:ser>
        <c:ser>
          <c:idx val="2"/>
          <c:order val="2"/>
          <c:tx>
            <c:strRef>
              <c:f>'ALFENAS-MACHADO'!$L$1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'ALFENAS-MACHADO'!$L$2:$L$17</c:f>
              <c:numCache>
                <c:formatCode>0.00</c:formatCode>
                <c:ptCount val="16"/>
                <c:pt idx="0">
                  <c:v>0</c:v>
                </c:pt>
                <c:pt idx="1">
                  <c:v>8.6206896551724137E-3</c:v>
                </c:pt>
                <c:pt idx="2">
                  <c:v>2.0114942528735632E-2</c:v>
                </c:pt>
                <c:pt idx="3">
                  <c:v>3.7356321839080456E-2</c:v>
                </c:pt>
                <c:pt idx="4">
                  <c:v>6.0344827586206892E-2</c:v>
                </c:pt>
                <c:pt idx="5">
                  <c:v>0.17528735632183906</c:v>
                </c:pt>
                <c:pt idx="6">
                  <c:v>0.22413793103448273</c:v>
                </c:pt>
                <c:pt idx="7">
                  <c:v>0.2614942528735632</c:v>
                </c:pt>
                <c:pt idx="8">
                  <c:v>0.29022988505747127</c:v>
                </c:pt>
                <c:pt idx="9">
                  <c:v>0.31609195402298851</c:v>
                </c:pt>
                <c:pt idx="10">
                  <c:v>0.37931034482758619</c:v>
                </c:pt>
                <c:pt idx="11">
                  <c:v>0.41954022988505746</c:v>
                </c:pt>
                <c:pt idx="12">
                  <c:v>0.50574712643678166</c:v>
                </c:pt>
                <c:pt idx="13">
                  <c:v>0.62643678160919547</c:v>
                </c:pt>
                <c:pt idx="14">
                  <c:v>0.6839080459770116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35-433A-8685-3389AE695151}"/>
            </c:ext>
          </c:extLst>
        </c:ser>
        <c:ser>
          <c:idx val="3"/>
          <c:order val="3"/>
          <c:tx>
            <c:strRef>
              <c:f>'ALFENAS-MACHADO'!$M$1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'ALFENAS-MACHADO'!$M$2:$M$17</c:f>
              <c:numCache>
                <c:formatCode>0.00</c:formatCode>
                <c:ptCount val="16"/>
                <c:pt idx="0">
                  <c:v>6.3897763578274758E-3</c:v>
                </c:pt>
                <c:pt idx="1">
                  <c:v>9.5846645367412137E-3</c:v>
                </c:pt>
                <c:pt idx="2">
                  <c:v>1.5974440894568689E-2</c:v>
                </c:pt>
                <c:pt idx="3">
                  <c:v>2.8753993610223641E-2</c:v>
                </c:pt>
                <c:pt idx="4">
                  <c:v>6.070287539936102E-2</c:v>
                </c:pt>
                <c:pt idx="5">
                  <c:v>0.17252396166134185</c:v>
                </c:pt>
                <c:pt idx="6">
                  <c:v>0.23003194888178913</c:v>
                </c:pt>
                <c:pt idx="7">
                  <c:v>0.25878594249201275</c:v>
                </c:pt>
                <c:pt idx="8">
                  <c:v>0.26517571884984026</c:v>
                </c:pt>
                <c:pt idx="9">
                  <c:v>0.29712460063897761</c:v>
                </c:pt>
                <c:pt idx="10">
                  <c:v>0.33546325878594246</c:v>
                </c:pt>
                <c:pt idx="11">
                  <c:v>0.35463258785942486</c:v>
                </c:pt>
                <c:pt idx="12">
                  <c:v>0.4345047923322683</c:v>
                </c:pt>
                <c:pt idx="13">
                  <c:v>0.6869009584664536</c:v>
                </c:pt>
                <c:pt idx="14">
                  <c:v>0.77316293929712454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35-433A-8685-3389AE695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51168"/>
        <c:axId val="562843488"/>
      </c:scatterChart>
      <c:valAx>
        <c:axId val="5628511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43488"/>
        <c:crosses val="autoZero"/>
        <c:crossBetween val="midCat"/>
      </c:valAx>
      <c:valAx>
        <c:axId val="5628434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5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'ALFENAS-MACHADO'!$J$1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'ALFENAS-MACHADO'!$J$2:$J$17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0E-42E5-84B1-0C180E3920F6}"/>
            </c:ext>
          </c:extLst>
        </c:ser>
        <c:ser>
          <c:idx val="1"/>
          <c:order val="1"/>
          <c:tx>
            <c:strRef>
              <c:f>'ALFENAS-MACHADO'!$N$1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'ALFENAS-MACHADO'!$N$2:$N$17</c:f>
              <c:numCache>
                <c:formatCode>0.00</c:formatCode>
                <c:ptCount val="16"/>
                <c:pt idx="0">
                  <c:v>1.3779527559055118E-2</c:v>
                </c:pt>
                <c:pt idx="1">
                  <c:v>1.7716535433070866E-2</c:v>
                </c:pt>
                <c:pt idx="2">
                  <c:v>2.7559055118110236E-2</c:v>
                </c:pt>
                <c:pt idx="3">
                  <c:v>5.905511811023622E-2</c:v>
                </c:pt>
                <c:pt idx="4">
                  <c:v>8.6614173228346455E-2</c:v>
                </c:pt>
                <c:pt idx="5">
                  <c:v>0.15748031496062992</c:v>
                </c:pt>
                <c:pt idx="6">
                  <c:v>0.20472440944881889</c:v>
                </c:pt>
                <c:pt idx="7">
                  <c:v>0.25787401574803148</c:v>
                </c:pt>
                <c:pt idx="8">
                  <c:v>0.27362204724409445</c:v>
                </c:pt>
                <c:pt idx="9">
                  <c:v>0.30314960629921256</c:v>
                </c:pt>
                <c:pt idx="10">
                  <c:v>0.34645669291338577</c:v>
                </c:pt>
                <c:pt idx="11">
                  <c:v>0.37598425196850388</c:v>
                </c:pt>
                <c:pt idx="12">
                  <c:v>0.48031496062992118</c:v>
                </c:pt>
                <c:pt idx="13">
                  <c:v>0.6141732283464566</c:v>
                </c:pt>
                <c:pt idx="14">
                  <c:v>0.70669291338582663</c:v>
                </c:pt>
                <c:pt idx="15">
                  <c:v>0.99999999999999978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0E-42E5-84B1-0C180E3920F6}"/>
            </c:ext>
          </c:extLst>
        </c:ser>
        <c:ser>
          <c:idx val="2"/>
          <c:order val="2"/>
          <c:tx>
            <c:strRef>
              <c:f>'ALFENAS-MACHADO'!$O$1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'ALFENAS-MACHADO'!$O$2:$O$17</c:f>
              <c:numCache>
                <c:formatCode>0.00</c:formatCode>
                <c:ptCount val="16"/>
                <c:pt idx="0">
                  <c:v>1.3452914798206279E-2</c:v>
                </c:pt>
                <c:pt idx="1">
                  <c:v>1.3452914798206279E-2</c:v>
                </c:pt>
                <c:pt idx="2">
                  <c:v>1.5695067264573991E-2</c:v>
                </c:pt>
                <c:pt idx="3">
                  <c:v>3.5874439461883408E-2</c:v>
                </c:pt>
                <c:pt idx="4">
                  <c:v>6.0538116591928245E-2</c:v>
                </c:pt>
                <c:pt idx="5">
                  <c:v>0.1726457399103139</c:v>
                </c:pt>
                <c:pt idx="6">
                  <c:v>0.19506726457399104</c:v>
                </c:pt>
                <c:pt idx="7">
                  <c:v>0.25112107623318386</c:v>
                </c:pt>
                <c:pt idx="8">
                  <c:v>0.27802690582959644</c:v>
                </c:pt>
                <c:pt idx="9">
                  <c:v>0.3273542600896861</c:v>
                </c:pt>
                <c:pt idx="10">
                  <c:v>0.39686098654708524</c:v>
                </c:pt>
                <c:pt idx="11">
                  <c:v>0.41255605381165922</c:v>
                </c:pt>
                <c:pt idx="12">
                  <c:v>0.4932735426008969</c:v>
                </c:pt>
                <c:pt idx="13">
                  <c:v>0.58968609865470856</c:v>
                </c:pt>
                <c:pt idx="14">
                  <c:v>0.68385650224215255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0E-42E5-84B1-0C180E3920F6}"/>
            </c:ext>
          </c:extLst>
        </c:ser>
        <c:ser>
          <c:idx val="3"/>
          <c:order val="3"/>
          <c:tx>
            <c:strRef>
              <c:f>'ALFENAS-MACHADO'!$P$1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'ALFENAS-MACHADO'!$I$2:$I$17</c:f>
              <c:numCache>
                <c:formatCode>0.00</c:formatCode>
                <c:ptCount val="16"/>
                <c:pt idx="0">
                  <c:v>7.7966435679332653E-3</c:v>
                </c:pt>
                <c:pt idx="1">
                  <c:v>1.966567046536832E-2</c:v>
                </c:pt>
                <c:pt idx="2">
                  <c:v>3.8740188511937994E-2</c:v>
                </c:pt>
                <c:pt idx="3">
                  <c:v>5.8573352162632597E-2</c:v>
                </c:pt>
                <c:pt idx="4">
                  <c:v>8.3753161023350522E-2</c:v>
                </c:pt>
                <c:pt idx="5">
                  <c:v>0.11774770928437717</c:v>
                </c:pt>
                <c:pt idx="6">
                  <c:v>0.15600183914085849</c:v>
                </c:pt>
                <c:pt idx="7">
                  <c:v>0.20383920654208679</c:v>
                </c:pt>
                <c:pt idx="8">
                  <c:v>0.25286216296101682</c:v>
                </c:pt>
                <c:pt idx="9">
                  <c:v>0.30307070839764855</c:v>
                </c:pt>
                <c:pt idx="10">
                  <c:v>0.35857335216263264</c:v>
                </c:pt>
                <c:pt idx="11">
                  <c:v>0.42771191172123885</c:v>
                </c:pt>
                <c:pt idx="12">
                  <c:v>0.49895563072678911</c:v>
                </c:pt>
                <c:pt idx="13">
                  <c:v>0.59389470918585185</c:v>
                </c:pt>
                <c:pt idx="14">
                  <c:v>0.7340700844034288</c:v>
                </c:pt>
                <c:pt idx="15">
                  <c:v>1</c:v>
                </c:pt>
              </c:numCache>
            </c:numRef>
          </c:xVal>
          <c:yVal>
            <c:numRef>
              <c:f>'ALFENAS-MACHADO'!$P$2:$P$17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2.8985507246376812E-2</c:v>
                </c:pt>
                <c:pt idx="3">
                  <c:v>4.3478260869565216E-2</c:v>
                </c:pt>
                <c:pt idx="4">
                  <c:v>7.2463768115942032E-2</c:v>
                </c:pt>
                <c:pt idx="5">
                  <c:v>0.18840579710144928</c:v>
                </c:pt>
                <c:pt idx="6">
                  <c:v>0.2318840579710145</c:v>
                </c:pt>
                <c:pt idx="7">
                  <c:v>0.32367149758454106</c:v>
                </c:pt>
                <c:pt idx="8">
                  <c:v>0.35748792270531399</c:v>
                </c:pt>
                <c:pt idx="9">
                  <c:v>0.39130434782608692</c:v>
                </c:pt>
                <c:pt idx="10">
                  <c:v>0.45410628019323668</c:v>
                </c:pt>
                <c:pt idx="11">
                  <c:v>0.47342995169082119</c:v>
                </c:pt>
                <c:pt idx="12">
                  <c:v>0.53623188405797095</c:v>
                </c:pt>
                <c:pt idx="13">
                  <c:v>0.65217391304347816</c:v>
                </c:pt>
                <c:pt idx="14">
                  <c:v>0.72946859903381633</c:v>
                </c:pt>
                <c:pt idx="15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0E-42E5-84B1-0C180E392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48768"/>
        <c:axId val="562843008"/>
      </c:scatterChart>
      <c:valAx>
        <c:axId val="5628487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43008"/>
        <c:crosses val="autoZero"/>
        <c:crossBetween val="midCat"/>
      </c:valAx>
      <c:valAx>
        <c:axId val="562843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48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CÁSSIA!$J$1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CÁSSIA!$J$2:$J$6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B0-4570-ABB7-6DD6437B4E43}"/>
            </c:ext>
          </c:extLst>
        </c:ser>
        <c:ser>
          <c:idx val="1"/>
          <c:order val="1"/>
          <c:tx>
            <c:strRef>
              <c:f>CÁSSIA!$K$1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CÁSSIA!$K$2:$K$6</c:f>
              <c:numCache>
                <c:formatCode>0.00</c:formatCode>
                <c:ptCount val="5"/>
                <c:pt idx="0">
                  <c:v>6.0606060606060608E-2</c:v>
                </c:pt>
                <c:pt idx="1">
                  <c:v>0.15151515151515152</c:v>
                </c:pt>
                <c:pt idx="2">
                  <c:v>0.24242424242424243</c:v>
                </c:pt>
                <c:pt idx="3">
                  <c:v>0.30303030303030304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B0-4570-ABB7-6DD6437B4E43}"/>
            </c:ext>
          </c:extLst>
        </c:ser>
        <c:ser>
          <c:idx val="2"/>
          <c:order val="2"/>
          <c:tx>
            <c:strRef>
              <c:f>CÁSSIA!$L$1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CÁSSIA!$L$2:$L$6</c:f>
              <c:numCache>
                <c:formatCode>0.00</c:formatCode>
                <c:ptCount val="5"/>
                <c:pt idx="0">
                  <c:v>9.375E-2</c:v>
                </c:pt>
                <c:pt idx="1">
                  <c:v>0.1875</c:v>
                </c:pt>
                <c:pt idx="2">
                  <c:v>0.3125</c:v>
                </c:pt>
                <c:pt idx="3">
                  <c:v>0.46875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B0-4570-ABB7-6DD6437B4E43}"/>
            </c:ext>
          </c:extLst>
        </c:ser>
        <c:ser>
          <c:idx val="3"/>
          <c:order val="3"/>
          <c:tx>
            <c:strRef>
              <c:f>CÁSSIA!$M$1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CÁSSIA!$M$2:$M$6</c:f>
              <c:numCache>
                <c:formatCode>0.00</c:formatCode>
                <c:ptCount val="5"/>
                <c:pt idx="0">
                  <c:v>7.6923076923076927E-2</c:v>
                </c:pt>
                <c:pt idx="1">
                  <c:v>0.23076923076923078</c:v>
                </c:pt>
                <c:pt idx="2">
                  <c:v>0.53846153846153855</c:v>
                </c:pt>
                <c:pt idx="3">
                  <c:v>0.6923076923076924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B0-4570-ABB7-6DD6437B4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960128"/>
        <c:axId val="562958208"/>
      </c:scatterChart>
      <c:valAx>
        <c:axId val="5629601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58208"/>
        <c:crosses val="autoZero"/>
        <c:crossBetween val="midCat"/>
      </c:valAx>
      <c:valAx>
        <c:axId val="5629582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6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CÁSSIA!$J$1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CÁSSIA!$J$2:$J$6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FA-4BD5-9A35-016C3C8C9EAC}"/>
            </c:ext>
          </c:extLst>
        </c:ser>
        <c:ser>
          <c:idx val="1"/>
          <c:order val="1"/>
          <c:tx>
            <c:strRef>
              <c:f>CÁSSIA!$N$1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CÁSSIA!$N$2:$N$6</c:f>
              <c:numCache>
                <c:formatCode>0.00</c:formatCode>
                <c:ptCount val="5"/>
                <c:pt idx="0">
                  <c:v>8.6206896551724144E-2</c:v>
                </c:pt>
                <c:pt idx="1">
                  <c:v>0.13793103448275862</c:v>
                </c:pt>
                <c:pt idx="2">
                  <c:v>0.34482758620689657</c:v>
                </c:pt>
                <c:pt idx="3">
                  <c:v>0.56896551724137934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FA-4BD5-9A35-016C3C8C9EAC}"/>
            </c:ext>
          </c:extLst>
        </c:ser>
        <c:ser>
          <c:idx val="2"/>
          <c:order val="2"/>
          <c:tx>
            <c:strRef>
              <c:f>CÁSSIA!$O$1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CÁSSIA!$O$2:$O$6</c:f>
              <c:numCache>
                <c:formatCode>0.00</c:formatCode>
                <c:ptCount val="5"/>
                <c:pt idx="0">
                  <c:v>9.2592592592592587E-2</c:v>
                </c:pt>
                <c:pt idx="1">
                  <c:v>0.16666666666666666</c:v>
                </c:pt>
                <c:pt idx="2">
                  <c:v>0.35185185185185186</c:v>
                </c:pt>
                <c:pt idx="3">
                  <c:v>0.68518518518518512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FA-4BD5-9A35-016C3C8C9EAC}"/>
            </c:ext>
          </c:extLst>
        </c:ser>
        <c:ser>
          <c:idx val="3"/>
          <c:order val="3"/>
          <c:tx>
            <c:strRef>
              <c:f>CÁSSIA!$P$1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CÁSSIA!$I$2:$I$6</c:f>
              <c:numCache>
                <c:formatCode>0.00</c:formatCode>
                <c:ptCount val="5"/>
                <c:pt idx="0">
                  <c:v>9.6023488610388591E-2</c:v>
                </c:pt>
                <c:pt idx="1">
                  <c:v>0.23120122960510758</c:v>
                </c:pt>
                <c:pt idx="2">
                  <c:v>0.3720146606762828</c:v>
                </c:pt>
                <c:pt idx="3">
                  <c:v>0.65040986836919679</c:v>
                </c:pt>
                <c:pt idx="4">
                  <c:v>1</c:v>
                </c:pt>
              </c:numCache>
            </c:numRef>
          </c:xVal>
          <c:yVal>
            <c:numRef>
              <c:f>CÁSSIA!$P$2:$P$6</c:f>
              <c:numCache>
                <c:formatCode>0.00</c:formatCode>
                <c:ptCount val="5"/>
                <c:pt idx="0">
                  <c:v>6.25E-2</c:v>
                </c:pt>
                <c:pt idx="1">
                  <c:v>0.15625</c:v>
                </c:pt>
                <c:pt idx="2">
                  <c:v>0.4375</c:v>
                </c:pt>
                <c:pt idx="3">
                  <c:v>0.53125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FA-4BD5-9A35-016C3C8C9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781248"/>
        <c:axId val="2021782688"/>
      </c:scatterChart>
      <c:valAx>
        <c:axId val="20217812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1782688"/>
        <c:crosses val="autoZero"/>
        <c:crossBetween val="midCat"/>
      </c:valAx>
      <c:valAx>
        <c:axId val="20217826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178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GUAXUPÉ!$J$1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GUAXUPÉ!$J$2:$J$9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12-442A-ADF3-724B3F2DC7AE}"/>
            </c:ext>
          </c:extLst>
        </c:ser>
        <c:ser>
          <c:idx val="1"/>
          <c:order val="1"/>
          <c:tx>
            <c:strRef>
              <c:f>GUAXUPÉ!$K$1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GUAXUPÉ!$K$2:$K$9</c:f>
              <c:numCache>
                <c:formatCode>0.00</c:formatCode>
                <c:ptCount val="8"/>
                <c:pt idx="0">
                  <c:v>0.1111111111111111</c:v>
                </c:pt>
                <c:pt idx="1">
                  <c:v>0.30555555555555558</c:v>
                </c:pt>
                <c:pt idx="2">
                  <c:v>0.31481481481481483</c:v>
                </c:pt>
                <c:pt idx="3">
                  <c:v>0.39814814814814814</c:v>
                </c:pt>
                <c:pt idx="4">
                  <c:v>0.43518518518518517</c:v>
                </c:pt>
                <c:pt idx="5">
                  <c:v>0.5092592592592593</c:v>
                </c:pt>
                <c:pt idx="6">
                  <c:v>0.7777777777777779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12-442A-ADF3-724B3F2DC7AE}"/>
            </c:ext>
          </c:extLst>
        </c:ser>
        <c:ser>
          <c:idx val="2"/>
          <c:order val="2"/>
          <c:tx>
            <c:strRef>
              <c:f>GUAXUPÉ!$L$1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GUAXUPÉ!$L$2:$L$9</c:f>
              <c:numCache>
                <c:formatCode>0.00</c:formatCode>
                <c:ptCount val="8"/>
                <c:pt idx="0">
                  <c:v>5.7692307692307696E-2</c:v>
                </c:pt>
                <c:pt idx="1">
                  <c:v>0.23076923076923078</c:v>
                </c:pt>
                <c:pt idx="2">
                  <c:v>0.23076923076923078</c:v>
                </c:pt>
                <c:pt idx="3">
                  <c:v>0.36538461538461542</c:v>
                </c:pt>
                <c:pt idx="4">
                  <c:v>0.42307692307692313</c:v>
                </c:pt>
                <c:pt idx="5">
                  <c:v>0.48076923076923084</c:v>
                </c:pt>
                <c:pt idx="6">
                  <c:v>0.75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12-442A-ADF3-724B3F2DC7AE}"/>
            </c:ext>
          </c:extLst>
        </c:ser>
        <c:ser>
          <c:idx val="3"/>
          <c:order val="3"/>
          <c:tx>
            <c:strRef>
              <c:f>GUAXUPÉ!$M$1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GUAXUPÉ!$M$2:$M$9</c:f>
              <c:numCache>
                <c:formatCode>0.00</c:formatCode>
                <c:ptCount val="8"/>
                <c:pt idx="0">
                  <c:v>0</c:v>
                </c:pt>
                <c:pt idx="1">
                  <c:v>0.16666666666666666</c:v>
                </c:pt>
                <c:pt idx="2">
                  <c:v>0.21428571428571427</c:v>
                </c:pt>
                <c:pt idx="3">
                  <c:v>0.2857142857142857</c:v>
                </c:pt>
                <c:pt idx="4">
                  <c:v>0.3571428571428571</c:v>
                </c:pt>
                <c:pt idx="5">
                  <c:v>0.45238095238095233</c:v>
                </c:pt>
                <c:pt idx="6">
                  <c:v>0.71428571428571419</c:v>
                </c:pt>
                <c:pt idx="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12-442A-ADF3-724B3F2DC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105104"/>
        <c:axId val="309861776"/>
      </c:scatterChart>
      <c:valAx>
        <c:axId val="6351051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61776"/>
        <c:crosses val="autoZero"/>
        <c:crossBetween val="midCat"/>
      </c:valAx>
      <c:valAx>
        <c:axId val="3098617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5105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GUAXUPÉ!$J$1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GUAXUPÉ!$J$2:$J$9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6D-4C0B-AB98-D014799B4679}"/>
            </c:ext>
          </c:extLst>
        </c:ser>
        <c:ser>
          <c:idx val="1"/>
          <c:order val="1"/>
          <c:tx>
            <c:strRef>
              <c:f>GUAXUPÉ!$N$1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GUAXUPÉ!$N$2:$N$9</c:f>
              <c:numCache>
                <c:formatCode>0.00</c:formatCode>
                <c:ptCount val="8"/>
                <c:pt idx="0">
                  <c:v>0.08</c:v>
                </c:pt>
                <c:pt idx="1">
                  <c:v>0.3</c:v>
                </c:pt>
                <c:pt idx="2">
                  <c:v>0.37</c:v>
                </c:pt>
                <c:pt idx="3">
                  <c:v>0.57000000000000006</c:v>
                </c:pt>
                <c:pt idx="4">
                  <c:v>0.63000000000000012</c:v>
                </c:pt>
                <c:pt idx="5">
                  <c:v>0.69000000000000017</c:v>
                </c:pt>
                <c:pt idx="6">
                  <c:v>0.83000000000000018</c:v>
                </c:pt>
                <c:pt idx="7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6D-4C0B-AB98-D014799B4679}"/>
            </c:ext>
          </c:extLst>
        </c:ser>
        <c:ser>
          <c:idx val="2"/>
          <c:order val="2"/>
          <c:tx>
            <c:strRef>
              <c:f>GUAXUPÉ!$O$1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GUAXUPÉ!$O$2:$O$9</c:f>
              <c:numCache>
                <c:formatCode>0.00</c:formatCode>
                <c:ptCount val="8"/>
                <c:pt idx="0">
                  <c:v>5.4545454545454543E-2</c:v>
                </c:pt>
                <c:pt idx="1">
                  <c:v>0.19090909090909089</c:v>
                </c:pt>
                <c:pt idx="2">
                  <c:v>0.24545454545454543</c:v>
                </c:pt>
                <c:pt idx="3">
                  <c:v>0.42727272727272725</c:v>
                </c:pt>
                <c:pt idx="4">
                  <c:v>0.51818181818181819</c:v>
                </c:pt>
                <c:pt idx="5">
                  <c:v>0.61818181818181817</c:v>
                </c:pt>
                <c:pt idx="6">
                  <c:v>0.73636363636363633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6D-4C0B-AB98-D014799B4679}"/>
            </c:ext>
          </c:extLst>
        </c:ser>
        <c:ser>
          <c:idx val="3"/>
          <c:order val="3"/>
          <c:tx>
            <c:strRef>
              <c:f>GUAXUPÉ!$P$1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GUAXUPÉ!$I$2:$I$9</c:f>
              <c:numCache>
                <c:formatCode>0.00</c:formatCode>
                <c:ptCount val="8"/>
                <c:pt idx="0">
                  <c:v>3.1397293075806264E-2</c:v>
                </c:pt>
                <c:pt idx="1">
                  <c:v>0.10567600855977047</c:v>
                </c:pt>
                <c:pt idx="2">
                  <c:v>0.18129648870509391</c:v>
                </c:pt>
                <c:pt idx="3">
                  <c:v>0.27170390350303791</c:v>
                </c:pt>
                <c:pt idx="4">
                  <c:v>0.36854490783108906</c:v>
                </c:pt>
                <c:pt idx="5">
                  <c:v>0.49937728358024103</c:v>
                </c:pt>
                <c:pt idx="6">
                  <c:v>0.64058597271057116</c:v>
                </c:pt>
                <c:pt idx="7">
                  <c:v>1</c:v>
                </c:pt>
              </c:numCache>
            </c:numRef>
          </c:xVal>
          <c:yVal>
            <c:numRef>
              <c:f>GUAXUPÉ!$P$2:$P$9</c:f>
              <c:numCache>
                <c:formatCode>0.00</c:formatCode>
                <c:ptCount val="8"/>
                <c:pt idx="0">
                  <c:v>0.1111111111111111</c:v>
                </c:pt>
                <c:pt idx="1">
                  <c:v>0.26984126984126983</c:v>
                </c:pt>
                <c:pt idx="2">
                  <c:v>0.34920634920634919</c:v>
                </c:pt>
                <c:pt idx="3">
                  <c:v>0.44444444444444442</c:v>
                </c:pt>
                <c:pt idx="4">
                  <c:v>0.47619047619047616</c:v>
                </c:pt>
                <c:pt idx="5">
                  <c:v>0.58730158730158721</c:v>
                </c:pt>
                <c:pt idx="6">
                  <c:v>0.69841269841269837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6D-4C0B-AB98-D014799B4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09424"/>
        <c:axId val="2055199344"/>
      </c:scatterChart>
      <c:valAx>
        <c:axId val="20552094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199344"/>
        <c:crosses val="autoZero"/>
        <c:crossBetween val="midCat"/>
      </c:valAx>
      <c:valAx>
        <c:axId val="20551993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ITAJUBÁ!$J$1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ITAJUBÁ!$J$2:$J$16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A2-4D4E-860D-E6A6FB0EF06A}"/>
            </c:ext>
          </c:extLst>
        </c:ser>
        <c:ser>
          <c:idx val="1"/>
          <c:order val="1"/>
          <c:tx>
            <c:strRef>
              <c:f>ITAJUBÁ!$K$1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ITAJUBÁ!$K$2:$K$16</c:f>
              <c:numCache>
                <c:formatCode>0.00</c:formatCode>
                <c:ptCount val="15"/>
                <c:pt idx="0">
                  <c:v>3.3333333333333333E-2</c:v>
                </c:pt>
                <c:pt idx="1">
                  <c:v>3.3333333333333333E-2</c:v>
                </c:pt>
                <c:pt idx="2">
                  <c:v>0.05</c:v>
                </c:pt>
                <c:pt idx="3">
                  <c:v>8.3333333333333343E-2</c:v>
                </c:pt>
                <c:pt idx="4">
                  <c:v>0.10833333333333334</c:v>
                </c:pt>
                <c:pt idx="5">
                  <c:v>0.125</c:v>
                </c:pt>
                <c:pt idx="6">
                  <c:v>0.16666666666666666</c:v>
                </c:pt>
                <c:pt idx="7">
                  <c:v>0.18333333333333332</c:v>
                </c:pt>
                <c:pt idx="8">
                  <c:v>0.19999999999999998</c:v>
                </c:pt>
                <c:pt idx="9">
                  <c:v>0.24166666666666664</c:v>
                </c:pt>
                <c:pt idx="10">
                  <c:v>0.31666666666666665</c:v>
                </c:pt>
                <c:pt idx="11">
                  <c:v>0.39999999999999997</c:v>
                </c:pt>
                <c:pt idx="12">
                  <c:v>0.42499999999999999</c:v>
                </c:pt>
                <c:pt idx="13">
                  <c:v>0.48333333333333334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A2-4D4E-860D-E6A6FB0EF06A}"/>
            </c:ext>
          </c:extLst>
        </c:ser>
        <c:ser>
          <c:idx val="2"/>
          <c:order val="2"/>
          <c:tx>
            <c:strRef>
              <c:f>ITAJUBÁ!$L$1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ITAJUBÁ!$L$2:$L$16</c:f>
              <c:numCache>
                <c:formatCode>0.00</c:formatCode>
                <c:ptCount val="15"/>
                <c:pt idx="0">
                  <c:v>6.3492063492063489E-2</c:v>
                </c:pt>
                <c:pt idx="1">
                  <c:v>9.5238095238095233E-2</c:v>
                </c:pt>
                <c:pt idx="2">
                  <c:v>9.5238095238095233E-2</c:v>
                </c:pt>
                <c:pt idx="3">
                  <c:v>0.12698412698412698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0.17460317460317459</c:v>
                </c:pt>
                <c:pt idx="7">
                  <c:v>0.19047619047619047</c:v>
                </c:pt>
                <c:pt idx="8">
                  <c:v>0.20634920634920634</c:v>
                </c:pt>
                <c:pt idx="9">
                  <c:v>0.2857142857142857</c:v>
                </c:pt>
                <c:pt idx="10">
                  <c:v>0.30158730158730157</c:v>
                </c:pt>
                <c:pt idx="11">
                  <c:v>0.41269841269841268</c:v>
                </c:pt>
                <c:pt idx="12">
                  <c:v>0.46031746031746029</c:v>
                </c:pt>
                <c:pt idx="13">
                  <c:v>0.47619047619047616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A2-4D4E-860D-E6A6FB0EF06A}"/>
            </c:ext>
          </c:extLst>
        </c:ser>
        <c:ser>
          <c:idx val="3"/>
          <c:order val="3"/>
          <c:tx>
            <c:strRef>
              <c:f>ITAJUBÁ!$M$1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ITAJUBÁ!$M$2:$M$16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2.3809523809523808E-2</c:v>
                </c:pt>
                <c:pt idx="5">
                  <c:v>2.3809523809523808E-2</c:v>
                </c:pt>
                <c:pt idx="6">
                  <c:v>2.3809523809523808E-2</c:v>
                </c:pt>
                <c:pt idx="7">
                  <c:v>2.3809523809523808E-2</c:v>
                </c:pt>
                <c:pt idx="8">
                  <c:v>0.11904761904761904</c:v>
                </c:pt>
                <c:pt idx="9">
                  <c:v>0.16666666666666666</c:v>
                </c:pt>
                <c:pt idx="10">
                  <c:v>0.21428571428571427</c:v>
                </c:pt>
                <c:pt idx="11">
                  <c:v>0.38095238095238093</c:v>
                </c:pt>
                <c:pt idx="12">
                  <c:v>0.47619047619047616</c:v>
                </c:pt>
                <c:pt idx="13">
                  <c:v>0.47619047619047616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A2-4D4E-860D-E6A6FB0EF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45584"/>
        <c:axId val="639335504"/>
      </c:scatterChart>
      <c:valAx>
        <c:axId val="6393455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5504"/>
        <c:crosses val="autoZero"/>
        <c:crossBetween val="midCat"/>
      </c:valAx>
      <c:valAx>
        <c:axId val="639335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4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ITAJUBÁ!$J$1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ITAJUBÁ!$J$2:$J$16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CE-4ACD-B115-596FEE94D027}"/>
            </c:ext>
          </c:extLst>
        </c:ser>
        <c:ser>
          <c:idx val="1"/>
          <c:order val="1"/>
          <c:tx>
            <c:strRef>
              <c:f>ITAJUBÁ!$N$1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ITAJUBÁ!$N$2:$N$16</c:f>
              <c:numCache>
                <c:formatCode>0.00</c:formatCode>
                <c:ptCount val="15"/>
                <c:pt idx="0">
                  <c:v>1.834862385321101E-2</c:v>
                </c:pt>
                <c:pt idx="1">
                  <c:v>4.5871559633027525E-2</c:v>
                </c:pt>
                <c:pt idx="2">
                  <c:v>6.4220183486238536E-2</c:v>
                </c:pt>
                <c:pt idx="3">
                  <c:v>7.3394495412844041E-2</c:v>
                </c:pt>
                <c:pt idx="4">
                  <c:v>0.11009174311926606</c:v>
                </c:pt>
                <c:pt idx="5">
                  <c:v>0.12844036697247707</c:v>
                </c:pt>
                <c:pt idx="6">
                  <c:v>0.14678899082568808</c:v>
                </c:pt>
                <c:pt idx="7">
                  <c:v>0.14678899082568808</c:v>
                </c:pt>
                <c:pt idx="8">
                  <c:v>0.1743119266055046</c:v>
                </c:pt>
                <c:pt idx="9">
                  <c:v>0.22018348623853212</c:v>
                </c:pt>
                <c:pt idx="10">
                  <c:v>0.31192660550458717</c:v>
                </c:pt>
                <c:pt idx="11">
                  <c:v>0.38532110091743121</c:v>
                </c:pt>
                <c:pt idx="12">
                  <c:v>0.43119266055045874</c:v>
                </c:pt>
                <c:pt idx="13">
                  <c:v>0.44954128440366975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CE-4ACD-B115-596FEE94D027}"/>
            </c:ext>
          </c:extLst>
        </c:ser>
        <c:ser>
          <c:idx val="2"/>
          <c:order val="2"/>
          <c:tx>
            <c:strRef>
              <c:f>ITAJUBÁ!$O$1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ITAJUBÁ!$O$2:$O$16</c:f>
              <c:numCache>
                <c:formatCode>0.00</c:formatCode>
                <c:ptCount val="15"/>
                <c:pt idx="0">
                  <c:v>0</c:v>
                </c:pt>
                <c:pt idx="1">
                  <c:v>3.7974683544303799E-2</c:v>
                </c:pt>
                <c:pt idx="2">
                  <c:v>5.0632911392405063E-2</c:v>
                </c:pt>
                <c:pt idx="3">
                  <c:v>5.0632911392405063E-2</c:v>
                </c:pt>
                <c:pt idx="4">
                  <c:v>6.3291139240506333E-2</c:v>
                </c:pt>
                <c:pt idx="5">
                  <c:v>8.8607594936708861E-2</c:v>
                </c:pt>
                <c:pt idx="6">
                  <c:v>0.10126582278481013</c:v>
                </c:pt>
                <c:pt idx="7">
                  <c:v>0.10126582278481013</c:v>
                </c:pt>
                <c:pt idx="8">
                  <c:v>0.13924050632911392</c:v>
                </c:pt>
                <c:pt idx="9">
                  <c:v>0.16455696202531644</c:v>
                </c:pt>
                <c:pt idx="10">
                  <c:v>0.20253164556962025</c:v>
                </c:pt>
                <c:pt idx="11">
                  <c:v>0.27848101265822783</c:v>
                </c:pt>
                <c:pt idx="12">
                  <c:v>0.32911392405063289</c:v>
                </c:pt>
                <c:pt idx="13">
                  <c:v>0.41772151898734178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CE-4ACD-B115-596FEE94D027}"/>
            </c:ext>
          </c:extLst>
        </c:ser>
        <c:ser>
          <c:idx val="3"/>
          <c:order val="3"/>
          <c:tx>
            <c:strRef>
              <c:f>ITAJUBÁ!$P$1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ITAJUBÁ!$I$2:$I$16</c:f>
              <c:numCache>
                <c:formatCode>0.00</c:formatCode>
                <c:ptCount val="15"/>
                <c:pt idx="0">
                  <c:v>8.6580926018392391E-3</c:v>
                </c:pt>
                <c:pt idx="1">
                  <c:v>2.0985936659217282E-2</c:v>
                </c:pt>
                <c:pt idx="2">
                  <c:v>3.407972619872892E-2</c:v>
                </c:pt>
                <c:pt idx="3">
                  <c:v>4.7721312190652558E-2</c:v>
                </c:pt>
                <c:pt idx="4">
                  <c:v>6.8188538934754045E-2</c:v>
                </c:pt>
                <c:pt idx="5">
                  <c:v>8.9324756036668423E-2</c:v>
                </c:pt>
                <c:pt idx="6">
                  <c:v>0.11600680624972731</c:v>
                </c:pt>
                <c:pt idx="7">
                  <c:v>0.15015924879169676</c:v>
                </c:pt>
                <c:pt idx="8">
                  <c:v>0.18897523281349227</c:v>
                </c:pt>
                <c:pt idx="9">
                  <c:v>0.2310683000373277</c:v>
                </c:pt>
                <c:pt idx="10">
                  <c:v>0.28486869852288865</c:v>
                </c:pt>
                <c:pt idx="11">
                  <c:v>0.35282939291548904</c:v>
                </c:pt>
                <c:pt idx="12">
                  <c:v>0.42246256320262165</c:v>
                </c:pt>
                <c:pt idx="13">
                  <c:v>0.52597670168362576</c:v>
                </c:pt>
                <c:pt idx="14">
                  <c:v>1</c:v>
                </c:pt>
              </c:numCache>
            </c:numRef>
          </c:xVal>
          <c:yVal>
            <c:numRef>
              <c:f>ITAJUBÁ!$P$2:$P$16</c:f>
              <c:numCache>
                <c:formatCode>0.00</c:formatCode>
                <c:ptCount val="15"/>
                <c:pt idx="0">
                  <c:v>0</c:v>
                </c:pt>
                <c:pt idx="1">
                  <c:v>3.3333333333333333E-2</c:v>
                </c:pt>
                <c:pt idx="2">
                  <c:v>3.3333333333333333E-2</c:v>
                </c:pt>
                <c:pt idx="3">
                  <c:v>3.3333333333333333E-2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9.9999999999999992E-2</c:v>
                </c:pt>
                <c:pt idx="7">
                  <c:v>0.16666666666666666</c:v>
                </c:pt>
                <c:pt idx="8">
                  <c:v>0.23333333333333334</c:v>
                </c:pt>
                <c:pt idx="9">
                  <c:v>0.28333333333333333</c:v>
                </c:pt>
                <c:pt idx="10">
                  <c:v>0.3</c:v>
                </c:pt>
                <c:pt idx="11">
                  <c:v>0.36666666666666664</c:v>
                </c:pt>
                <c:pt idx="12">
                  <c:v>0.44999999999999996</c:v>
                </c:pt>
                <c:pt idx="13">
                  <c:v>0.54999999999999993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CE-4ACD-B115-596FEE94D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57552"/>
        <c:axId val="1867769552"/>
      </c:scatterChart>
      <c:valAx>
        <c:axId val="18677575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7769552"/>
        <c:crosses val="autoZero"/>
        <c:crossBetween val="midCat"/>
      </c:valAx>
      <c:valAx>
        <c:axId val="18677695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775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LAVRAS!$J$1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LAVRAS!$J$2:$J$11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80-417F-8F1E-ABB1A573CB8F}"/>
            </c:ext>
          </c:extLst>
        </c:ser>
        <c:ser>
          <c:idx val="1"/>
          <c:order val="1"/>
          <c:tx>
            <c:strRef>
              <c:f>LAVRAS!$K$1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LAVRAS!$K$2:$K$11</c:f>
              <c:numCache>
                <c:formatCode>0.00</c:formatCode>
                <c:ptCount val="10"/>
                <c:pt idx="0">
                  <c:v>2.1645021645021644E-2</c:v>
                </c:pt>
                <c:pt idx="1">
                  <c:v>3.4632034632034632E-2</c:v>
                </c:pt>
                <c:pt idx="2">
                  <c:v>4.7619047619047616E-2</c:v>
                </c:pt>
                <c:pt idx="3">
                  <c:v>6.4935064935064929E-2</c:v>
                </c:pt>
                <c:pt idx="4">
                  <c:v>8.6580086580086577E-2</c:v>
                </c:pt>
                <c:pt idx="5">
                  <c:v>0.10822510822510822</c:v>
                </c:pt>
                <c:pt idx="6">
                  <c:v>0.14285714285714285</c:v>
                </c:pt>
                <c:pt idx="7">
                  <c:v>0.31168831168831168</c:v>
                </c:pt>
                <c:pt idx="8">
                  <c:v>0.37229437229437229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80-417F-8F1E-ABB1A573CB8F}"/>
            </c:ext>
          </c:extLst>
        </c:ser>
        <c:ser>
          <c:idx val="2"/>
          <c:order val="2"/>
          <c:tx>
            <c:strRef>
              <c:f>LAVRAS!$L$1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LAVRAS!$L$2:$L$11</c:f>
              <c:numCache>
                <c:formatCode>0.00</c:formatCode>
                <c:ptCount val="10"/>
                <c:pt idx="0">
                  <c:v>1.0101010101010102E-2</c:v>
                </c:pt>
                <c:pt idx="1">
                  <c:v>6.0606060606060608E-2</c:v>
                </c:pt>
                <c:pt idx="2">
                  <c:v>9.0909090909090912E-2</c:v>
                </c:pt>
                <c:pt idx="3">
                  <c:v>0.12121212121212122</c:v>
                </c:pt>
                <c:pt idx="4">
                  <c:v>0.14141414141414141</c:v>
                </c:pt>
                <c:pt idx="5">
                  <c:v>0.1616161616161616</c:v>
                </c:pt>
                <c:pt idx="6">
                  <c:v>0.1818181818181818</c:v>
                </c:pt>
                <c:pt idx="7">
                  <c:v>0.36363636363636365</c:v>
                </c:pt>
                <c:pt idx="8">
                  <c:v>0.42424242424242425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80-417F-8F1E-ABB1A573CB8F}"/>
            </c:ext>
          </c:extLst>
        </c:ser>
        <c:ser>
          <c:idx val="3"/>
          <c:order val="3"/>
          <c:tx>
            <c:strRef>
              <c:f>LAVRAS!$M$1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LAVRAS!$M$2:$M$11</c:f>
              <c:numCache>
                <c:formatCode>0.00</c:formatCode>
                <c:ptCount val="10"/>
                <c:pt idx="0">
                  <c:v>1.4492753623188406E-2</c:v>
                </c:pt>
                <c:pt idx="1">
                  <c:v>2.1739130434782608E-2</c:v>
                </c:pt>
                <c:pt idx="2">
                  <c:v>5.7971014492753624E-2</c:v>
                </c:pt>
                <c:pt idx="3">
                  <c:v>7.2463768115942032E-2</c:v>
                </c:pt>
                <c:pt idx="4">
                  <c:v>7.9710144927536239E-2</c:v>
                </c:pt>
                <c:pt idx="5">
                  <c:v>0.11594202898550726</c:v>
                </c:pt>
                <c:pt idx="6">
                  <c:v>0.13043478260869568</c:v>
                </c:pt>
                <c:pt idx="7">
                  <c:v>0.30434782608695654</c:v>
                </c:pt>
                <c:pt idx="8">
                  <c:v>0.35507246376811596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80-417F-8F1E-ABB1A573C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01264"/>
        <c:axId val="2055210384"/>
      </c:scatterChart>
      <c:valAx>
        <c:axId val="2055201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10384"/>
        <c:crosses val="autoZero"/>
        <c:crossBetween val="midCat"/>
      </c:valAx>
      <c:valAx>
        <c:axId val="20552103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LAVRAS!$J$1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LAVRAS!$J$2:$J$11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56-4822-A60A-8D714EC3C08C}"/>
            </c:ext>
          </c:extLst>
        </c:ser>
        <c:ser>
          <c:idx val="1"/>
          <c:order val="1"/>
          <c:tx>
            <c:strRef>
              <c:f>LAVRAS!$N$1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LAVRAS!$N$2:$N$11</c:f>
              <c:numCache>
                <c:formatCode>0.00</c:formatCode>
                <c:ptCount val="10"/>
                <c:pt idx="0">
                  <c:v>2.0202020202020204E-2</c:v>
                </c:pt>
                <c:pt idx="1">
                  <c:v>4.0404040404040407E-2</c:v>
                </c:pt>
                <c:pt idx="2">
                  <c:v>7.0707070707070718E-2</c:v>
                </c:pt>
                <c:pt idx="3">
                  <c:v>0.10101010101010102</c:v>
                </c:pt>
                <c:pt idx="4">
                  <c:v>0.14141414141414144</c:v>
                </c:pt>
                <c:pt idx="5">
                  <c:v>0.1767676767676768</c:v>
                </c:pt>
                <c:pt idx="6">
                  <c:v>0.27777777777777779</c:v>
                </c:pt>
                <c:pt idx="7">
                  <c:v>0.51515151515151514</c:v>
                </c:pt>
                <c:pt idx="8">
                  <c:v>0.60101010101010099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56-4822-A60A-8D714EC3C08C}"/>
            </c:ext>
          </c:extLst>
        </c:ser>
        <c:ser>
          <c:idx val="2"/>
          <c:order val="2"/>
          <c:tx>
            <c:strRef>
              <c:f>LAVRAS!$O$1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LAVRAS!$O$2:$O$11</c:f>
              <c:numCache>
                <c:formatCode>0.00</c:formatCode>
                <c:ptCount val="10"/>
                <c:pt idx="0">
                  <c:v>2.9197080291970802E-2</c:v>
                </c:pt>
                <c:pt idx="1">
                  <c:v>5.1094890510948905E-2</c:v>
                </c:pt>
                <c:pt idx="2">
                  <c:v>6.569343065693431E-2</c:v>
                </c:pt>
                <c:pt idx="3">
                  <c:v>0.11678832116788321</c:v>
                </c:pt>
                <c:pt idx="4">
                  <c:v>0.13138686131386862</c:v>
                </c:pt>
                <c:pt idx="5">
                  <c:v>0.21167883211678834</c:v>
                </c:pt>
                <c:pt idx="6">
                  <c:v>0.25547445255474455</c:v>
                </c:pt>
                <c:pt idx="7">
                  <c:v>0.44525547445255476</c:v>
                </c:pt>
                <c:pt idx="8">
                  <c:v>0.54014598540145986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56-4822-A60A-8D714EC3C08C}"/>
            </c:ext>
          </c:extLst>
        </c:ser>
        <c:ser>
          <c:idx val="3"/>
          <c:order val="3"/>
          <c:tx>
            <c:strRef>
              <c:f>LAVRAS!$P$1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LAVRAS!$I$2:$I$11</c:f>
              <c:numCache>
                <c:formatCode>0.00</c:formatCode>
                <c:ptCount val="10"/>
                <c:pt idx="0">
                  <c:v>1.4897987568070698E-2</c:v>
                </c:pt>
                <c:pt idx="1">
                  <c:v>3.4952765087890102E-2</c:v>
                </c:pt>
                <c:pt idx="2">
                  <c:v>5.6628400860178243E-2</c:v>
                </c:pt>
                <c:pt idx="3">
                  <c:v>7.8352180936995156E-2</c:v>
                </c:pt>
                <c:pt idx="4">
                  <c:v>0.10740459403652548</c:v>
                </c:pt>
                <c:pt idx="5">
                  <c:v>0.13938311097797132</c:v>
                </c:pt>
                <c:pt idx="6">
                  <c:v>0.17504734189945331</c:v>
                </c:pt>
                <c:pt idx="7">
                  <c:v>0.29047063732360462</c:v>
                </c:pt>
                <c:pt idx="8">
                  <c:v>0.4342723255838834</c:v>
                </c:pt>
                <c:pt idx="9">
                  <c:v>1</c:v>
                </c:pt>
              </c:numCache>
            </c:numRef>
          </c:xVal>
          <c:yVal>
            <c:numRef>
              <c:f>LAVRAS!$P$2:$P$11</c:f>
              <c:numCache>
                <c:formatCode>0.00</c:formatCode>
                <c:ptCount val="10"/>
                <c:pt idx="0">
                  <c:v>1.2195121951219513E-2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9.7560975609756101E-2</c:v>
                </c:pt>
                <c:pt idx="4">
                  <c:v>0.14634146341463417</c:v>
                </c:pt>
                <c:pt idx="5">
                  <c:v>0.17073170731707318</c:v>
                </c:pt>
                <c:pt idx="6">
                  <c:v>0.30487804878048785</c:v>
                </c:pt>
                <c:pt idx="7">
                  <c:v>0.4390243902439025</c:v>
                </c:pt>
                <c:pt idx="8">
                  <c:v>0.52439024390243905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56-4822-A60A-8D714EC3C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645488"/>
        <c:axId val="735652208"/>
      </c:scatterChart>
      <c:valAx>
        <c:axId val="735645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652208"/>
        <c:crosses val="autoZero"/>
        <c:crossBetween val="midCat"/>
      </c:valAx>
      <c:valAx>
        <c:axId val="7356522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645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PASSOS!$J$1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PASSOS!$J$2:$J$10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D0-4094-BC62-65A13EA52C32}"/>
            </c:ext>
          </c:extLst>
        </c:ser>
        <c:ser>
          <c:idx val="1"/>
          <c:order val="1"/>
          <c:tx>
            <c:strRef>
              <c:f>PASSOS!$K$1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PASSOS!$K$2:$K$10</c:f>
              <c:numCache>
                <c:formatCode>0.00</c:formatCode>
                <c:ptCount val="9"/>
                <c:pt idx="0">
                  <c:v>9.433962264150943E-3</c:v>
                </c:pt>
                <c:pt idx="1">
                  <c:v>9.433962264150943E-3</c:v>
                </c:pt>
                <c:pt idx="2">
                  <c:v>3.7735849056603772E-2</c:v>
                </c:pt>
                <c:pt idx="3">
                  <c:v>5.6603773584905662E-2</c:v>
                </c:pt>
                <c:pt idx="4">
                  <c:v>7.5471698113207544E-2</c:v>
                </c:pt>
                <c:pt idx="5">
                  <c:v>0.12264150943396226</c:v>
                </c:pt>
                <c:pt idx="6">
                  <c:v>0.15094339622641509</c:v>
                </c:pt>
                <c:pt idx="7">
                  <c:v>0.57547169811320753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D0-4094-BC62-65A13EA52C32}"/>
            </c:ext>
          </c:extLst>
        </c:ser>
        <c:ser>
          <c:idx val="2"/>
          <c:order val="2"/>
          <c:tx>
            <c:strRef>
              <c:f>PASSOS!$L$1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PASSOS!$L$2:$L$10</c:f>
              <c:numCache>
                <c:formatCode>0.00</c:formatCode>
                <c:ptCount val="9"/>
                <c:pt idx="0">
                  <c:v>0</c:v>
                </c:pt>
                <c:pt idx="1">
                  <c:v>2.4793388429752067E-2</c:v>
                </c:pt>
                <c:pt idx="2">
                  <c:v>4.1322314049586778E-2</c:v>
                </c:pt>
                <c:pt idx="3">
                  <c:v>4.9586776859504134E-2</c:v>
                </c:pt>
                <c:pt idx="4">
                  <c:v>5.7851239669421489E-2</c:v>
                </c:pt>
                <c:pt idx="5">
                  <c:v>0.14049586776859505</c:v>
                </c:pt>
                <c:pt idx="6">
                  <c:v>0.1487603305785124</c:v>
                </c:pt>
                <c:pt idx="7">
                  <c:v>0.61983471074380159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D0-4094-BC62-65A13EA52C32}"/>
            </c:ext>
          </c:extLst>
        </c:ser>
        <c:ser>
          <c:idx val="3"/>
          <c:order val="3"/>
          <c:tx>
            <c:strRef>
              <c:f>PASSOS!$M$1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PASSOS!$M$2:$M$10</c:f>
              <c:numCache>
                <c:formatCode>0.00</c:formatCode>
                <c:ptCount val="9"/>
                <c:pt idx="0">
                  <c:v>0</c:v>
                </c:pt>
                <c:pt idx="1">
                  <c:v>3.937007874015748E-2</c:v>
                </c:pt>
                <c:pt idx="2">
                  <c:v>3.937007874015748E-2</c:v>
                </c:pt>
                <c:pt idx="3">
                  <c:v>6.2992125984251968E-2</c:v>
                </c:pt>
                <c:pt idx="4">
                  <c:v>7.0866141732283464E-2</c:v>
                </c:pt>
                <c:pt idx="5">
                  <c:v>0.11811023622047244</c:v>
                </c:pt>
                <c:pt idx="6">
                  <c:v>0.15748031496062992</c:v>
                </c:pt>
                <c:pt idx="7">
                  <c:v>0.55905511811023623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D0-4094-BC62-65A13EA52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66864"/>
        <c:axId val="388371184"/>
      </c:scatterChart>
      <c:valAx>
        <c:axId val="388366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71184"/>
        <c:crosses val="autoZero"/>
        <c:crossBetween val="midCat"/>
      </c:valAx>
      <c:valAx>
        <c:axId val="388371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6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PASSOS!$J$1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PASSOS!$J$2:$J$10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07-4871-A304-46C06CB652C6}"/>
            </c:ext>
          </c:extLst>
        </c:ser>
        <c:ser>
          <c:idx val="1"/>
          <c:order val="1"/>
          <c:tx>
            <c:strRef>
              <c:f>PASSOS!$N$1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PASSOS!$N$2:$N$10</c:f>
              <c:numCache>
                <c:formatCode>0.00</c:formatCode>
                <c:ptCount val="9"/>
                <c:pt idx="0">
                  <c:v>1.4423076923076924E-2</c:v>
                </c:pt>
                <c:pt idx="1">
                  <c:v>5.2884615384615391E-2</c:v>
                </c:pt>
                <c:pt idx="2">
                  <c:v>0.11538461538461539</c:v>
                </c:pt>
                <c:pt idx="3">
                  <c:v>0.15865384615384615</c:v>
                </c:pt>
                <c:pt idx="4">
                  <c:v>0.22596153846153844</c:v>
                </c:pt>
                <c:pt idx="5">
                  <c:v>0.3125</c:v>
                </c:pt>
                <c:pt idx="6">
                  <c:v>0.42307692307692307</c:v>
                </c:pt>
                <c:pt idx="7">
                  <c:v>0.70673076923076916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07-4871-A304-46C06CB652C6}"/>
            </c:ext>
          </c:extLst>
        </c:ser>
        <c:ser>
          <c:idx val="2"/>
          <c:order val="2"/>
          <c:tx>
            <c:strRef>
              <c:f>PASSOS!$O$1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PASSOS!$O$2:$O$10</c:f>
              <c:numCache>
                <c:formatCode>0.00</c:formatCode>
                <c:ptCount val="9"/>
                <c:pt idx="0">
                  <c:v>1.6260162601626018E-2</c:v>
                </c:pt>
                <c:pt idx="1">
                  <c:v>3.2520325203252036E-2</c:v>
                </c:pt>
                <c:pt idx="2">
                  <c:v>8.5365853658536592E-2</c:v>
                </c:pt>
                <c:pt idx="3">
                  <c:v>0.11788617886178862</c:v>
                </c:pt>
                <c:pt idx="4">
                  <c:v>0.18699186991869921</c:v>
                </c:pt>
                <c:pt idx="5">
                  <c:v>0.22357723577235775</c:v>
                </c:pt>
                <c:pt idx="6">
                  <c:v>0.31300813008130085</c:v>
                </c:pt>
                <c:pt idx="7">
                  <c:v>0.58130081300813008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07-4871-A304-46C06CB652C6}"/>
            </c:ext>
          </c:extLst>
        </c:ser>
        <c:ser>
          <c:idx val="3"/>
          <c:order val="3"/>
          <c:tx>
            <c:strRef>
              <c:f>PASSOS!$P$1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PASSOS!$I$2:$I$10</c:f>
              <c:numCache>
                <c:formatCode>0.00</c:formatCode>
                <c:ptCount val="9"/>
                <c:pt idx="0">
                  <c:v>1.9919296526951694E-2</c:v>
                </c:pt>
                <c:pt idx="1">
                  <c:v>4.072493177524316E-2</c:v>
                </c:pt>
                <c:pt idx="2">
                  <c:v>7.586126466540713E-2</c:v>
                </c:pt>
                <c:pt idx="3">
                  <c:v>0.11103958202131878</c:v>
                </c:pt>
                <c:pt idx="4">
                  <c:v>0.18701280526205305</c:v>
                </c:pt>
                <c:pt idx="5">
                  <c:v>0.26602290485853569</c:v>
                </c:pt>
                <c:pt idx="6">
                  <c:v>0.35959694912882234</c:v>
                </c:pt>
                <c:pt idx="7">
                  <c:v>0.45900683413803561</c:v>
                </c:pt>
                <c:pt idx="8">
                  <c:v>1</c:v>
                </c:pt>
              </c:numCache>
            </c:numRef>
          </c:xVal>
          <c:yVal>
            <c:numRef>
              <c:f>PASSOS!$P$2:$P$10</c:f>
              <c:numCache>
                <c:formatCode>0.00</c:formatCode>
                <c:ptCount val="9"/>
                <c:pt idx="0">
                  <c:v>4.0322580645161289E-3</c:v>
                </c:pt>
                <c:pt idx="1">
                  <c:v>2.0161290322580645E-2</c:v>
                </c:pt>
                <c:pt idx="2">
                  <c:v>6.4516129032258063E-2</c:v>
                </c:pt>
                <c:pt idx="3">
                  <c:v>0.13709677419354838</c:v>
                </c:pt>
                <c:pt idx="4">
                  <c:v>0.18951612903225806</c:v>
                </c:pt>
                <c:pt idx="5">
                  <c:v>0.23790322580645162</c:v>
                </c:pt>
                <c:pt idx="6">
                  <c:v>0.33467741935483875</c:v>
                </c:pt>
                <c:pt idx="7">
                  <c:v>0.467741935483871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07-4871-A304-46C06CB65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19984"/>
        <c:axId val="2055228624"/>
      </c:scatterChart>
      <c:valAx>
        <c:axId val="20552199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28624"/>
        <c:crosses val="autoZero"/>
        <c:crossBetween val="midCat"/>
      </c:valAx>
      <c:valAx>
        <c:axId val="20552286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19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PINHUÍ!$J$1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PINHUÍ!$J$2:$J$8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F1-44FC-9936-95E16D91D657}"/>
            </c:ext>
          </c:extLst>
        </c:ser>
        <c:ser>
          <c:idx val="1"/>
          <c:order val="1"/>
          <c:tx>
            <c:strRef>
              <c:f>PINHUÍ!$K$1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PINHUÍ!$K$2:$K$8</c:f>
              <c:numCache>
                <c:formatCode>0.00</c:formatCode>
                <c:ptCount val="7"/>
                <c:pt idx="0">
                  <c:v>1.2987012987012988E-2</c:v>
                </c:pt>
                <c:pt idx="1">
                  <c:v>2.5974025974025976E-2</c:v>
                </c:pt>
                <c:pt idx="2">
                  <c:v>0.12987012987012989</c:v>
                </c:pt>
                <c:pt idx="3">
                  <c:v>0.24675324675324678</c:v>
                </c:pt>
                <c:pt idx="4">
                  <c:v>0.32467532467532467</c:v>
                </c:pt>
                <c:pt idx="5">
                  <c:v>0.4285714285714286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F1-44FC-9936-95E16D91D657}"/>
            </c:ext>
          </c:extLst>
        </c:ser>
        <c:ser>
          <c:idx val="2"/>
          <c:order val="2"/>
          <c:tx>
            <c:strRef>
              <c:f>PINHUÍ!$L$1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PINHUÍ!$L$2:$L$8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4.7619047619047616E-2</c:v>
                </c:pt>
                <c:pt idx="3">
                  <c:v>0.23809523809523808</c:v>
                </c:pt>
                <c:pt idx="4">
                  <c:v>0.2857142857142857</c:v>
                </c:pt>
                <c:pt idx="5">
                  <c:v>0.38095238095238093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F1-44FC-9936-95E16D91D657}"/>
            </c:ext>
          </c:extLst>
        </c:ser>
        <c:ser>
          <c:idx val="3"/>
          <c:order val="3"/>
          <c:tx>
            <c:strRef>
              <c:f>PINHUÍ!$M$1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PINHUÍ!$M$2:$M$8</c:f>
              <c:numCache>
                <c:formatCode>0.00</c:formatCode>
                <c:ptCount val="7"/>
                <c:pt idx="0">
                  <c:v>5.2631578947368418E-2</c:v>
                </c:pt>
                <c:pt idx="1">
                  <c:v>5.2631578947368418E-2</c:v>
                </c:pt>
                <c:pt idx="2">
                  <c:v>0.10526315789473684</c:v>
                </c:pt>
                <c:pt idx="3">
                  <c:v>0.15789473684210525</c:v>
                </c:pt>
                <c:pt idx="4">
                  <c:v>0.21052631578947367</c:v>
                </c:pt>
                <c:pt idx="5">
                  <c:v>0.26315789473684209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F1-44FC-9936-95E16D91D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89408"/>
        <c:axId val="195390848"/>
      </c:scatterChart>
      <c:valAx>
        <c:axId val="1953894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90848"/>
        <c:crosses val="autoZero"/>
        <c:crossBetween val="midCat"/>
      </c:valAx>
      <c:valAx>
        <c:axId val="1953908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PINHUÍ!$J$1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PINHUÍ!$J$2:$J$8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7A-4B58-AAC8-F518B5A1AFB9}"/>
            </c:ext>
          </c:extLst>
        </c:ser>
        <c:ser>
          <c:idx val="1"/>
          <c:order val="1"/>
          <c:tx>
            <c:strRef>
              <c:f>PINHUÍ!$N$1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PINHUÍ!$N$2:$N$8</c:f>
              <c:numCache>
                <c:formatCode>0.00</c:formatCode>
                <c:ptCount val="7"/>
                <c:pt idx="0">
                  <c:v>0</c:v>
                </c:pt>
                <c:pt idx="1">
                  <c:v>1.7543859649122806E-2</c:v>
                </c:pt>
                <c:pt idx="2">
                  <c:v>7.0175438596491224E-2</c:v>
                </c:pt>
                <c:pt idx="3">
                  <c:v>0.17543859649122806</c:v>
                </c:pt>
                <c:pt idx="4">
                  <c:v>0.31578947368421051</c:v>
                </c:pt>
                <c:pt idx="5">
                  <c:v>0.40350877192982454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7A-4B58-AAC8-F518B5A1AFB9}"/>
            </c:ext>
          </c:extLst>
        </c:ser>
        <c:ser>
          <c:idx val="2"/>
          <c:order val="2"/>
          <c:tx>
            <c:strRef>
              <c:f>PINHUÍ!$O$1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PINHUÍ!$O$2:$O$8</c:f>
              <c:numCache>
                <c:formatCode>0.00</c:formatCode>
                <c:ptCount val="7"/>
                <c:pt idx="0">
                  <c:v>0</c:v>
                </c:pt>
                <c:pt idx="1">
                  <c:v>3.3333333333333333E-2</c:v>
                </c:pt>
                <c:pt idx="2">
                  <c:v>6.6666666666666666E-2</c:v>
                </c:pt>
                <c:pt idx="3">
                  <c:v>0.23333333333333334</c:v>
                </c:pt>
                <c:pt idx="4">
                  <c:v>0.4</c:v>
                </c:pt>
                <c:pt idx="5">
                  <c:v>0.56666666666666665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7A-4B58-AAC8-F518B5A1AFB9}"/>
            </c:ext>
          </c:extLst>
        </c:ser>
        <c:ser>
          <c:idx val="3"/>
          <c:order val="3"/>
          <c:tx>
            <c:strRef>
              <c:f>PINHUÍ!$P$1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PINHUÍ!$I$2:$I$8</c:f>
              <c:numCache>
                <c:formatCode>0.00</c:formatCode>
                <c:ptCount val="7"/>
                <c:pt idx="0">
                  <c:v>1.9833496571988248E-2</c:v>
                </c:pt>
                <c:pt idx="1">
                  <c:v>4.7450899530903659E-2</c:v>
                </c:pt>
                <c:pt idx="2">
                  <c:v>0.13895046136398784</c:v>
                </c:pt>
                <c:pt idx="3">
                  <c:v>0.25097943192948091</c:v>
                </c:pt>
                <c:pt idx="4">
                  <c:v>0.36329192226403423</c:v>
                </c:pt>
                <c:pt idx="5">
                  <c:v>0.54718026702407341</c:v>
                </c:pt>
                <c:pt idx="6">
                  <c:v>1</c:v>
                </c:pt>
              </c:numCache>
            </c:numRef>
          </c:xVal>
          <c:yVal>
            <c:numRef>
              <c:f>PINHUÍ!$P$2:$P$8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0.13043478260869565</c:v>
                </c:pt>
                <c:pt idx="3">
                  <c:v>0.34782608695652173</c:v>
                </c:pt>
                <c:pt idx="4">
                  <c:v>0.43478260869565216</c:v>
                </c:pt>
                <c:pt idx="5">
                  <c:v>0.52173913043478259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7A-4B58-AAC8-F518B5A1A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02704"/>
        <c:axId val="2055214224"/>
      </c:scatterChart>
      <c:valAx>
        <c:axId val="20552027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14224"/>
        <c:crosses val="autoZero"/>
        <c:crossBetween val="midCat"/>
      </c:valAx>
      <c:valAx>
        <c:axId val="20552142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2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'POÇOS DE CALDA'!$J$1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CALDA'!$J$2:$J$7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69-47D1-8312-83069FBCE943}"/>
            </c:ext>
          </c:extLst>
        </c:ser>
        <c:ser>
          <c:idx val="1"/>
          <c:order val="1"/>
          <c:tx>
            <c:strRef>
              <c:f>'POÇOS DE CALDA'!$K$1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CALDA'!$K$2:$K$7</c:f>
              <c:numCache>
                <c:formatCode>0.00</c:formatCode>
                <c:ptCount val="6"/>
                <c:pt idx="0">
                  <c:v>0</c:v>
                </c:pt>
                <c:pt idx="1">
                  <c:v>1.9230769230769232E-2</c:v>
                </c:pt>
                <c:pt idx="2">
                  <c:v>3.8461538461538464E-2</c:v>
                </c:pt>
                <c:pt idx="3">
                  <c:v>7.0512820512820512E-2</c:v>
                </c:pt>
                <c:pt idx="4">
                  <c:v>0.21153846153846154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69-47D1-8312-83069FBCE943}"/>
            </c:ext>
          </c:extLst>
        </c:ser>
        <c:ser>
          <c:idx val="2"/>
          <c:order val="2"/>
          <c:tx>
            <c:strRef>
              <c:f>'POÇOS DE CALDA'!$L$1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CALDA'!$L$2:$L$7</c:f>
              <c:numCache>
                <c:formatCode>0.00</c:formatCode>
                <c:ptCount val="6"/>
                <c:pt idx="0">
                  <c:v>0</c:v>
                </c:pt>
                <c:pt idx="1">
                  <c:v>8.9285714285714281E-3</c:v>
                </c:pt>
                <c:pt idx="2">
                  <c:v>8.9285714285714281E-3</c:v>
                </c:pt>
                <c:pt idx="3">
                  <c:v>5.3571428571428575E-2</c:v>
                </c:pt>
                <c:pt idx="4">
                  <c:v>0.125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69-47D1-8312-83069FBCE943}"/>
            </c:ext>
          </c:extLst>
        </c:ser>
        <c:ser>
          <c:idx val="3"/>
          <c:order val="3"/>
          <c:tx>
            <c:strRef>
              <c:f>'POÇOS DE CALDA'!$M$1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CALDA'!$M$2:$M$7</c:f>
              <c:numCache>
                <c:formatCode>0.00</c:formatCode>
                <c:ptCount val="6"/>
                <c:pt idx="0">
                  <c:v>0</c:v>
                </c:pt>
                <c:pt idx="1">
                  <c:v>3.2967032967032968E-2</c:v>
                </c:pt>
                <c:pt idx="2">
                  <c:v>6.5934065934065936E-2</c:v>
                </c:pt>
                <c:pt idx="3">
                  <c:v>0.10989010989010989</c:v>
                </c:pt>
                <c:pt idx="4">
                  <c:v>0.26373626373626374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69-47D1-8312-83069FBCE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740272"/>
        <c:axId val="276740752"/>
      </c:scatterChart>
      <c:valAx>
        <c:axId val="2767402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740752"/>
        <c:crosses val="autoZero"/>
        <c:crossBetween val="midCat"/>
      </c:valAx>
      <c:valAx>
        <c:axId val="2767407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74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'POÇOS DE CALDA'!$J$1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CALDA'!$J$2:$J$7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B3-45C7-8CED-2940C7440660}"/>
            </c:ext>
          </c:extLst>
        </c:ser>
        <c:ser>
          <c:idx val="1"/>
          <c:order val="1"/>
          <c:tx>
            <c:strRef>
              <c:f>'POÇOS DE CALDA'!$N$1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CALDA'!$N$2:$N$7</c:f>
              <c:numCache>
                <c:formatCode>0.00</c:formatCode>
                <c:ptCount val="6"/>
                <c:pt idx="0">
                  <c:v>2.5210084033613446E-2</c:v>
                </c:pt>
                <c:pt idx="1">
                  <c:v>5.0420168067226892E-2</c:v>
                </c:pt>
                <c:pt idx="2">
                  <c:v>8.4033613445378158E-2</c:v>
                </c:pt>
                <c:pt idx="3">
                  <c:v>0.16806722689075632</c:v>
                </c:pt>
                <c:pt idx="4">
                  <c:v>0.50420168067226889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B3-45C7-8CED-2940C7440660}"/>
            </c:ext>
          </c:extLst>
        </c:ser>
        <c:ser>
          <c:idx val="2"/>
          <c:order val="2"/>
          <c:tx>
            <c:strRef>
              <c:f>'POÇOS DE CALDA'!$O$1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CALDA'!$O$2:$O$7</c:f>
              <c:numCache>
                <c:formatCode>0.00</c:formatCode>
                <c:ptCount val="6"/>
                <c:pt idx="0">
                  <c:v>1.5873015873015872E-2</c:v>
                </c:pt>
                <c:pt idx="1">
                  <c:v>1.5873015873015872E-2</c:v>
                </c:pt>
                <c:pt idx="2">
                  <c:v>5.5555555555555552E-2</c:v>
                </c:pt>
                <c:pt idx="3">
                  <c:v>0.10317460317460317</c:v>
                </c:pt>
                <c:pt idx="4">
                  <c:v>0.27777777777777779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B3-45C7-8CED-2940C7440660}"/>
            </c:ext>
          </c:extLst>
        </c:ser>
        <c:ser>
          <c:idx val="3"/>
          <c:order val="3"/>
          <c:tx>
            <c:strRef>
              <c:f>'POÇOS DE CALDA'!$P$1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'POÇOS DE CALDA'!$I$2:$I$7</c:f>
              <c:numCache>
                <c:formatCode>0.00</c:formatCode>
                <c:ptCount val="6"/>
                <c:pt idx="0">
                  <c:v>1.2481681114781788E-2</c:v>
                </c:pt>
                <c:pt idx="1">
                  <c:v>2.6958775263502155E-2</c:v>
                </c:pt>
                <c:pt idx="2">
                  <c:v>6.3803538753239436E-2</c:v>
                </c:pt>
                <c:pt idx="3">
                  <c:v>0.12424551032067363</c:v>
                </c:pt>
                <c:pt idx="4">
                  <c:v>0.29689427622808978</c:v>
                </c:pt>
                <c:pt idx="5">
                  <c:v>1</c:v>
                </c:pt>
              </c:numCache>
            </c:numRef>
          </c:xVal>
          <c:yVal>
            <c:numRef>
              <c:f>'POÇOS DE CALDA'!$P$2:$P$7</c:f>
              <c:numCache>
                <c:formatCode>0.00</c:formatCode>
                <c:ptCount val="6"/>
                <c:pt idx="0">
                  <c:v>3.7735849056603772E-2</c:v>
                </c:pt>
                <c:pt idx="1">
                  <c:v>3.7735849056603772E-2</c:v>
                </c:pt>
                <c:pt idx="2">
                  <c:v>7.5471698113207544E-2</c:v>
                </c:pt>
                <c:pt idx="3">
                  <c:v>0.13207547169811321</c:v>
                </c:pt>
                <c:pt idx="4">
                  <c:v>0.24528301886792453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B3-45C7-8CED-2940C7440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739792"/>
        <c:axId val="276726832"/>
      </c:scatterChart>
      <c:valAx>
        <c:axId val="2767397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726832"/>
        <c:crosses val="autoZero"/>
        <c:crossBetween val="midCat"/>
      </c:valAx>
      <c:valAx>
        <c:axId val="2767268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739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'POUSO ALEGRE'!$J$1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ALEGRE'!$J$2:$J$33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A7-496F-A2F9-4C1E21D1FBCC}"/>
            </c:ext>
          </c:extLst>
        </c:ser>
        <c:ser>
          <c:idx val="1"/>
          <c:order val="1"/>
          <c:tx>
            <c:strRef>
              <c:f>'POUSO ALEGRE'!$K$1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ALEGRE'!$K$2:$K$33</c:f>
              <c:numCache>
                <c:formatCode>0.00</c:formatCode>
                <c:ptCount val="32"/>
                <c:pt idx="0">
                  <c:v>0</c:v>
                </c:pt>
                <c:pt idx="1">
                  <c:v>3.4013605442176869E-3</c:v>
                </c:pt>
                <c:pt idx="2">
                  <c:v>1.3605442176870748E-2</c:v>
                </c:pt>
                <c:pt idx="3">
                  <c:v>1.7006802721088433E-2</c:v>
                </c:pt>
                <c:pt idx="4">
                  <c:v>4.0816326530612242E-2</c:v>
                </c:pt>
                <c:pt idx="5">
                  <c:v>5.4421768707482991E-2</c:v>
                </c:pt>
                <c:pt idx="6">
                  <c:v>6.1224489795918366E-2</c:v>
                </c:pt>
                <c:pt idx="7">
                  <c:v>7.1428571428571425E-2</c:v>
                </c:pt>
                <c:pt idx="8">
                  <c:v>7.1428571428571425E-2</c:v>
                </c:pt>
                <c:pt idx="9">
                  <c:v>7.8231292517006792E-2</c:v>
                </c:pt>
                <c:pt idx="10">
                  <c:v>8.503401360544216E-2</c:v>
                </c:pt>
                <c:pt idx="11">
                  <c:v>9.1836734693877528E-2</c:v>
                </c:pt>
                <c:pt idx="12">
                  <c:v>0.10544217687074828</c:v>
                </c:pt>
                <c:pt idx="13">
                  <c:v>0.11224489795918365</c:v>
                </c:pt>
                <c:pt idx="14">
                  <c:v>0.12925170068027209</c:v>
                </c:pt>
                <c:pt idx="15">
                  <c:v>0.13605442176870747</c:v>
                </c:pt>
                <c:pt idx="16">
                  <c:v>0.14285714285714285</c:v>
                </c:pt>
                <c:pt idx="17">
                  <c:v>0.14625850340136054</c:v>
                </c:pt>
                <c:pt idx="18">
                  <c:v>0.18707482993197277</c:v>
                </c:pt>
                <c:pt idx="19">
                  <c:v>0.18707482993197277</c:v>
                </c:pt>
                <c:pt idx="20">
                  <c:v>0.20748299319727889</c:v>
                </c:pt>
                <c:pt idx="21">
                  <c:v>0.22448979591836732</c:v>
                </c:pt>
                <c:pt idx="22">
                  <c:v>0.25170068027210879</c:v>
                </c:pt>
                <c:pt idx="23">
                  <c:v>0.26870748299319724</c:v>
                </c:pt>
                <c:pt idx="24">
                  <c:v>0.29251700680272108</c:v>
                </c:pt>
                <c:pt idx="25">
                  <c:v>0.40476190476190477</c:v>
                </c:pt>
                <c:pt idx="26">
                  <c:v>0.46938775510204084</c:v>
                </c:pt>
                <c:pt idx="27">
                  <c:v>0.52721088435374153</c:v>
                </c:pt>
                <c:pt idx="28">
                  <c:v>0.61904761904761907</c:v>
                </c:pt>
                <c:pt idx="29">
                  <c:v>0.63265306122448983</c:v>
                </c:pt>
                <c:pt idx="30">
                  <c:v>0.81292517006802723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A7-496F-A2F9-4C1E21D1FBCC}"/>
            </c:ext>
          </c:extLst>
        </c:ser>
        <c:ser>
          <c:idx val="2"/>
          <c:order val="2"/>
          <c:tx>
            <c:strRef>
              <c:f>'POUSO ALEGRE'!$L$1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ALEGRE'!$L$2:$L$33</c:f>
              <c:numCache>
                <c:formatCode>0.00</c:formatCode>
                <c:ptCount val="32"/>
                <c:pt idx="0">
                  <c:v>0</c:v>
                </c:pt>
                <c:pt idx="1">
                  <c:v>6.024096385542169E-3</c:v>
                </c:pt>
                <c:pt idx="2">
                  <c:v>6.024096385542169E-3</c:v>
                </c:pt>
                <c:pt idx="3">
                  <c:v>1.2048192771084338E-2</c:v>
                </c:pt>
                <c:pt idx="4">
                  <c:v>2.4096385542168676E-2</c:v>
                </c:pt>
                <c:pt idx="5">
                  <c:v>2.4096385542168676E-2</c:v>
                </c:pt>
                <c:pt idx="6">
                  <c:v>2.4096385542168676E-2</c:v>
                </c:pt>
                <c:pt idx="7">
                  <c:v>3.0120481927710843E-2</c:v>
                </c:pt>
                <c:pt idx="8">
                  <c:v>3.0120481927710843E-2</c:v>
                </c:pt>
                <c:pt idx="9">
                  <c:v>3.614457831325301E-2</c:v>
                </c:pt>
                <c:pt idx="10">
                  <c:v>4.2168674698795178E-2</c:v>
                </c:pt>
                <c:pt idx="11">
                  <c:v>4.8192771084337345E-2</c:v>
                </c:pt>
                <c:pt idx="12">
                  <c:v>6.0240963855421686E-2</c:v>
                </c:pt>
                <c:pt idx="13">
                  <c:v>6.6265060240963861E-2</c:v>
                </c:pt>
                <c:pt idx="14">
                  <c:v>8.4337349397590369E-2</c:v>
                </c:pt>
                <c:pt idx="15">
                  <c:v>0.10240963855421688</c:v>
                </c:pt>
                <c:pt idx="16">
                  <c:v>0.11445783132530121</c:v>
                </c:pt>
                <c:pt idx="17">
                  <c:v>0.12048192771084339</c:v>
                </c:pt>
                <c:pt idx="18">
                  <c:v>0.14457831325301207</c:v>
                </c:pt>
                <c:pt idx="19">
                  <c:v>0.15060240963855423</c:v>
                </c:pt>
                <c:pt idx="20">
                  <c:v>0.15662650602409639</c:v>
                </c:pt>
                <c:pt idx="21">
                  <c:v>0.16265060240963855</c:v>
                </c:pt>
                <c:pt idx="22">
                  <c:v>0.18072289156626506</c:v>
                </c:pt>
                <c:pt idx="23">
                  <c:v>0.21084337349397592</c:v>
                </c:pt>
                <c:pt idx="24">
                  <c:v>0.31325301204819278</c:v>
                </c:pt>
                <c:pt idx="25">
                  <c:v>0.39759036144578314</c:v>
                </c:pt>
                <c:pt idx="26">
                  <c:v>0.55421686746987953</c:v>
                </c:pt>
                <c:pt idx="27">
                  <c:v>0.60240963855421692</c:v>
                </c:pt>
                <c:pt idx="28">
                  <c:v>0.68072289156626509</c:v>
                </c:pt>
                <c:pt idx="29">
                  <c:v>0.70481927710843373</c:v>
                </c:pt>
                <c:pt idx="30">
                  <c:v>0.81927710843373491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A7-496F-A2F9-4C1E21D1FBCC}"/>
            </c:ext>
          </c:extLst>
        </c:ser>
        <c:ser>
          <c:idx val="3"/>
          <c:order val="3"/>
          <c:tx>
            <c:strRef>
              <c:f>'POUSO ALEGRE'!$M$1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ALEGRE'!$M$2:$M$33</c:f>
              <c:numCache>
                <c:formatCode>0.00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7.5187969924812026E-3</c:v>
                </c:pt>
                <c:pt idx="3">
                  <c:v>3.007518796992481E-2</c:v>
                </c:pt>
                <c:pt idx="4">
                  <c:v>6.0150375939849621E-2</c:v>
                </c:pt>
                <c:pt idx="5">
                  <c:v>6.0150375939849621E-2</c:v>
                </c:pt>
                <c:pt idx="6">
                  <c:v>7.5187969924812026E-2</c:v>
                </c:pt>
                <c:pt idx="7">
                  <c:v>7.5187969924812026E-2</c:v>
                </c:pt>
                <c:pt idx="8">
                  <c:v>8.2706766917293228E-2</c:v>
                </c:pt>
                <c:pt idx="9">
                  <c:v>9.7744360902255634E-2</c:v>
                </c:pt>
                <c:pt idx="10">
                  <c:v>0.11278195488721804</c:v>
                </c:pt>
                <c:pt idx="11">
                  <c:v>0.11278195488721804</c:v>
                </c:pt>
                <c:pt idx="12">
                  <c:v>0.14285714285714285</c:v>
                </c:pt>
                <c:pt idx="13">
                  <c:v>0.14285714285714285</c:v>
                </c:pt>
                <c:pt idx="14">
                  <c:v>0.17293233082706766</c:v>
                </c:pt>
                <c:pt idx="15">
                  <c:v>0.18796992481203006</c:v>
                </c:pt>
                <c:pt idx="16">
                  <c:v>0.21052631578947367</c:v>
                </c:pt>
                <c:pt idx="17">
                  <c:v>0.21052631578947367</c:v>
                </c:pt>
                <c:pt idx="18">
                  <c:v>0.22556390977443608</c:v>
                </c:pt>
                <c:pt idx="19">
                  <c:v>0.23308270676691728</c:v>
                </c:pt>
                <c:pt idx="20">
                  <c:v>0.26315789473684209</c:v>
                </c:pt>
                <c:pt idx="21">
                  <c:v>0.27067669172932329</c:v>
                </c:pt>
                <c:pt idx="22">
                  <c:v>0.2857142857142857</c:v>
                </c:pt>
                <c:pt idx="23">
                  <c:v>0.3007518796992481</c:v>
                </c:pt>
                <c:pt idx="24">
                  <c:v>0.39849624060150374</c:v>
                </c:pt>
                <c:pt idx="25">
                  <c:v>0.46616541353383456</c:v>
                </c:pt>
                <c:pt idx="26">
                  <c:v>0.64661654135338342</c:v>
                </c:pt>
                <c:pt idx="27">
                  <c:v>0.66917293233082709</c:v>
                </c:pt>
                <c:pt idx="28">
                  <c:v>0.75939849624060152</c:v>
                </c:pt>
                <c:pt idx="29">
                  <c:v>0.77443609022556392</c:v>
                </c:pt>
                <c:pt idx="30">
                  <c:v>0.88721804511278202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A7-496F-A2F9-4C1E21D1F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36464"/>
        <c:axId val="639353744"/>
      </c:scatterChart>
      <c:valAx>
        <c:axId val="6393364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53744"/>
        <c:crosses val="autoZero"/>
        <c:crossBetween val="midCat"/>
      </c:valAx>
      <c:valAx>
        <c:axId val="6393537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6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'POUSO ALEGRE'!$J$1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ALEGRE'!$J$2:$J$33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D5-49E6-BE48-931AE6879ACA}"/>
            </c:ext>
          </c:extLst>
        </c:ser>
        <c:ser>
          <c:idx val="1"/>
          <c:order val="1"/>
          <c:tx>
            <c:strRef>
              <c:f>'POUSO ALEGRE'!$N$1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ALEGRE'!$N$2:$N$33</c:f>
              <c:numCache>
                <c:formatCode>0.00</c:formatCode>
                <c:ptCount val="32"/>
                <c:pt idx="0">
                  <c:v>0</c:v>
                </c:pt>
                <c:pt idx="1">
                  <c:v>1.2861736334405145E-2</c:v>
                </c:pt>
                <c:pt idx="2">
                  <c:v>2.5723472668810289E-2</c:v>
                </c:pt>
                <c:pt idx="3">
                  <c:v>3.215434083601286E-2</c:v>
                </c:pt>
                <c:pt idx="4">
                  <c:v>4.1800643086816719E-2</c:v>
                </c:pt>
                <c:pt idx="5">
                  <c:v>4.8231511254019289E-2</c:v>
                </c:pt>
                <c:pt idx="6">
                  <c:v>6.4308681672025719E-2</c:v>
                </c:pt>
                <c:pt idx="7">
                  <c:v>7.0739549839228297E-2</c:v>
                </c:pt>
                <c:pt idx="8">
                  <c:v>8.0385852090032156E-2</c:v>
                </c:pt>
                <c:pt idx="9">
                  <c:v>8.3601286173633438E-2</c:v>
                </c:pt>
                <c:pt idx="10">
                  <c:v>9.3247588424437297E-2</c:v>
                </c:pt>
                <c:pt idx="11">
                  <c:v>0.10610932475884244</c:v>
                </c:pt>
                <c:pt idx="12">
                  <c:v>0.10932475884244372</c:v>
                </c:pt>
                <c:pt idx="13">
                  <c:v>0.10932475884244372</c:v>
                </c:pt>
                <c:pt idx="14">
                  <c:v>0.12540192926045016</c:v>
                </c:pt>
                <c:pt idx="15">
                  <c:v>0.13183279742765272</c:v>
                </c:pt>
                <c:pt idx="16">
                  <c:v>0.14147909967845657</c:v>
                </c:pt>
                <c:pt idx="17">
                  <c:v>0.16077170418006428</c:v>
                </c:pt>
                <c:pt idx="18">
                  <c:v>0.180064308681672</c:v>
                </c:pt>
                <c:pt idx="19">
                  <c:v>0.18649517684887457</c:v>
                </c:pt>
                <c:pt idx="20">
                  <c:v>0.20578778135048229</c:v>
                </c:pt>
                <c:pt idx="21">
                  <c:v>0.20578778135048229</c:v>
                </c:pt>
                <c:pt idx="22">
                  <c:v>0.21221864951768485</c:v>
                </c:pt>
                <c:pt idx="23">
                  <c:v>0.22829581993569129</c:v>
                </c:pt>
                <c:pt idx="24">
                  <c:v>0.26688102893890675</c:v>
                </c:pt>
                <c:pt idx="25">
                  <c:v>0.31511254019292606</c:v>
                </c:pt>
                <c:pt idx="26">
                  <c:v>0.49517684887459812</c:v>
                </c:pt>
                <c:pt idx="27">
                  <c:v>0.53054662379421225</c:v>
                </c:pt>
                <c:pt idx="28">
                  <c:v>0.63022508038585212</c:v>
                </c:pt>
                <c:pt idx="29">
                  <c:v>0.65916398713826374</c:v>
                </c:pt>
                <c:pt idx="30">
                  <c:v>0.83601286173633449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D5-49E6-BE48-931AE6879ACA}"/>
            </c:ext>
          </c:extLst>
        </c:ser>
        <c:ser>
          <c:idx val="2"/>
          <c:order val="2"/>
          <c:tx>
            <c:strRef>
              <c:f>'POUSO ALEGRE'!$O$1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ALEGRE'!$O$2:$O$33</c:f>
              <c:numCache>
                <c:formatCode>0.00</c:formatCode>
                <c:ptCount val="32"/>
                <c:pt idx="0">
                  <c:v>1.4869888475836431E-2</c:v>
                </c:pt>
                <c:pt idx="1">
                  <c:v>2.6022304832713755E-2</c:v>
                </c:pt>
                <c:pt idx="2">
                  <c:v>2.9739776951672861E-2</c:v>
                </c:pt>
                <c:pt idx="3">
                  <c:v>3.3457249070631967E-2</c:v>
                </c:pt>
                <c:pt idx="4">
                  <c:v>5.204460966542751E-2</c:v>
                </c:pt>
                <c:pt idx="5">
                  <c:v>5.5762081784386616E-2</c:v>
                </c:pt>
                <c:pt idx="6">
                  <c:v>7.0631970260223054E-2</c:v>
                </c:pt>
                <c:pt idx="7">
                  <c:v>8.1784386617100371E-2</c:v>
                </c:pt>
                <c:pt idx="8">
                  <c:v>0.10037174721189591</c:v>
                </c:pt>
                <c:pt idx="9">
                  <c:v>0.10408921933085502</c:v>
                </c:pt>
                <c:pt idx="10">
                  <c:v>0.11524163568773234</c:v>
                </c:pt>
                <c:pt idx="11">
                  <c:v>0.11524163568773234</c:v>
                </c:pt>
                <c:pt idx="12">
                  <c:v>0.11895910780669144</c:v>
                </c:pt>
                <c:pt idx="13">
                  <c:v>0.13382899628252787</c:v>
                </c:pt>
                <c:pt idx="14">
                  <c:v>0.1449814126394052</c:v>
                </c:pt>
                <c:pt idx="15">
                  <c:v>0.15985130111524162</c:v>
                </c:pt>
                <c:pt idx="16">
                  <c:v>0.17472118959107805</c:v>
                </c:pt>
                <c:pt idx="17">
                  <c:v>0.18587360594795538</c:v>
                </c:pt>
                <c:pt idx="18">
                  <c:v>0.2007434944237918</c:v>
                </c:pt>
                <c:pt idx="19">
                  <c:v>0.21189591078066913</c:v>
                </c:pt>
                <c:pt idx="20">
                  <c:v>0.22676579925650556</c:v>
                </c:pt>
                <c:pt idx="21">
                  <c:v>0.24907063197026019</c:v>
                </c:pt>
                <c:pt idx="22">
                  <c:v>0.2602230483271375</c:v>
                </c:pt>
                <c:pt idx="23">
                  <c:v>0.28252788104089216</c:v>
                </c:pt>
                <c:pt idx="24">
                  <c:v>0.32713754646840143</c:v>
                </c:pt>
                <c:pt idx="25">
                  <c:v>0.39033457249070624</c:v>
                </c:pt>
                <c:pt idx="26">
                  <c:v>0.52044609665427499</c:v>
                </c:pt>
                <c:pt idx="27">
                  <c:v>0.52788104089219323</c:v>
                </c:pt>
                <c:pt idx="28">
                  <c:v>0.66542750929368022</c:v>
                </c:pt>
                <c:pt idx="29">
                  <c:v>0.69144981412639395</c:v>
                </c:pt>
                <c:pt idx="30">
                  <c:v>0.76579925650557612</c:v>
                </c:pt>
                <c:pt idx="31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D5-49E6-BE48-931AE6879ACA}"/>
            </c:ext>
          </c:extLst>
        </c:ser>
        <c:ser>
          <c:idx val="3"/>
          <c:order val="3"/>
          <c:tx>
            <c:strRef>
              <c:f>'POUSO ALEGRE'!$P$1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'POUSO ALEGRE'!$I$2:$I$33</c:f>
              <c:numCache>
                <c:formatCode>0.00</c:formatCode>
                <c:ptCount val="32"/>
                <c:pt idx="0">
                  <c:v>2.5474740236474383E-3</c:v>
                </c:pt>
                <c:pt idx="1">
                  <c:v>7.4614833393049085E-3</c:v>
                </c:pt>
                <c:pt idx="2">
                  <c:v>1.4063059835184522E-2</c:v>
                </c:pt>
                <c:pt idx="3">
                  <c:v>2.1438552490146902E-2</c:v>
                </c:pt>
                <c:pt idx="4">
                  <c:v>2.9906843425295593E-2</c:v>
                </c:pt>
                <c:pt idx="5">
                  <c:v>3.8376925833034758E-2</c:v>
                </c:pt>
                <c:pt idx="6">
                  <c:v>4.7511644571838055E-2</c:v>
                </c:pt>
                <c:pt idx="7">
                  <c:v>5.7122895019706202E-2</c:v>
                </c:pt>
                <c:pt idx="8">
                  <c:v>6.7151558581153709E-2</c:v>
                </c:pt>
                <c:pt idx="9">
                  <c:v>7.7828735220351136E-2</c:v>
                </c:pt>
                <c:pt idx="10">
                  <c:v>8.9039770691508424E-2</c:v>
                </c:pt>
                <c:pt idx="11">
                  <c:v>0.10039054102472232</c:v>
                </c:pt>
                <c:pt idx="12">
                  <c:v>0.11225546399140093</c:v>
                </c:pt>
                <c:pt idx="13">
                  <c:v>0.12448405589394482</c:v>
                </c:pt>
                <c:pt idx="14">
                  <c:v>0.13771766391974202</c:v>
                </c:pt>
                <c:pt idx="15">
                  <c:v>0.15558939448226441</c:v>
                </c:pt>
                <c:pt idx="16">
                  <c:v>0.17378359011107131</c:v>
                </c:pt>
                <c:pt idx="17">
                  <c:v>0.19264242207094232</c:v>
                </c:pt>
                <c:pt idx="18">
                  <c:v>0.2123163740594769</c:v>
                </c:pt>
                <c:pt idx="19">
                  <c:v>0.23276782515227518</c:v>
                </c:pt>
                <c:pt idx="20">
                  <c:v>0.25356503045503404</c:v>
                </c:pt>
                <c:pt idx="21">
                  <c:v>0.27479756359727697</c:v>
                </c:pt>
                <c:pt idx="22">
                  <c:v>0.29666965245431748</c:v>
                </c:pt>
                <c:pt idx="23">
                  <c:v>0.33215693299892513</c:v>
                </c:pt>
                <c:pt idx="24">
                  <c:v>0.37126657112146183</c:v>
                </c:pt>
                <c:pt idx="25">
                  <c:v>0.41470440702257255</c:v>
                </c:pt>
                <c:pt idx="26">
                  <c:v>0.46224650662844857</c:v>
                </c:pt>
                <c:pt idx="27">
                  <c:v>0.51611250447868151</c:v>
                </c:pt>
                <c:pt idx="28">
                  <c:v>0.5769115012540309</c:v>
                </c:pt>
                <c:pt idx="29">
                  <c:v>0.64435865281261206</c:v>
                </c:pt>
                <c:pt idx="30">
                  <c:v>0.72358831959871028</c:v>
                </c:pt>
                <c:pt idx="31">
                  <c:v>1.0000000000000002</c:v>
                </c:pt>
              </c:numCache>
            </c:numRef>
          </c:xVal>
          <c:yVal>
            <c:numRef>
              <c:f>'POUSO ALEGRE'!$P$2:$P$33</c:f>
              <c:numCache>
                <c:formatCode>0.00</c:formatCode>
                <c:ptCount val="32"/>
                <c:pt idx="0">
                  <c:v>8.771929824561403E-3</c:v>
                </c:pt>
                <c:pt idx="1">
                  <c:v>8.771929824561403E-3</c:v>
                </c:pt>
                <c:pt idx="2">
                  <c:v>1.3157894736842105E-2</c:v>
                </c:pt>
                <c:pt idx="3">
                  <c:v>2.1929824561403508E-2</c:v>
                </c:pt>
                <c:pt idx="4">
                  <c:v>3.0701754385964911E-2</c:v>
                </c:pt>
                <c:pt idx="5">
                  <c:v>3.5087719298245612E-2</c:v>
                </c:pt>
                <c:pt idx="6">
                  <c:v>5.2631578947368418E-2</c:v>
                </c:pt>
                <c:pt idx="7">
                  <c:v>7.0175438596491224E-2</c:v>
                </c:pt>
                <c:pt idx="8">
                  <c:v>8.3333333333333329E-2</c:v>
                </c:pt>
                <c:pt idx="9">
                  <c:v>8.771929824561403E-2</c:v>
                </c:pt>
                <c:pt idx="10">
                  <c:v>0.11403508771929824</c:v>
                </c:pt>
                <c:pt idx="11">
                  <c:v>0.12719298245614036</c:v>
                </c:pt>
                <c:pt idx="12">
                  <c:v>0.14035087719298245</c:v>
                </c:pt>
                <c:pt idx="13">
                  <c:v>0.14912280701754385</c:v>
                </c:pt>
                <c:pt idx="14">
                  <c:v>0.15789473684210525</c:v>
                </c:pt>
                <c:pt idx="15">
                  <c:v>0.17543859649122806</c:v>
                </c:pt>
                <c:pt idx="16">
                  <c:v>0.17543859649122806</c:v>
                </c:pt>
                <c:pt idx="17">
                  <c:v>0.18421052631578946</c:v>
                </c:pt>
                <c:pt idx="18">
                  <c:v>0.20175438596491227</c:v>
                </c:pt>
                <c:pt idx="19">
                  <c:v>0.20614035087719296</c:v>
                </c:pt>
                <c:pt idx="20">
                  <c:v>0.22807017543859648</c:v>
                </c:pt>
                <c:pt idx="21">
                  <c:v>0.24122807017543857</c:v>
                </c:pt>
                <c:pt idx="22">
                  <c:v>0.26315789473684209</c:v>
                </c:pt>
                <c:pt idx="23">
                  <c:v>0.2807017543859649</c:v>
                </c:pt>
                <c:pt idx="24">
                  <c:v>0.34649122807017541</c:v>
                </c:pt>
                <c:pt idx="25">
                  <c:v>0.39912280701754382</c:v>
                </c:pt>
                <c:pt idx="26">
                  <c:v>0.47368421052631576</c:v>
                </c:pt>
                <c:pt idx="27">
                  <c:v>0.50877192982456143</c:v>
                </c:pt>
                <c:pt idx="28">
                  <c:v>0.57017543859649122</c:v>
                </c:pt>
                <c:pt idx="29">
                  <c:v>0.63157894736842102</c:v>
                </c:pt>
                <c:pt idx="30">
                  <c:v>0.71052631578947367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D5-49E6-BE48-931AE6879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00304"/>
        <c:axId val="2055207504"/>
      </c:scatterChart>
      <c:valAx>
        <c:axId val="20552003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7504"/>
        <c:crosses val="autoZero"/>
        <c:crossBetween val="midCat"/>
      </c:valAx>
      <c:valAx>
        <c:axId val="2055207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LOURENÇO'!$J$1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LOURENÇO'!$J$2:$J$25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04-4B4C-B3A8-33965F0E9AF6}"/>
            </c:ext>
          </c:extLst>
        </c:ser>
        <c:ser>
          <c:idx val="1"/>
          <c:order val="1"/>
          <c:tx>
            <c:strRef>
              <c:f>'SÃO LOURENÇO'!$K$1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LOURENÇO'!$K$2:$K$25</c:f>
              <c:numCache>
                <c:formatCode>0.00</c:formatCode>
                <c:ptCount val="24"/>
                <c:pt idx="0">
                  <c:v>2.4096385542168677E-3</c:v>
                </c:pt>
                <c:pt idx="1">
                  <c:v>9.6385542168674707E-3</c:v>
                </c:pt>
                <c:pt idx="2">
                  <c:v>2.168674698795181E-2</c:v>
                </c:pt>
                <c:pt idx="3">
                  <c:v>2.8915662650602414E-2</c:v>
                </c:pt>
                <c:pt idx="4">
                  <c:v>3.8554216867469883E-2</c:v>
                </c:pt>
                <c:pt idx="5">
                  <c:v>6.0240963855421686E-2</c:v>
                </c:pt>
                <c:pt idx="6">
                  <c:v>7.2289156626506021E-2</c:v>
                </c:pt>
                <c:pt idx="7">
                  <c:v>9.1566265060240959E-2</c:v>
                </c:pt>
                <c:pt idx="8">
                  <c:v>9.3975903614457831E-2</c:v>
                </c:pt>
                <c:pt idx="9">
                  <c:v>0.11084337349397591</c:v>
                </c:pt>
                <c:pt idx="10">
                  <c:v>0.11807228915662651</c:v>
                </c:pt>
                <c:pt idx="11">
                  <c:v>0.15903614457831328</c:v>
                </c:pt>
                <c:pt idx="12">
                  <c:v>0.17831325301204823</c:v>
                </c:pt>
                <c:pt idx="13">
                  <c:v>0.21445783132530125</c:v>
                </c:pt>
                <c:pt idx="14">
                  <c:v>0.24337349397590366</c:v>
                </c:pt>
                <c:pt idx="15">
                  <c:v>0.30361445783132535</c:v>
                </c:pt>
                <c:pt idx="16">
                  <c:v>0.3807228915662651</c:v>
                </c:pt>
                <c:pt idx="17">
                  <c:v>0.50843373493975907</c:v>
                </c:pt>
                <c:pt idx="18">
                  <c:v>0.54939759036144586</c:v>
                </c:pt>
                <c:pt idx="19">
                  <c:v>0.59036144578313265</c:v>
                </c:pt>
                <c:pt idx="20">
                  <c:v>0.64337349397590371</c:v>
                </c:pt>
                <c:pt idx="21">
                  <c:v>0.68192771084337356</c:v>
                </c:pt>
                <c:pt idx="22" formatCode="0.000">
                  <c:v>0.74216867469879522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04-4B4C-B3A8-33965F0E9AF6}"/>
            </c:ext>
          </c:extLst>
        </c:ser>
        <c:ser>
          <c:idx val="2"/>
          <c:order val="2"/>
          <c:tx>
            <c:strRef>
              <c:f>'SÃO LOURENÇO'!$L$1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LOURENÇO'!$L$2:$L$25</c:f>
              <c:numCache>
                <c:formatCode>0.00</c:formatCode>
                <c:ptCount val="24"/>
                <c:pt idx="0">
                  <c:v>3.4129692832764505E-3</c:v>
                </c:pt>
                <c:pt idx="1">
                  <c:v>6.8259385665529011E-3</c:v>
                </c:pt>
                <c:pt idx="2">
                  <c:v>2.0477815699658702E-2</c:v>
                </c:pt>
                <c:pt idx="3">
                  <c:v>2.0477815699658702E-2</c:v>
                </c:pt>
                <c:pt idx="4">
                  <c:v>2.3890784982935152E-2</c:v>
                </c:pt>
                <c:pt idx="5">
                  <c:v>4.0955631399317405E-2</c:v>
                </c:pt>
                <c:pt idx="6">
                  <c:v>6.1433447098976107E-2</c:v>
                </c:pt>
                <c:pt idx="7">
                  <c:v>7.5085324232081904E-2</c:v>
                </c:pt>
                <c:pt idx="8">
                  <c:v>7.849829351535835E-2</c:v>
                </c:pt>
                <c:pt idx="9">
                  <c:v>9.8976109215017052E-2</c:v>
                </c:pt>
                <c:pt idx="10">
                  <c:v>0.12286689419795221</c:v>
                </c:pt>
                <c:pt idx="11">
                  <c:v>0.15699658703071673</c:v>
                </c:pt>
                <c:pt idx="12">
                  <c:v>0.17747440273037543</c:v>
                </c:pt>
                <c:pt idx="13">
                  <c:v>0.19453924914675769</c:v>
                </c:pt>
                <c:pt idx="14">
                  <c:v>0.25255972696245732</c:v>
                </c:pt>
                <c:pt idx="15">
                  <c:v>0.32764505119453924</c:v>
                </c:pt>
                <c:pt idx="16">
                  <c:v>0.38225255972696243</c:v>
                </c:pt>
                <c:pt idx="17">
                  <c:v>0.55290102389078499</c:v>
                </c:pt>
                <c:pt idx="18">
                  <c:v>0.58703071672354945</c:v>
                </c:pt>
                <c:pt idx="19">
                  <c:v>0.6348122866894198</c:v>
                </c:pt>
                <c:pt idx="20">
                  <c:v>0.70307167235494883</c:v>
                </c:pt>
                <c:pt idx="21">
                  <c:v>0.726962457337884</c:v>
                </c:pt>
                <c:pt idx="22" formatCode="0.000">
                  <c:v>0.77133105802047786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04-4B4C-B3A8-33965F0E9AF6}"/>
            </c:ext>
          </c:extLst>
        </c:ser>
        <c:ser>
          <c:idx val="3"/>
          <c:order val="3"/>
          <c:tx>
            <c:strRef>
              <c:f>'SÃO LOURENÇO'!$M$1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LOURENÇO'!$M$2:$M$25</c:f>
              <c:numCache>
                <c:formatCode>0.00</c:formatCode>
                <c:ptCount val="24"/>
                <c:pt idx="0">
                  <c:v>1.6194331983805668E-2</c:v>
                </c:pt>
                <c:pt idx="1">
                  <c:v>3.2388663967611336E-2</c:v>
                </c:pt>
                <c:pt idx="2">
                  <c:v>4.048582995951417E-2</c:v>
                </c:pt>
                <c:pt idx="3">
                  <c:v>4.048582995951417E-2</c:v>
                </c:pt>
                <c:pt idx="4">
                  <c:v>4.8582995951417005E-2</c:v>
                </c:pt>
                <c:pt idx="5">
                  <c:v>6.4777327935222673E-2</c:v>
                </c:pt>
                <c:pt idx="6">
                  <c:v>9.3117408906882596E-2</c:v>
                </c:pt>
                <c:pt idx="7">
                  <c:v>0.13360323886639677</c:v>
                </c:pt>
                <c:pt idx="8">
                  <c:v>0.14979757085020245</c:v>
                </c:pt>
                <c:pt idx="9">
                  <c:v>0.16599190283400811</c:v>
                </c:pt>
                <c:pt idx="10">
                  <c:v>0.19028340080971662</c:v>
                </c:pt>
                <c:pt idx="11">
                  <c:v>0.2105263157894737</c:v>
                </c:pt>
                <c:pt idx="12">
                  <c:v>0.23481781376518221</c:v>
                </c:pt>
                <c:pt idx="13">
                  <c:v>0.26315789473684215</c:v>
                </c:pt>
                <c:pt idx="14">
                  <c:v>0.28744939271255066</c:v>
                </c:pt>
                <c:pt idx="15">
                  <c:v>0.33603238866396767</c:v>
                </c:pt>
                <c:pt idx="16">
                  <c:v>0.37651821862348184</c:v>
                </c:pt>
                <c:pt idx="17">
                  <c:v>0.58704453441295557</c:v>
                </c:pt>
                <c:pt idx="18">
                  <c:v>0.63157894736842113</c:v>
                </c:pt>
                <c:pt idx="19">
                  <c:v>0.68016194331983815</c:v>
                </c:pt>
                <c:pt idx="20">
                  <c:v>0.79757085020242924</c:v>
                </c:pt>
                <c:pt idx="21">
                  <c:v>0.80566801619433204</c:v>
                </c:pt>
                <c:pt idx="22" formatCode="0.000">
                  <c:v>0.88663967611336036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04-4B4C-B3A8-33965F0E9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200848"/>
        <c:axId val="668190288"/>
      </c:scatterChart>
      <c:valAx>
        <c:axId val="6682008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190288"/>
        <c:crosses val="autoZero"/>
        <c:crossBetween val="midCat"/>
      </c:valAx>
      <c:valAx>
        <c:axId val="6681902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20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LOURENÇO'!$J$1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LOURENÇO'!$J$2:$J$25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64-41DB-89BC-57E8E9092B29}"/>
            </c:ext>
          </c:extLst>
        </c:ser>
        <c:ser>
          <c:idx val="1"/>
          <c:order val="1"/>
          <c:tx>
            <c:strRef>
              <c:f>'SÃO LOURENÇO'!$N$1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LOURENÇO'!$N$2:$N$25</c:f>
              <c:numCache>
                <c:formatCode>0.00</c:formatCode>
                <c:ptCount val="24"/>
                <c:pt idx="0">
                  <c:v>1.0615711252653927E-2</c:v>
                </c:pt>
                <c:pt idx="1">
                  <c:v>2.1231422505307854E-2</c:v>
                </c:pt>
                <c:pt idx="2">
                  <c:v>3.1847133757961783E-2</c:v>
                </c:pt>
                <c:pt idx="3">
                  <c:v>3.1847133757961783E-2</c:v>
                </c:pt>
                <c:pt idx="4">
                  <c:v>4.2462845010615709E-2</c:v>
                </c:pt>
                <c:pt idx="5">
                  <c:v>6.1571125265392782E-2</c:v>
                </c:pt>
                <c:pt idx="6">
                  <c:v>8.2802547770700632E-2</c:v>
                </c:pt>
                <c:pt idx="7">
                  <c:v>9.5541401273885343E-2</c:v>
                </c:pt>
                <c:pt idx="8">
                  <c:v>0.10828025477707005</c:v>
                </c:pt>
                <c:pt idx="9">
                  <c:v>0.1316348195329087</c:v>
                </c:pt>
                <c:pt idx="10">
                  <c:v>0.14225053078556263</c:v>
                </c:pt>
                <c:pt idx="11">
                  <c:v>0.18046709129511676</c:v>
                </c:pt>
                <c:pt idx="12">
                  <c:v>0.19957537154989383</c:v>
                </c:pt>
                <c:pt idx="13">
                  <c:v>0.22505307855626325</c:v>
                </c:pt>
                <c:pt idx="14">
                  <c:v>0.24840764331210188</c:v>
                </c:pt>
                <c:pt idx="15">
                  <c:v>0.30997876857749468</c:v>
                </c:pt>
                <c:pt idx="16">
                  <c:v>0.39490445859872608</c:v>
                </c:pt>
                <c:pt idx="17">
                  <c:v>0.52653927813163481</c:v>
                </c:pt>
                <c:pt idx="18">
                  <c:v>0.56900212314225052</c:v>
                </c:pt>
                <c:pt idx="19">
                  <c:v>0.613588110403397</c:v>
                </c:pt>
                <c:pt idx="20">
                  <c:v>0.6709129511677282</c:v>
                </c:pt>
                <c:pt idx="21">
                  <c:v>0.69639065817409762</c:v>
                </c:pt>
                <c:pt idx="22" formatCode="0.000">
                  <c:v>0.77707006369426745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64-41DB-89BC-57E8E9092B29}"/>
            </c:ext>
          </c:extLst>
        </c:ser>
        <c:ser>
          <c:idx val="2"/>
          <c:order val="2"/>
          <c:tx>
            <c:strRef>
              <c:f>'SÃO LOURENÇO'!$O$1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LOURENÇO'!$O$2:$O$25</c:f>
              <c:numCache>
                <c:formatCode>0.00</c:formatCode>
                <c:ptCount val="24"/>
                <c:pt idx="0">
                  <c:v>1.3123359580052493E-2</c:v>
                </c:pt>
                <c:pt idx="1">
                  <c:v>2.8871391076115485E-2</c:v>
                </c:pt>
                <c:pt idx="2">
                  <c:v>4.1994750656167978E-2</c:v>
                </c:pt>
                <c:pt idx="3">
                  <c:v>4.7244094488188976E-2</c:v>
                </c:pt>
                <c:pt idx="4">
                  <c:v>6.2992125984251968E-2</c:v>
                </c:pt>
                <c:pt idx="5">
                  <c:v>9.711286089238845E-2</c:v>
                </c:pt>
                <c:pt idx="6">
                  <c:v>0.11548556430446194</c:v>
                </c:pt>
                <c:pt idx="7">
                  <c:v>0.14435695538057741</c:v>
                </c:pt>
                <c:pt idx="8">
                  <c:v>0.15748031496062992</c:v>
                </c:pt>
                <c:pt idx="9">
                  <c:v>0.17322834645669291</c:v>
                </c:pt>
                <c:pt idx="10">
                  <c:v>0.19160104986876642</c:v>
                </c:pt>
                <c:pt idx="11">
                  <c:v>0.21522309711286092</c:v>
                </c:pt>
                <c:pt idx="12">
                  <c:v>0.24409448818897639</c:v>
                </c:pt>
                <c:pt idx="13">
                  <c:v>0.27559055118110237</c:v>
                </c:pt>
                <c:pt idx="14">
                  <c:v>0.30971128608923887</c:v>
                </c:pt>
                <c:pt idx="15">
                  <c:v>0.34645669291338588</c:v>
                </c:pt>
                <c:pt idx="16">
                  <c:v>0.43832020997375332</c:v>
                </c:pt>
                <c:pt idx="17">
                  <c:v>0.55643044619422577</c:v>
                </c:pt>
                <c:pt idx="18">
                  <c:v>0.59317585301837272</c:v>
                </c:pt>
                <c:pt idx="19">
                  <c:v>0.64566929133858264</c:v>
                </c:pt>
                <c:pt idx="20">
                  <c:v>0.71916010498687655</c:v>
                </c:pt>
                <c:pt idx="21">
                  <c:v>0.75853018372703407</c:v>
                </c:pt>
                <c:pt idx="22" formatCode="0.000">
                  <c:v>0.83202099737532809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64-41DB-89BC-57E8E9092B29}"/>
            </c:ext>
          </c:extLst>
        </c:ser>
        <c:ser>
          <c:idx val="3"/>
          <c:order val="3"/>
          <c:tx>
            <c:strRef>
              <c:f>'SÃO LOURENÇO'!$P$1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LOURENÇO'!$I$2:$I$25</c:f>
              <c:numCache>
                <c:formatCode>0.00</c:formatCode>
                <c:ptCount val="24"/>
                <c:pt idx="0">
                  <c:v>7.007943845878069E-3</c:v>
                </c:pt>
                <c:pt idx="1">
                  <c:v>1.4363077155310679E-2</c:v>
                </c:pt>
                <c:pt idx="2">
                  <c:v>2.2888088004981415E-2</c:v>
                </c:pt>
                <c:pt idx="3">
                  <c:v>3.2915070664377231E-2</c:v>
                </c:pt>
                <c:pt idx="4">
                  <c:v>4.3591146668679359E-2</c:v>
                </c:pt>
                <c:pt idx="5">
                  <c:v>5.4882351831235729E-2</c:v>
                </c:pt>
                <c:pt idx="6">
                  <c:v>6.9566201860482665E-2</c:v>
                </c:pt>
                <c:pt idx="7">
                  <c:v>8.6340736268090648E-2</c:v>
                </c:pt>
                <c:pt idx="8">
                  <c:v>0.1043568503877578</c:v>
                </c:pt>
                <c:pt idx="9">
                  <c:v>0.12647885729380909</c:v>
                </c:pt>
                <c:pt idx="10">
                  <c:v>0.14892918467083044</c:v>
                </c:pt>
                <c:pt idx="11">
                  <c:v>0.1724248542370323</c:v>
                </c:pt>
                <c:pt idx="12">
                  <c:v>0.20507575900522673</c:v>
                </c:pt>
                <c:pt idx="13">
                  <c:v>0.24361001566126386</c:v>
                </c:pt>
                <c:pt idx="14">
                  <c:v>0.29542049549974531</c:v>
                </c:pt>
                <c:pt idx="15">
                  <c:v>0.35214446100722685</c:v>
                </c:pt>
                <c:pt idx="16">
                  <c:v>0.41067984980281907</c:v>
                </c:pt>
                <c:pt idx="17">
                  <c:v>0.4692831669717154</c:v>
                </c:pt>
                <c:pt idx="18">
                  <c:v>0.52907523067343432</c:v>
                </c:pt>
                <c:pt idx="19">
                  <c:v>0.59111270449270714</c:v>
                </c:pt>
                <c:pt idx="20">
                  <c:v>0.663754552144461</c:v>
                </c:pt>
                <c:pt idx="21">
                  <c:v>0.7429854520067174</c:v>
                </c:pt>
                <c:pt idx="22" formatCode="0.000">
                  <c:v>0.82437119082212207</c:v>
                </c:pt>
                <c:pt idx="23">
                  <c:v>1</c:v>
                </c:pt>
              </c:numCache>
            </c:numRef>
          </c:xVal>
          <c:yVal>
            <c:numRef>
              <c:f>'SÃO LOURENÇO'!$P$2:$P$25</c:f>
              <c:numCache>
                <c:formatCode>0.00</c:formatCode>
                <c:ptCount val="24"/>
                <c:pt idx="0">
                  <c:v>1.5748031496062992E-2</c:v>
                </c:pt>
                <c:pt idx="1">
                  <c:v>1.5748031496062992E-2</c:v>
                </c:pt>
                <c:pt idx="2">
                  <c:v>1.968503937007874E-2</c:v>
                </c:pt>
                <c:pt idx="3">
                  <c:v>2.3622047244094488E-2</c:v>
                </c:pt>
                <c:pt idx="4">
                  <c:v>3.5433070866141732E-2</c:v>
                </c:pt>
                <c:pt idx="5">
                  <c:v>5.5118110236220472E-2</c:v>
                </c:pt>
                <c:pt idx="6">
                  <c:v>6.2992125984251968E-2</c:v>
                </c:pt>
                <c:pt idx="7">
                  <c:v>6.6929133858267709E-2</c:v>
                </c:pt>
                <c:pt idx="8">
                  <c:v>9.4488188976377951E-2</c:v>
                </c:pt>
                <c:pt idx="9">
                  <c:v>0.11023622047244094</c:v>
                </c:pt>
                <c:pt idx="10">
                  <c:v>0.12598425196850394</c:v>
                </c:pt>
                <c:pt idx="11">
                  <c:v>0.14566929133858267</c:v>
                </c:pt>
                <c:pt idx="12">
                  <c:v>0.17322834645669291</c:v>
                </c:pt>
                <c:pt idx="13">
                  <c:v>0.20472440944881889</c:v>
                </c:pt>
                <c:pt idx="14">
                  <c:v>0.2874015748031496</c:v>
                </c:pt>
                <c:pt idx="15">
                  <c:v>0.36614173228346458</c:v>
                </c:pt>
                <c:pt idx="16">
                  <c:v>0.42913385826771655</c:v>
                </c:pt>
                <c:pt idx="17">
                  <c:v>0.54330708661417326</c:v>
                </c:pt>
                <c:pt idx="18">
                  <c:v>0.58661417322834652</c:v>
                </c:pt>
                <c:pt idx="19">
                  <c:v>0.63779527559055127</c:v>
                </c:pt>
                <c:pt idx="20">
                  <c:v>0.65748031496062997</c:v>
                </c:pt>
                <c:pt idx="21">
                  <c:v>0.72047244094488194</c:v>
                </c:pt>
                <c:pt idx="22" formatCode="0.000">
                  <c:v>0.77952755905511817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C64-41DB-89BC-57E8E9092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667568"/>
        <c:axId val="735670448"/>
      </c:scatterChart>
      <c:valAx>
        <c:axId val="7356675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670448"/>
        <c:crosses val="autoZero"/>
        <c:crossBetween val="midCat"/>
      </c:valAx>
      <c:valAx>
        <c:axId val="7356704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667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SEBASTIÃO DO PARAÍSO'!$J$1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PARAÍSO'!$J$2:$J$7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DF-4BB1-B045-93124CA6C0E5}"/>
            </c:ext>
          </c:extLst>
        </c:ser>
        <c:ser>
          <c:idx val="1"/>
          <c:order val="1"/>
          <c:tx>
            <c:strRef>
              <c:f>'SÃO SEBASTIÃO DO PARAÍSO'!$K$1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PARAÍSO'!$K$2:$K$7</c:f>
              <c:numCache>
                <c:formatCode>0.00</c:formatCode>
                <c:ptCount val="6"/>
                <c:pt idx="0">
                  <c:v>3.2608695652173912E-2</c:v>
                </c:pt>
                <c:pt idx="1">
                  <c:v>8.6956521739130432E-2</c:v>
                </c:pt>
                <c:pt idx="2">
                  <c:v>9.7826086956521729E-2</c:v>
                </c:pt>
                <c:pt idx="3">
                  <c:v>9.7826086956521729E-2</c:v>
                </c:pt>
                <c:pt idx="4">
                  <c:v>0.36956521739130432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DF-4BB1-B045-93124CA6C0E5}"/>
            </c:ext>
          </c:extLst>
        </c:ser>
        <c:ser>
          <c:idx val="2"/>
          <c:order val="2"/>
          <c:tx>
            <c:strRef>
              <c:f>'SÃO SEBASTIÃO DO PARAÍSO'!$L$1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PARAÍSO'!$L$2:$L$7</c:f>
              <c:numCache>
                <c:formatCode>0.00</c:formatCode>
                <c:ptCount val="6"/>
                <c:pt idx="0">
                  <c:v>0</c:v>
                </c:pt>
                <c:pt idx="1">
                  <c:v>4.7619047619047616E-2</c:v>
                </c:pt>
                <c:pt idx="2">
                  <c:v>7.1428571428571425E-2</c:v>
                </c:pt>
                <c:pt idx="3">
                  <c:v>9.5238095238095233E-2</c:v>
                </c:pt>
                <c:pt idx="4">
                  <c:v>0.14285714285714285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DF-4BB1-B045-93124CA6C0E5}"/>
            </c:ext>
          </c:extLst>
        </c:ser>
        <c:ser>
          <c:idx val="3"/>
          <c:order val="3"/>
          <c:tx>
            <c:strRef>
              <c:f>'SÃO SEBASTIÃO DO PARAÍSO'!$M$1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PARAÍSO'!$M$2:$M$7</c:f>
              <c:numCache>
                <c:formatCode>0.00</c:formatCode>
                <c:ptCount val="6"/>
                <c:pt idx="0">
                  <c:v>1.0526315789473684E-2</c:v>
                </c:pt>
                <c:pt idx="1">
                  <c:v>1.0526315789473684E-2</c:v>
                </c:pt>
                <c:pt idx="2">
                  <c:v>4.2105263157894736E-2</c:v>
                </c:pt>
                <c:pt idx="3">
                  <c:v>6.3157894736842107E-2</c:v>
                </c:pt>
                <c:pt idx="4">
                  <c:v>0.4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DF-4BB1-B045-93124CA6C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489936"/>
        <c:axId val="650490896"/>
      </c:scatterChart>
      <c:valAx>
        <c:axId val="6504899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490896"/>
        <c:crosses val="autoZero"/>
        <c:crossBetween val="midCat"/>
      </c:valAx>
      <c:valAx>
        <c:axId val="650490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489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SEBASTIÃO DO PARAÍSO'!$J$1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PARAÍSO'!$J$2:$J$7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31-44CB-8D2C-BA2D2DF4B2C5}"/>
            </c:ext>
          </c:extLst>
        </c:ser>
        <c:ser>
          <c:idx val="1"/>
          <c:order val="1"/>
          <c:tx>
            <c:strRef>
              <c:f>'SÃO SEBASTIÃO DO PARAÍSO'!$N$1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PARAÍSO'!$N$2:$N$7</c:f>
              <c:numCache>
                <c:formatCode>0.00</c:formatCode>
                <c:ptCount val="6"/>
                <c:pt idx="0">
                  <c:v>8.2568807339449546E-2</c:v>
                </c:pt>
                <c:pt idx="1">
                  <c:v>0.16513761467889909</c:v>
                </c:pt>
                <c:pt idx="2">
                  <c:v>0.22018348623853212</c:v>
                </c:pt>
                <c:pt idx="3">
                  <c:v>0.29357798165137616</c:v>
                </c:pt>
                <c:pt idx="4">
                  <c:v>0.43119266055045874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31-44CB-8D2C-BA2D2DF4B2C5}"/>
            </c:ext>
          </c:extLst>
        </c:ser>
        <c:ser>
          <c:idx val="2"/>
          <c:order val="2"/>
          <c:tx>
            <c:strRef>
              <c:f>'SÃO SEBASTIÃO DO PARAÍSO'!$O$1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PARAÍSO'!$O$2:$O$7</c:f>
              <c:numCache>
                <c:formatCode>0.00</c:formatCode>
                <c:ptCount val="6"/>
                <c:pt idx="0">
                  <c:v>8.0536912751677847E-2</c:v>
                </c:pt>
                <c:pt idx="1">
                  <c:v>0.10738255033557047</c:v>
                </c:pt>
                <c:pt idx="2">
                  <c:v>0.22147651006711411</c:v>
                </c:pt>
                <c:pt idx="3">
                  <c:v>0.3087248322147651</c:v>
                </c:pt>
                <c:pt idx="4">
                  <c:v>0.55033557046979864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31-44CB-8D2C-BA2D2DF4B2C5}"/>
            </c:ext>
          </c:extLst>
        </c:ser>
        <c:ser>
          <c:idx val="3"/>
          <c:order val="3"/>
          <c:tx>
            <c:strRef>
              <c:f>'SÃO SEBASTIÃO DO PARAÍSO'!$P$1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SEBASTIÃO DO PARAÍSO'!$I$2:$I$7</c:f>
              <c:numCache>
                <c:formatCode>0.00</c:formatCode>
                <c:ptCount val="6"/>
                <c:pt idx="0">
                  <c:v>5.507077146418822E-2</c:v>
                </c:pt>
                <c:pt idx="1">
                  <c:v>0.11578274659555332</c:v>
                </c:pt>
                <c:pt idx="2">
                  <c:v>0.18308270083474038</c:v>
                </c:pt>
                <c:pt idx="3">
                  <c:v>0.26294320925315201</c:v>
                </c:pt>
                <c:pt idx="4">
                  <c:v>0.4326053682167485</c:v>
                </c:pt>
                <c:pt idx="5">
                  <c:v>1</c:v>
                </c:pt>
              </c:numCache>
            </c:numRef>
          </c:xVal>
          <c:yVal>
            <c:numRef>
              <c:f>'SÃO SEBASTIÃO DO PARAÍSO'!$P$2:$P$7</c:f>
              <c:numCache>
                <c:formatCode>0.00</c:formatCode>
                <c:ptCount val="6"/>
                <c:pt idx="0">
                  <c:v>5.2631578947368418E-2</c:v>
                </c:pt>
                <c:pt idx="1">
                  <c:v>0.10526315789473684</c:v>
                </c:pt>
                <c:pt idx="2">
                  <c:v>0.12280701754385964</c:v>
                </c:pt>
                <c:pt idx="3">
                  <c:v>0.21052631578947367</c:v>
                </c:pt>
                <c:pt idx="4">
                  <c:v>0.47368421052631576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31-44CB-8D2C-BA2D2DF4B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01456"/>
        <c:axId val="650501936"/>
      </c:scatterChart>
      <c:valAx>
        <c:axId val="650501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01936"/>
        <c:crosses val="autoZero"/>
        <c:crossBetween val="midCat"/>
      </c:valAx>
      <c:valAx>
        <c:axId val="6505019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0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'TRÊS CORAÇÕES'!$J$1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CORAÇÕES'!$J$2:$J$7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DF-4B46-895C-C95C9DEA3AED}"/>
            </c:ext>
          </c:extLst>
        </c:ser>
        <c:ser>
          <c:idx val="1"/>
          <c:order val="1"/>
          <c:tx>
            <c:strRef>
              <c:f>'TRÊS CORAÇÕES'!$K$1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CORAÇÕES'!$K$2:$K$7</c:f>
              <c:numCache>
                <c:formatCode>0.00</c:formatCode>
                <c:ptCount val="6"/>
                <c:pt idx="0">
                  <c:v>2.7272727272727271E-2</c:v>
                </c:pt>
                <c:pt idx="1">
                  <c:v>7.2727272727272724E-2</c:v>
                </c:pt>
                <c:pt idx="2">
                  <c:v>0.12727272727272726</c:v>
                </c:pt>
                <c:pt idx="3">
                  <c:v>0.19999999999999998</c:v>
                </c:pt>
                <c:pt idx="4">
                  <c:v>0.34545454545454546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DF-4B46-895C-C95C9DEA3AED}"/>
            </c:ext>
          </c:extLst>
        </c:ser>
        <c:ser>
          <c:idx val="2"/>
          <c:order val="2"/>
          <c:tx>
            <c:strRef>
              <c:f>'TRÊS CORAÇÕES'!$L$1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CORAÇÕES'!$L$2:$L$7</c:f>
              <c:numCache>
                <c:formatCode>0.00</c:formatCode>
                <c:ptCount val="6"/>
                <c:pt idx="0">
                  <c:v>3.125E-2</c:v>
                </c:pt>
                <c:pt idx="1">
                  <c:v>6.25E-2</c:v>
                </c:pt>
                <c:pt idx="2">
                  <c:v>0.140625</c:v>
                </c:pt>
                <c:pt idx="3">
                  <c:v>0.25</c:v>
                </c:pt>
                <c:pt idx="4">
                  <c:v>0.390625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DF-4B46-895C-C95C9DEA3AED}"/>
            </c:ext>
          </c:extLst>
        </c:ser>
        <c:ser>
          <c:idx val="3"/>
          <c:order val="3"/>
          <c:tx>
            <c:strRef>
              <c:f>'TRÊS CORAÇÕES'!$M$1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CORAÇÕES'!$M$2:$M$7</c:f>
              <c:numCache>
                <c:formatCode>0.00</c:formatCode>
                <c:ptCount val="6"/>
                <c:pt idx="0">
                  <c:v>1.9230769230769232E-2</c:v>
                </c:pt>
                <c:pt idx="1">
                  <c:v>3.8461538461538464E-2</c:v>
                </c:pt>
                <c:pt idx="2">
                  <c:v>5.7692307692307696E-2</c:v>
                </c:pt>
                <c:pt idx="3">
                  <c:v>0.28846153846153849</c:v>
                </c:pt>
                <c:pt idx="4">
                  <c:v>0.42307692307692313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DF-4B46-895C-C95C9DEA3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204688"/>
        <c:axId val="668203728"/>
      </c:scatterChart>
      <c:valAx>
        <c:axId val="6682046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203728"/>
        <c:crosses val="autoZero"/>
        <c:crossBetween val="midCat"/>
      </c:valAx>
      <c:valAx>
        <c:axId val="6682037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204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'TRÊS CORAÇÕES'!$J$1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CORAÇÕES'!$J$2:$J$7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AF-4F47-A776-0BF422E45DCC}"/>
            </c:ext>
          </c:extLst>
        </c:ser>
        <c:ser>
          <c:idx val="1"/>
          <c:order val="1"/>
          <c:tx>
            <c:strRef>
              <c:f>'TRÊS CORAÇÕES'!$N$1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CORAÇÕES'!$N$2:$N$7</c:f>
              <c:numCache>
                <c:formatCode>0.00</c:formatCode>
                <c:ptCount val="6"/>
                <c:pt idx="0">
                  <c:v>2.6785714285714284E-2</c:v>
                </c:pt>
                <c:pt idx="1">
                  <c:v>0.10714285714285715</c:v>
                </c:pt>
                <c:pt idx="2">
                  <c:v>0.23214285714285715</c:v>
                </c:pt>
                <c:pt idx="3">
                  <c:v>0.3035714285714286</c:v>
                </c:pt>
                <c:pt idx="4">
                  <c:v>0.3928571428571429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AF-4F47-A776-0BF422E45DCC}"/>
            </c:ext>
          </c:extLst>
        </c:ser>
        <c:ser>
          <c:idx val="2"/>
          <c:order val="2"/>
          <c:tx>
            <c:strRef>
              <c:f>'TRÊS CORAÇÕES'!$O$1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CORAÇÕES'!$O$2:$O$7</c:f>
              <c:numCache>
                <c:formatCode>0.00</c:formatCode>
                <c:ptCount val="6"/>
                <c:pt idx="0">
                  <c:v>5.9829059829059832E-2</c:v>
                </c:pt>
                <c:pt idx="1">
                  <c:v>0.12820512820512822</c:v>
                </c:pt>
                <c:pt idx="2">
                  <c:v>0.17948717948717952</c:v>
                </c:pt>
                <c:pt idx="3">
                  <c:v>0.28205128205128205</c:v>
                </c:pt>
                <c:pt idx="4">
                  <c:v>0.39316239316239315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AF-4F47-A776-0BF422E45DCC}"/>
            </c:ext>
          </c:extLst>
        </c:ser>
        <c:ser>
          <c:idx val="3"/>
          <c:order val="3"/>
          <c:tx>
            <c:strRef>
              <c:f>'TRÊS CORAÇÕES'!$P$1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'TRÊS CORAÇÕES'!$I$2:$I$7</c:f>
              <c:numCache>
                <c:formatCode>0.00</c:formatCode>
                <c:ptCount val="6"/>
                <c:pt idx="0">
                  <c:v>4.0087123372919149E-2</c:v>
                </c:pt>
                <c:pt idx="1">
                  <c:v>9.3064949881835224E-2</c:v>
                </c:pt>
                <c:pt idx="2">
                  <c:v>0.18339618168482974</c:v>
                </c:pt>
                <c:pt idx="3">
                  <c:v>0.27829842718604841</c:v>
                </c:pt>
                <c:pt idx="4">
                  <c:v>0.40316785325342086</c:v>
                </c:pt>
                <c:pt idx="5">
                  <c:v>1</c:v>
                </c:pt>
              </c:numCache>
            </c:numRef>
          </c:xVal>
          <c:yVal>
            <c:numRef>
              <c:f>'TRÊS CORAÇÕES'!$P$2:$P$7</c:f>
              <c:numCache>
                <c:formatCode>0.00</c:formatCode>
                <c:ptCount val="6"/>
                <c:pt idx="0">
                  <c:v>3.125E-2</c:v>
                </c:pt>
                <c:pt idx="1">
                  <c:v>0.125</c:v>
                </c:pt>
                <c:pt idx="2">
                  <c:v>0.203125</c:v>
                </c:pt>
                <c:pt idx="3">
                  <c:v>0.375</c:v>
                </c:pt>
                <c:pt idx="4">
                  <c:v>0.53125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AF-4F47-A776-0BF422E45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58064"/>
        <c:axId val="639358544"/>
      </c:scatterChart>
      <c:valAx>
        <c:axId val="6393580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58544"/>
        <c:crosses val="autoZero"/>
        <c:crossBetween val="midCat"/>
      </c:valAx>
      <c:valAx>
        <c:axId val="6393585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58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'TRÊS PONTAS'!$J$1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PONTAS'!$J$2:$J$6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E0-45FB-9D96-E848C0B1453A}"/>
            </c:ext>
          </c:extLst>
        </c:ser>
        <c:ser>
          <c:idx val="1"/>
          <c:order val="1"/>
          <c:tx>
            <c:strRef>
              <c:f>'TRÊS PONTAS'!$K$1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PONTAS'!$K$2:$K$6</c:f>
              <c:numCache>
                <c:formatCode>0.00</c:formatCode>
                <c:ptCount val="5"/>
                <c:pt idx="0">
                  <c:v>1.4285714285714285E-2</c:v>
                </c:pt>
                <c:pt idx="1">
                  <c:v>8.5714285714285715E-2</c:v>
                </c:pt>
                <c:pt idx="2">
                  <c:v>0.23571428571428571</c:v>
                </c:pt>
                <c:pt idx="3">
                  <c:v>0.70714285714285707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E0-45FB-9D96-E848C0B1453A}"/>
            </c:ext>
          </c:extLst>
        </c:ser>
        <c:ser>
          <c:idx val="2"/>
          <c:order val="2"/>
          <c:tx>
            <c:strRef>
              <c:f>'TRÊS PONTAS'!$L$1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PONTAS'!$L$2:$L$6</c:f>
              <c:numCache>
                <c:formatCode>0.00</c:formatCode>
                <c:ptCount val="5"/>
                <c:pt idx="0">
                  <c:v>0</c:v>
                </c:pt>
                <c:pt idx="1">
                  <c:v>2.3255813953488372E-2</c:v>
                </c:pt>
                <c:pt idx="2">
                  <c:v>5.8139534883720929E-2</c:v>
                </c:pt>
                <c:pt idx="3">
                  <c:v>0.46511627906976744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E0-45FB-9D96-E848C0B1453A}"/>
            </c:ext>
          </c:extLst>
        </c:ser>
        <c:ser>
          <c:idx val="3"/>
          <c:order val="3"/>
          <c:tx>
            <c:strRef>
              <c:f>'TRÊS PONTAS'!$M$1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PONTAS'!$M$2:$M$6</c:f>
              <c:numCache>
                <c:formatCode>0.00</c:formatCode>
                <c:ptCount val="5"/>
                <c:pt idx="0">
                  <c:v>0</c:v>
                </c:pt>
                <c:pt idx="1">
                  <c:v>2.1052631578947368E-2</c:v>
                </c:pt>
                <c:pt idx="2">
                  <c:v>7.3684210526315783E-2</c:v>
                </c:pt>
                <c:pt idx="3">
                  <c:v>0.52631578947368418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E0-45FB-9D96-E848C0B14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13936"/>
        <c:axId val="650514896"/>
      </c:scatterChart>
      <c:valAx>
        <c:axId val="6505139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14896"/>
        <c:crosses val="autoZero"/>
        <c:crossBetween val="midCat"/>
      </c:valAx>
      <c:valAx>
        <c:axId val="650514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13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'TRÊS PONTAS'!$J$1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PONTAS'!$J$2:$J$6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10-4BE8-9242-7A4B2930433F}"/>
            </c:ext>
          </c:extLst>
        </c:ser>
        <c:ser>
          <c:idx val="1"/>
          <c:order val="1"/>
          <c:tx>
            <c:strRef>
              <c:f>'TRÊS PONTAS'!$N$1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PONTAS'!$N$2:$N$6</c:f>
              <c:numCache>
                <c:formatCode>0.00</c:formatCode>
                <c:ptCount val="5"/>
                <c:pt idx="0">
                  <c:v>1.4492753623188406E-2</c:v>
                </c:pt>
                <c:pt idx="1">
                  <c:v>5.7971014492753624E-2</c:v>
                </c:pt>
                <c:pt idx="2">
                  <c:v>0.14492753623188406</c:v>
                </c:pt>
                <c:pt idx="3">
                  <c:v>0.65217391304347827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10-4BE8-9242-7A4B2930433F}"/>
            </c:ext>
          </c:extLst>
        </c:ser>
        <c:ser>
          <c:idx val="2"/>
          <c:order val="2"/>
          <c:tx>
            <c:strRef>
              <c:f>'TRÊS PONTAS'!$O$1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PONTAS'!$O$2:$O$6</c:f>
              <c:numCache>
                <c:formatCode>0.00</c:formatCode>
                <c:ptCount val="5"/>
                <c:pt idx="0">
                  <c:v>1.5267175572519083E-2</c:v>
                </c:pt>
                <c:pt idx="1">
                  <c:v>8.3969465648854963E-2</c:v>
                </c:pt>
                <c:pt idx="2">
                  <c:v>0.19083969465648853</c:v>
                </c:pt>
                <c:pt idx="3">
                  <c:v>0.58015267175572516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10-4BE8-9242-7A4B2930433F}"/>
            </c:ext>
          </c:extLst>
        </c:ser>
        <c:ser>
          <c:idx val="3"/>
          <c:order val="3"/>
          <c:tx>
            <c:strRef>
              <c:f>'TRÊS PONTAS'!$P$1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'TRÊS PONTAS'!$I$2:$I$6</c:f>
              <c:numCache>
                <c:formatCode>0.00</c:formatCode>
                <c:ptCount val="5"/>
                <c:pt idx="0">
                  <c:v>5.588776448942042E-2</c:v>
                </c:pt>
                <c:pt idx="1">
                  <c:v>0.12804936078418933</c:v>
                </c:pt>
                <c:pt idx="2">
                  <c:v>0.2272705643498398</c:v>
                </c:pt>
                <c:pt idx="3">
                  <c:v>0.54694191542683124</c:v>
                </c:pt>
                <c:pt idx="4">
                  <c:v>1</c:v>
                </c:pt>
              </c:numCache>
            </c:numRef>
          </c:xVal>
          <c:yVal>
            <c:numRef>
              <c:f>'TRÊS PONTAS'!$P$2:$P$6</c:f>
              <c:numCache>
                <c:formatCode>0.00</c:formatCode>
                <c:ptCount val="5"/>
                <c:pt idx="0">
                  <c:v>0.12903225806451613</c:v>
                </c:pt>
                <c:pt idx="1">
                  <c:v>0.19354838709677419</c:v>
                </c:pt>
                <c:pt idx="2">
                  <c:v>0.33870967741935487</c:v>
                </c:pt>
                <c:pt idx="3">
                  <c:v>0.61290322580645162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10-4BE8-9242-7A4B29304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74208"/>
        <c:axId val="562876608"/>
      </c:scatterChart>
      <c:valAx>
        <c:axId val="5628742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6608"/>
        <c:crosses val="autoZero"/>
        <c:crossBetween val="midCat"/>
      </c:valAx>
      <c:valAx>
        <c:axId val="562876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4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VARGINHA!$J$1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VARGINHA!$J$2:$J$6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8B-44F1-BA7C-0FC776F0C2E5}"/>
            </c:ext>
          </c:extLst>
        </c:ser>
        <c:ser>
          <c:idx val="1"/>
          <c:order val="1"/>
          <c:tx>
            <c:strRef>
              <c:f>VARGINHA!$K$1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VARGINHA!$K$2:$K$6</c:f>
              <c:numCache>
                <c:formatCode>0.00</c:formatCode>
                <c:ptCount val="5"/>
                <c:pt idx="0">
                  <c:v>8.4388185654008432E-3</c:v>
                </c:pt>
                <c:pt idx="1">
                  <c:v>2.1097046413502109E-2</c:v>
                </c:pt>
                <c:pt idx="2">
                  <c:v>0.15611814345991559</c:v>
                </c:pt>
                <c:pt idx="3">
                  <c:v>0.37974683544303794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8B-44F1-BA7C-0FC776F0C2E5}"/>
            </c:ext>
          </c:extLst>
        </c:ser>
        <c:ser>
          <c:idx val="2"/>
          <c:order val="2"/>
          <c:tx>
            <c:strRef>
              <c:f>VARGINHA!$L$1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VARGINHA!$L$2:$L$6</c:f>
              <c:numCache>
                <c:formatCode>0.00</c:formatCode>
                <c:ptCount val="5"/>
                <c:pt idx="0">
                  <c:v>8.4745762711864406E-3</c:v>
                </c:pt>
                <c:pt idx="1">
                  <c:v>5.9322033898305086E-2</c:v>
                </c:pt>
                <c:pt idx="2">
                  <c:v>0.16949152542372881</c:v>
                </c:pt>
                <c:pt idx="3">
                  <c:v>0.61016949152542366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8B-44F1-BA7C-0FC776F0C2E5}"/>
            </c:ext>
          </c:extLst>
        </c:ser>
        <c:ser>
          <c:idx val="3"/>
          <c:order val="3"/>
          <c:tx>
            <c:strRef>
              <c:f>VARGINHA!$M$1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VARGINHA!$M$2:$M$6</c:f>
              <c:numCache>
                <c:formatCode>0.00</c:formatCode>
                <c:ptCount val="5"/>
                <c:pt idx="0">
                  <c:v>9.2592592592592587E-3</c:v>
                </c:pt>
                <c:pt idx="1">
                  <c:v>9.2592592592592587E-3</c:v>
                </c:pt>
                <c:pt idx="2">
                  <c:v>0.24074074074074076</c:v>
                </c:pt>
                <c:pt idx="3">
                  <c:v>0.58333333333333337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8B-44F1-BA7C-0FC776F0C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946960"/>
        <c:axId val="342949840"/>
      </c:scatterChart>
      <c:valAx>
        <c:axId val="3429469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2949840"/>
        <c:crosses val="autoZero"/>
        <c:crossBetween val="midCat"/>
      </c:valAx>
      <c:valAx>
        <c:axId val="34294984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294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VARGINHA!$J$1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VARGINHA!$J$2:$J$6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35-4AB7-806F-CC31AB2CACE3}"/>
            </c:ext>
          </c:extLst>
        </c:ser>
        <c:ser>
          <c:idx val="1"/>
          <c:order val="1"/>
          <c:tx>
            <c:strRef>
              <c:f>VARGINHA!$N$1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VARGINHA!$N$2:$N$6</c:f>
              <c:numCache>
                <c:formatCode>0.00</c:formatCode>
                <c:ptCount val="5"/>
                <c:pt idx="0">
                  <c:v>2.2222222222222223E-2</c:v>
                </c:pt>
                <c:pt idx="1">
                  <c:v>3.4920634920634921E-2</c:v>
                </c:pt>
                <c:pt idx="2">
                  <c:v>0.1650793650793651</c:v>
                </c:pt>
                <c:pt idx="3">
                  <c:v>0.28571428571428575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35-4AB7-806F-CC31AB2CACE3}"/>
            </c:ext>
          </c:extLst>
        </c:ser>
        <c:ser>
          <c:idx val="2"/>
          <c:order val="2"/>
          <c:tx>
            <c:strRef>
              <c:f>VARGINHA!$O$1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VARGINHA!$O$2:$O$6</c:f>
              <c:numCache>
                <c:formatCode>0.00</c:formatCode>
                <c:ptCount val="5"/>
                <c:pt idx="0">
                  <c:v>1.3392857142857142E-2</c:v>
                </c:pt>
                <c:pt idx="1">
                  <c:v>6.6964285714285712E-2</c:v>
                </c:pt>
                <c:pt idx="2">
                  <c:v>0.22767857142857145</c:v>
                </c:pt>
                <c:pt idx="3">
                  <c:v>0.40625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35-4AB7-806F-CC31AB2CACE3}"/>
            </c:ext>
          </c:extLst>
        </c:ser>
        <c:ser>
          <c:idx val="3"/>
          <c:order val="3"/>
          <c:tx>
            <c:strRef>
              <c:f>VARGINHA!$P$1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VARGINHA!$I$2:$I$6</c:f>
              <c:numCache>
                <c:formatCode>0.00</c:formatCode>
                <c:ptCount val="5"/>
                <c:pt idx="0">
                  <c:v>1.7370091699976487E-2</c:v>
                </c:pt>
                <c:pt idx="1">
                  <c:v>6.0300572145152442E-2</c:v>
                </c:pt>
                <c:pt idx="2">
                  <c:v>0.18604514460380908</c:v>
                </c:pt>
                <c:pt idx="3">
                  <c:v>0.32592679677090686</c:v>
                </c:pt>
                <c:pt idx="4">
                  <c:v>1</c:v>
                </c:pt>
              </c:numCache>
            </c:numRef>
          </c:xVal>
          <c:yVal>
            <c:numRef>
              <c:f>VARGINHA!$P$2:$P$6</c:f>
              <c:numCache>
                <c:formatCode>0.00</c:formatCode>
                <c:ptCount val="5"/>
                <c:pt idx="0">
                  <c:v>3.9603960396039604E-2</c:v>
                </c:pt>
                <c:pt idx="1">
                  <c:v>8.9108910891089105E-2</c:v>
                </c:pt>
                <c:pt idx="2">
                  <c:v>0.21782178217821782</c:v>
                </c:pt>
                <c:pt idx="3">
                  <c:v>0.43564356435643564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35-4AB7-806F-CC31AB2CA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140432"/>
        <c:axId val="653156272"/>
      </c:scatterChart>
      <c:valAx>
        <c:axId val="6531404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3156272"/>
        <c:crosses val="autoZero"/>
        <c:crossBetween val="midCat"/>
      </c:valAx>
      <c:valAx>
        <c:axId val="6531562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314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0</xdr:row>
      <xdr:rowOff>80010</xdr:rowOff>
    </xdr:from>
    <xdr:to>
      <xdr:col>23</xdr:col>
      <xdr:colOff>388620</xdr:colOff>
      <xdr:row>14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D31378F-F8DB-5D43-8837-3B5765580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83820</xdr:colOff>
      <xdr:row>14</xdr:row>
      <xdr:rowOff>148590</xdr:rowOff>
    </xdr:from>
    <xdr:to>
      <xdr:col>23</xdr:col>
      <xdr:colOff>388620</xdr:colOff>
      <xdr:row>28</xdr:row>
      <xdr:rowOff>148590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5C8B3EF-8C59-80CB-E19E-28EAAF321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175260</xdr:colOff>
      <xdr:row>0</xdr:row>
      <xdr:rowOff>95250</xdr:rowOff>
    </xdr:from>
    <xdr:to>
      <xdr:col>23</xdr:col>
      <xdr:colOff>480060</xdr:colOff>
      <xdr:row>13</xdr:row>
      <xdr:rowOff>102870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4B2F308-7659-733A-CE90-937D21685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190500</xdr:colOff>
      <xdr:row>13</xdr:row>
      <xdr:rowOff>140970</xdr:rowOff>
    </xdr:from>
    <xdr:to>
      <xdr:col>23</xdr:col>
      <xdr:colOff>495300</xdr:colOff>
      <xdr:row>28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B407C5C-60CF-5976-E543-108A95C6A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121595</xdr:colOff>
      <xdr:row>0</xdr:row>
      <xdr:rowOff>63230</xdr:rowOff>
    </xdr:from>
    <xdr:to>
      <xdr:col>23</xdr:col>
      <xdr:colOff>437744</xdr:colOff>
      <xdr:row>13</xdr:row>
      <xdr:rowOff>34047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A1CB0C-2812-29AC-9EDA-7B3563E15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129701</xdr:colOff>
      <xdr:row>13</xdr:row>
      <xdr:rowOff>103761</xdr:rowOff>
    </xdr:from>
    <xdr:to>
      <xdr:col>23</xdr:col>
      <xdr:colOff>445850</xdr:colOff>
      <xdr:row>28</xdr:row>
      <xdr:rowOff>50259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7742C55-0458-E6E8-F7E3-36685BD11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0</xdr:row>
      <xdr:rowOff>95250</xdr:rowOff>
    </xdr:from>
    <xdr:to>
      <xdr:col>23</xdr:col>
      <xdr:colOff>388620</xdr:colOff>
      <xdr:row>14</xdr:row>
      <xdr:rowOff>102870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F81DF0F-764F-2B98-7836-465FC2646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14</xdr:row>
      <xdr:rowOff>156210</xdr:rowOff>
    </xdr:from>
    <xdr:to>
      <xdr:col>23</xdr:col>
      <xdr:colOff>396240</xdr:colOff>
      <xdr:row>28</xdr:row>
      <xdr:rowOff>156210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0544473-DD78-9B72-B816-80616EAD3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53340</xdr:colOff>
      <xdr:row>0</xdr:row>
      <xdr:rowOff>57150</xdr:rowOff>
    </xdr:from>
    <xdr:to>
      <xdr:col>23</xdr:col>
      <xdr:colOff>358140</xdr:colOff>
      <xdr:row>13</xdr:row>
      <xdr:rowOff>64770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A4FFD5B-301E-68A3-53C7-3C17E33F6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68580</xdr:colOff>
      <xdr:row>13</xdr:row>
      <xdr:rowOff>102870</xdr:rowOff>
    </xdr:from>
    <xdr:to>
      <xdr:col>23</xdr:col>
      <xdr:colOff>373380</xdr:colOff>
      <xdr:row>28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1C143B3-5B32-3E88-5279-79EFE6FA8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114300</xdr:colOff>
      <xdr:row>0</xdr:row>
      <xdr:rowOff>80010</xdr:rowOff>
    </xdr:from>
    <xdr:to>
      <xdr:col>23</xdr:col>
      <xdr:colOff>419100</xdr:colOff>
      <xdr:row>13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14AC79-32A4-8846-1956-E0FB4B824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137160</xdr:colOff>
      <xdr:row>13</xdr:row>
      <xdr:rowOff>140970</xdr:rowOff>
    </xdr:from>
    <xdr:to>
      <xdr:col>23</xdr:col>
      <xdr:colOff>441960</xdr:colOff>
      <xdr:row>28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DC6018F-74D2-95DC-A417-C1D5B5258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60960</xdr:colOff>
      <xdr:row>0</xdr:row>
      <xdr:rowOff>49530</xdr:rowOff>
    </xdr:from>
    <xdr:to>
      <xdr:col>23</xdr:col>
      <xdr:colOff>365760</xdr:colOff>
      <xdr:row>13</xdr:row>
      <xdr:rowOff>41910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1E8403D-202D-7800-F9DA-5AA26CFBD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68580</xdr:colOff>
      <xdr:row>13</xdr:row>
      <xdr:rowOff>72390</xdr:rowOff>
    </xdr:from>
    <xdr:to>
      <xdr:col>23</xdr:col>
      <xdr:colOff>373380</xdr:colOff>
      <xdr:row>28</xdr:row>
      <xdr:rowOff>72390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DD7DCA6-BE9B-E242-E4EE-1186C3080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60960</xdr:colOff>
      <xdr:row>0</xdr:row>
      <xdr:rowOff>64770</xdr:rowOff>
    </xdr:from>
    <xdr:to>
      <xdr:col>23</xdr:col>
      <xdr:colOff>365760</xdr:colOff>
      <xdr:row>13</xdr:row>
      <xdr:rowOff>72390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9A0E7FD-ACA2-CD0F-AFE5-D9B52D2C0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76200</xdr:colOff>
      <xdr:row>13</xdr:row>
      <xdr:rowOff>110490</xdr:rowOff>
    </xdr:from>
    <xdr:to>
      <xdr:col>23</xdr:col>
      <xdr:colOff>381000</xdr:colOff>
      <xdr:row>28</xdr:row>
      <xdr:rowOff>110490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64424B3-B951-A9A7-E653-4632E5E87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127000</xdr:colOff>
      <xdr:row>0</xdr:row>
      <xdr:rowOff>161159</xdr:rowOff>
    </xdr:from>
    <xdr:to>
      <xdr:col>23</xdr:col>
      <xdr:colOff>407276</xdr:colOff>
      <xdr:row>14</xdr:row>
      <xdr:rowOff>154152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C573672-875A-58FD-2EF6-7E592B137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126999</xdr:colOff>
      <xdr:row>15</xdr:row>
      <xdr:rowOff>73573</xdr:rowOff>
    </xdr:from>
    <xdr:to>
      <xdr:col>23</xdr:col>
      <xdr:colOff>407275</xdr:colOff>
      <xdr:row>30</xdr:row>
      <xdr:rowOff>57808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C3348B3-64B9-7633-26F5-7B4220FFC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0</xdr:row>
      <xdr:rowOff>64770</xdr:rowOff>
    </xdr:from>
    <xdr:to>
      <xdr:col>23</xdr:col>
      <xdr:colOff>388620</xdr:colOff>
      <xdr:row>14</xdr:row>
      <xdr:rowOff>72390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DD88F2-25D9-2DCD-F548-5EE3664E7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14</xdr:row>
      <xdr:rowOff>102870</xdr:rowOff>
    </xdr:from>
    <xdr:to>
      <xdr:col>23</xdr:col>
      <xdr:colOff>403860</xdr:colOff>
      <xdr:row>28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46263DC-CD35-80DB-3F91-9CBF9A772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152400</xdr:colOff>
      <xdr:row>0</xdr:row>
      <xdr:rowOff>57150</xdr:rowOff>
    </xdr:from>
    <xdr:to>
      <xdr:col>23</xdr:col>
      <xdr:colOff>457200</xdr:colOff>
      <xdr:row>13</xdr:row>
      <xdr:rowOff>64770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164D613-91D5-856B-E485-D7A516D1D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144780</xdr:colOff>
      <xdr:row>13</xdr:row>
      <xdr:rowOff>133350</xdr:rowOff>
    </xdr:from>
    <xdr:to>
      <xdr:col>23</xdr:col>
      <xdr:colOff>449580</xdr:colOff>
      <xdr:row>28</xdr:row>
      <xdr:rowOff>133350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EBD5212-1B4B-A116-0927-DADCDAD10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80010</xdr:rowOff>
    </xdr:from>
    <xdr:to>
      <xdr:col>23</xdr:col>
      <xdr:colOff>403860</xdr:colOff>
      <xdr:row>13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23D55BD-6DE9-7530-D4C6-9A997FE7A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106680</xdr:colOff>
      <xdr:row>13</xdr:row>
      <xdr:rowOff>133350</xdr:rowOff>
    </xdr:from>
    <xdr:to>
      <xdr:col>23</xdr:col>
      <xdr:colOff>411480</xdr:colOff>
      <xdr:row>28</xdr:row>
      <xdr:rowOff>133350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D4EA155-486E-08D2-73A2-4359B62D3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11430</xdr:rowOff>
    </xdr:from>
    <xdr:to>
      <xdr:col>23</xdr:col>
      <xdr:colOff>396240</xdr:colOff>
      <xdr:row>13</xdr:row>
      <xdr:rowOff>19050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734B339-D928-B21B-A121-6DDFE9F52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129540</xdr:colOff>
      <xdr:row>13</xdr:row>
      <xdr:rowOff>57150</xdr:rowOff>
    </xdr:from>
    <xdr:to>
      <xdr:col>23</xdr:col>
      <xdr:colOff>434340</xdr:colOff>
      <xdr:row>28</xdr:row>
      <xdr:rowOff>57150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5E15E48-35A8-0AD3-B232-ABD7948E4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34290</xdr:rowOff>
    </xdr:from>
    <xdr:to>
      <xdr:col>23</xdr:col>
      <xdr:colOff>426720</xdr:colOff>
      <xdr:row>13</xdr:row>
      <xdr:rowOff>41910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9430E51-11DD-30A8-5A18-27B3B3C0F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137160</xdr:colOff>
      <xdr:row>13</xdr:row>
      <xdr:rowOff>102870</xdr:rowOff>
    </xdr:from>
    <xdr:to>
      <xdr:col>23</xdr:col>
      <xdr:colOff>441960</xdr:colOff>
      <xdr:row>28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65BA855-EAE1-0864-B53B-B1C209F59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18F9-396E-4F37-B50C-51A81B3B7708}">
  <dimension ref="A1:P37"/>
  <sheetViews>
    <sheetView tabSelected="1" workbookViewId="0">
      <selection activeCell="A19" sqref="A19"/>
    </sheetView>
  </sheetViews>
  <sheetFormatPr defaultRowHeight="14.4" x14ac:dyDescent="0.3"/>
  <cols>
    <col min="11" max="16" width="12" bestFit="1" customWidth="1"/>
  </cols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11</v>
      </c>
      <c r="B2" s="17">
        <v>7.7966435679332653E-3</v>
      </c>
      <c r="C2" s="17">
        <v>5.3003533568904597E-3</v>
      </c>
      <c r="D2" s="17">
        <v>0</v>
      </c>
      <c r="E2" s="17">
        <v>6.3897763578274758E-3</v>
      </c>
      <c r="F2" s="17">
        <v>1.3779527559055118E-2</v>
      </c>
      <c r="G2" s="17">
        <v>1.3452914798206279E-2</v>
      </c>
      <c r="H2" s="17">
        <v>0</v>
      </c>
      <c r="I2" s="10">
        <v>7.7966435679332653E-3</v>
      </c>
      <c r="J2" s="18">
        <v>7.7966435679332653E-3</v>
      </c>
      <c r="K2" s="18">
        <v>5.3003533568904597E-3</v>
      </c>
      <c r="L2" s="18">
        <v>0</v>
      </c>
      <c r="M2" s="18">
        <v>6.3897763578274758E-3</v>
      </c>
      <c r="N2" s="18">
        <v>1.3779527559055118E-2</v>
      </c>
      <c r="O2" s="18">
        <v>1.3452914798206279E-2</v>
      </c>
      <c r="P2" s="18">
        <v>0</v>
      </c>
    </row>
    <row r="3" spans="1:16" x14ac:dyDescent="0.3">
      <c r="A3" s="10" t="s">
        <v>8</v>
      </c>
      <c r="B3" s="17">
        <v>1.1869026897435055E-2</v>
      </c>
      <c r="C3" s="17">
        <v>1.2367491166077738E-2</v>
      </c>
      <c r="D3" s="17">
        <v>8.6206896551724137E-3</v>
      </c>
      <c r="E3" s="17">
        <v>3.1948881789137379E-3</v>
      </c>
      <c r="F3" s="17">
        <v>3.937007874015748E-3</v>
      </c>
      <c r="G3" s="17">
        <v>0</v>
      </c>
      <c r="H3" s="17">
        <v>0</v>
      </c>
      <c r="I3" s="10">
        <v>1.966567046536832E-2</v>
      </c>
      <c r="J3" s="10">
        <f>J2+B3</f>
        <v>1.966567046536832E-2</v>
      </c>
      <c r="K3" s="10">
        <f t="shared" ref="K3:P17" si="0">K2+C3</f>
        <v>1.7667844522968199E-2</v>
      </c>
      <c r="L3" s="10">
        <f t="shared" si="0"/>
        <v>8.6206896551724137E-3</v>
      </c>
      <c r="M3" s="10">
        <f t="shared" si="0"/>
        <v>9.5846645367412137E-3</v>
      </c>
      <c r="N3" s="10">
        <f t="shared" si="0"/>
        <v>1.7716535433070866E-2</v>
      </c>
      <c r="O3" s="10">
        <f t="shared" si="0"/>
        <v>1.3452914798206279E-2</v>
      </c>
      <c r="P3" s="10">
        <f t="shared" si="0"/>
        <v>0</v>
      </c>
    </row>
    <row r="4" spans="1:16" x14ac:dyDescent="0.3">
      <c r="A4" s="10" t="s">
        <v>3</v>
      </c>
      <c r="B4" s="17">
        <v>1.9074518046569674E-2</v>
      </c>
      <c r="C4" s="17">
        <v>5.3003533568904597E-3</v>
      </c>
      <c r="D4" s="17">
        <v>1.1494252873563218E-2</v>
      </c>
      <c r="E4" s="17">
        <v>6.3897763578274758E-3</v>
      </c>
      <c r="F4" s="17">
        <v>9.8425196850393699E-3</v>
      </c>
      <c r="G4" s="17">
        <v>2.242152466367713E-3</v>
      </c>
      <c r="H4" s="17">
        <v>2.8985507246376812E-2</v>
      </c>
      <c r="I4" s="10">
        <v>3.8740188511937994E-2</v>
      </c>
      <c r="J4" s="10">
        <f t="shared" ref="J4:J17" si="1">J3+B4</f>
        <v>3.8740188511937994E-2</v>
      </c>
      <c r="K4" s="10">
        <f t="shared" si="0"/>
        <v>2.2968197879858657E-2</v>
      </c>
      <c r="L4" s="10">
        <f t="shared" si="0"/>
        <v>2.0114942528735632E-2</v>
      </c>
      <c r="M4" s="10">
        <f t="shared" si="0"/>
        <v>1.5974440894568689E-2</v>
      </c>
      <c r="N4" s="10">
        <f t="shared" si="0"/>
        <v>2.7559055118110236E-2</v>
      </c>
      <c r="O4" s="10">
        <f t="shared" si="0"/>
        <v>1.5695067264573991E-2</v>
      </c>
      <c r="P4" s="10">
        <f t="shared" si="0"/>
        <v>2.8985507246376812E-2</v>
      </c>
    </row>
    <row r="5" spans="1:16" x14ac:dyDescent="0.3">
      <c r="A5" s="10" t="s">
        <v>10</v>
      </c>
      <c r="B5" s="17">
        <v>1.9833163650694603E-2</v>
      </c>
      <c r="C5" s="17">
        <v>3.0035335689045935E-2</v>
      </c>
      <c r="D5" s="17">
        <v>1.7241379310344827E-2</v>
      </c>
      <c r="E5" s="17">
        <v>1.2779552715654952E-2</v>
      </c>
      <c r="F5" s="17">
        <v>3.1496062992125984E-2</v>
      </c>
      <c r="G5" s="17">
        <v>2.0179372197309416E-2</v>
      </c>
      <c r="H5" s="17">
        <v>1.4492753623188406E-2</v>
      </c>
      <c r="I5" s="10">
        <v>5.8573352162632597E-2</v>
      </c>
      <c r="J5" s="10">
        <f t="shared" si="1"/>
        <v>5.8573352162632597E-2</v>
      </c>
      <c r="K5" s="10">
        <f t="shared" si="0"/>
        <v>5.3003533568904596E-2</v>
      </c>
      <c r="L5" s="10">
        <f t="shared" si="0"/>
        <v>3.7356321839080456E-2</v>
      </c>
      <c r="M5" s="10">
        <f t="shared" si="0"/>
        <v>2.8753993610223641E-2</v>
      </c>
      <c r="N5" s="10">
        <f t="shared" si="0"/>
        <v>5.905511811023622E-2</v>
      </c>
      <c r="O5" s="10">
        <f t="shared" si="0"/>
        <v>3.5874439461883408E-2</v>
      </c>
      <c r="P5" s="10">
        <f t="shared" si="0"/>
        <v>4.3478260869565216E-2</v>
      </c>
    </row>
    <row r="6" spans="1:16" x14ac:dyDescent="0.3">
      <c r="A6" s="10" t="s">
        <v>15</v>
      </c>
      <c r="B6" s="17">
        <v>2.5179808860717922E-2</v>
      </c>
      <c r="C6" s="17">
        <v>2.2968197879858657E-2</v>
      </c>
      <c r="D6" s="17">
        <v>2.2988505747126436E-2</v>
      </c>
      <c r="E6" s="17">
        <v>3.1948881789137379E-2</v>
      </c>
      <c r="F6" s="17">
        <v>2.7559055118110236E-2</v>
      </c>
      <c r="G6" s="17">
        <v>2.4663677130044841E-2</v>
      </c>
      <c r="H6" s="17">
        <v>2.8985507246376812E-2</v>
      </c>
      <c r="I6" s="10">
        <v>8.3753161023350522E-2</v>
      </c>
      <c r="J6" s="10">
        <f t="shared" si="1"/>
        <v>8.3753161023350522E-2</v>
      </c>
      <c r="K6" s="10">
        <f t="shared" si="0"/>
        <v>7.5971731448763249E-2</v>
      </c>
      <c r="L6" s="10">
        <f t="shared" si="0"/>
        <v>6.0344827586206892E-2</v>
      </c>
      <c r="M6" s="10">
        <f t="shared" si="0"/>
        <v>6.070287539936102E-2</v>
      </c>
      <c r="N6" s="10">
        <f t="shared" si="0"/>
        <v>8.6614173228346455E-2</v>
      </c>
      <c r="O6" s="10">
        <f t="shared" si="0"/>
        <v>6.0538116591928245E-2</v>
      </c>
      <c r="P6" s="10">
        <f t="shared" si="0"/>
        <v>7.2463768115942032E-2</v>
      </c>
    </row>
    <row r="7" spans="1:16" x14ac:dyDescent="0.3">
      <c r="A7" s="10" t="s">
        <v>9</v>
      </c>
      <c r="B7" s="17">
        <v>3.3994548261026637E-2</v>
      </c>
      <c r="C7" s="17">
        <v>6.8904593639575976E-2</v>
      </c>
      <c r="D7" s="17">
        <v>0.11494252873563218</v>
      </c>
      <c r="E7" s="17">
        <v>0.11182108626198083</v>
      </c>
      <c r="F7" s="17">
        <v>7.0866141732283464E-2</v>
      </c>
      <c r="G7" s="17">
        <v>0.11210762331838565</v>
      </c>
      <c r="H7" s="17">
        <v>0.11594202898550725</v>
      </c>
      <c r="I7" s="10">
        <v>0.11774770928437717</v>
      </c>
      <c r="J7" s="10">
        <f t="shared" si="1"/>
        <v>0.11774770928437717</v>
      </c>
      <c r="K7" s="10">
        <f t="shared" si="0"/>
        <v>0.14487632508833923</v>
      </c>
      <c r="L7" s="10">
        <f t="shared" si="0"/>
        <v>0.17528735632183906</v>
      </c>
      <c r="M7" s="10">
        <f t="shared" si="0"/>
        <v>0.17252396166134185</v>
      </c>
      <c r="N7" s="10">
        <f t="shared" si="0"/>
        <v>0.15748031496062992</v>
      </c>
      <c r="O7" s="10">
        <f t="shared" si="0"/>
        <v>0.1726457399103139</v>
      </c>
      <c r="P7" s="10">
        <f t="shared" si="0"/>
        <v>0.18840579710144928</v>
      </c>
    </row>
    <row r="8" spans="1:16" x14ac:dyDescent="0.3">
      <c r="A8" s="10" t="s">
        <v>6</v>
      </c>
      <c r="B8" s="17">
        <v>3.8254129856481328E-2</v>
      </c>
      <c r="C8" s="17">
        <v>6.5371024734982339E-2</v>
      </c>
      <c r="D8" s="17">
        <v>4.8850574712643681E-2</v>
      </c>
      <c r="E8" s="17">
        <v>5.7507987220447282E-2</v>
      </c>
      <c r="F8" s="17">
        <v>4.7244094488188976E-2</v>
      </c>
      <c r="G8" s="17">
        <v>2.2421524663677129E-2</v>
      </c>
      <c r="H8" s="17">
        <v>4.3478260869565216E-2</v>
      </c>
      <c r="I8" s="10">
        <v>0.15600183914085849</v>
      </c>
      <c r="J8" s="10">
        <f t="shared" si="1"/>
        <v>0.15600183914085849</v>
      </c>
      <c r="K8" s="10">
        <f t="shared" si="0"/>
        <v>0.21024734982332155</v>
      </c>
      <c r="L8" s="10">
        <f t="shared" si="0"/>
        <v>0.22413793103448273</v>
      </c>
      <c r="M8" s="10">
        <f t="shared" si="0"/>
        <v>0.23003194888178913</v>
      </c>
      <c r="N8" s="10">
        <f t="shared" si="0"/>
        <v>0.20472440944881889</v>
      </c>
      <c r="O8" s="10">
        <f t="shared" si="0"/>
        <v>0.19506726457399104</v>
      </c>
      <c r="P8" s="10">
        <f t="shared" si="0"/>
        <v>0.2318840579710145</v>
      </c>
    </row>
    <row r="9" spans="1:16" x14ac:dyDescent="0.3">
      <c r="A9" s="10" t="s">
        <v>1</v>
      </c>
      <c r="B9" s="17">
        <v>4.7837367401228285E-2</v>
      </c>
      <c r="C9" s="17">
        <v>5.3003533568904596E-2</v>
      </c>
      <c r="D9" s="17">
        <v>3.7356321839080463E-2</v>
      </c>
      <c r="E9" s="17">
        <v>2.8753993610223641E-2</v>
      </c>
      <c r="F9" s="17">
        <v>5.3149606299212601E-2</v>
      </c>
      <c r="G9" s="17">
        <v>5.6053811659192827E-2</v>
      </c>
      <c r="H9" s="17">
        <v>9.1787439613526575E-2</v>
      </c>
      <c r="I9" s="10">
        <v>0.20383920654208679</v>
      </c>
      <c r="J9" s="10">
        <f t="shared" si="1"/>
        <v>0.20383920654208679</v>
      </c>
      <c r="K9" s="10">
        <f t="shared" si="0"/>
        <v>0.26325088339222613</v>
      </c>
      <c r="L9" s="10">
        <f t="shared" si="0"/>
        <v>0.2614942528735632</v>
      </c>
      <c r="M9" s="10">
        <f t="shared" si="0"/>
        <v>0.25878594249201275</v>
      </c>
      <c r="N9" s="10">
        <f t="shared" si="0"/>
        <v>0.25787401574803148</v>
      </c>
      <c r="O9" s="10">
        <f t="shared" si="0"/>
        <v>0.25112107623318386</v>
      </c>
      <c r="P9" s="10">
        <f t="shared" si="0"/>
        <v>0.32367149758454106</v>
      </c>
    </row>
    <row r="10" spans="1:16" x14ac:dyDescent="0.3">
      <c r="A10" s="10" t="s">
        <v>4</v>
      </c>
      <c r="B10" s="17">
        <v>4.9022956418930015E-2</v>
      </c>
      <c r="C10" s="17">
        <v>1.7667844522968199E-2</v>
      </c>
      <c r="D10" s="17">
        <v>2.8735632183908046E-2</v>
      </c>
      <c r="E10" s="17">
        <v>6.3897763578274758E-3</v>
      </c>
      <c r="F10" s="17">
        <v>1.5748031496062992E-2</v>
      </c>
      <c r="G10" s="17">
        <v>2.6905829596412557E-2</v>
      </c>
      <c r="H10" s="17">
        <v>3.3816425120772944E-2</v>
      </c>
      <c r="I10" s="10">
        <v>0.25286216296101682</v>
      </c>
      <c r="J10" s="10">
        <f t="shared" si="1"/>
        <v>0.25286216296101682</v>
      </c>
      <c r="K10" s="10">
        <f t="shared" si="0"/>
        <v>0.28091872791519434</v>
      </c>
      <c r="L10" s="10">
        <f t="shared" si="0"/>
        <v>0.29022988505747127</v>
      </c>
      <c r="M10" s="10">
        <f t="shared" si="0"/>
        <v>0.26517571884984026</v>
      </c>
      <c r="N10" s="10">
        <f t="shared" si="0"/>
        <v>0.27362204724409445</v>
      </c>
      <c r="O10" s="10">
        <f t="shared" si="0"/>
        <v>0.27802690582959644</v>
      </c>
      <c r="P10" s="10">
        <f t="shared" si="0"/>
        <v>0.35748792270531399</v>
      </c>
    </row>
    <row r="11" spans="1:16" x14ac:dyDescent="0.3">
      <c r="A11" s="10" t="s">
        <v>2</v>
      </c>
      <c r="B11" s="17">
        <v>5.0208545436631745E-2</v>
      </c>
      <c r="C11" s="17">
        <v>3.5335689045936397E-2</v>
      </c>
      <c r="D11" s="17">
        <v>2.5862068965517241E-2</v>
      </c>
      <c r="E11" s="17">
        <v>3.1948881789137379E-2</v>
      </c>
      <c r="F11" s="17">
        <v>2.952755905511811E-2</v>
      </c>
      <c r="G11" s="17">
        <v>4.9327354260089683E-2</v>
      </c>
      <c r="H11" s="17">
        <v>3.3816425120772944E-2</v>
      </c>
      <c r="I11" s="10">
        <v>0.30307070839764855</v>
      </c>
      <c r="J11" s="10">
        <f t="shared" si="1"/>
        <v>0.30307070839764855</v>
      </c>
      <c r="K11" s="10">
        <f t="shared" si="0"/>
        <v>0.31625441696113077</v>
      </c>
      <c r="L11" s="10">
        <f t="shared" si="0"/>
        <v>0.31609195402298851</v>
      </c>
      <c r="M11" s="10">
        <f t="shared" si="0"/>
        <v>0.29712460063897761</v>
      </c>
      <c r="N11" s="10">
        <f t="shared" si="0"/>
        <v>0.30314960629921256</v>
      </c>
      <c r="O11" s="10">
        <f t="shared" si="0"/>
        <v>0.3273542600896861</v>
      </c>
      <c r="P11" s="10">
        <f t="shared" si="0"/>
        <v>0.39130434782608692</v>
      </c>
    </row>
    <row r="12" spans="1:16" x14ac:dyDescent="0.3">
      <c r="A12" s="10" t="s">
        <v>14</v>
      </c>
      <c r="B12" s="17">
        <v>5.5502643764984073E-2</v>
      </c>
      <c r="C12" s="17">
        <v>2.6501766784452298E-2</v>
      </c>
      <c r="D12" s="17">
        <v>6.3218390804597707E-2</v>
      </c>
      <c r="E12" s="17">
        <v>3.8338658146964855E-2</v>
      </c>
      <c r="F12" s="17">
        <v>4.3307086614173228E-2</v>
      </c>
      <c r="G12" s="17">
        <v>6.9506726457399109E-2</v>
      </c>
      <c r="H12" s="17">
        <v>6.280193236714976E-2</v>
      </c>
      <c r="I12" s="10">
        <v>0.35857335216263264</v>
      </c>
      <c r="J12" s="10">
        <f t="shared" si="1"/>
        <v>0.35857335216263264</v>
      </c>
      <c r="K12" s="10">
        <f t="shared" si="0"/>
        <v>0.34275618374558309</v>
      </c>
      <c r="L12" s="10">
        <f t="shared" si="0"/>
        <v>0.37931034482758619</v>
      </c>
      <c r="M12" s="10">
        <f t="shared" si="0"/>
        <v>0.33546325878594246</v>
      </c>
      <c r="N12" s="10">
        <f t="shared" si="0"/>
        <v>0.34645669291338577</v>
      </c>
      <c r="O12" s="10">
        <f t="shared" si="0"/>
        <v>0.39686098654708524</v>
      </c>
      <c r="P12" s="10">
        <f t="shared" si="0"/>
        <v>0.45410628019323668</v>
      </c>
    </row>
    <row r="13" spans="1:16" x14ac:dyDescent="0.3">
      <c r="A13" s="10" t="s">
        <v>5</v>
      </c>
      <c r="B13" s="17">
        <v>6.9138559558606191E-2</v>
      </c>
      <c r="C13" s="17">
        <v>2.4734982332155476E-2</v>
      </c>
      <c r="D13" s="17">
        <v>4.0229885057471264E-2</v>
      </c>
      <c r="E13" s="17">
        <v>1.9169329073482427E-2</v>
      </c>
      <c r="F13" s="17">
        <v>2.952755905511811E-2</v>
      </c>
      <c r="G13" s="17">
        <v>1.5695067264573991E-2</v>
      </c>
      <c r="H13" s="17">
        <v>1.932367149758454E-2</v>
      </c>
      <c r="I13" s="10">
        <v>0.42771191172123885</v>
      </c>
      <c r="J13" s="10">
        <f t="shared" si="1"/>
        <v>0.42771191172123885</v>
      </c>
      <c r="K13" s="10">
        <f t="shared" si="0"/>
        <v>0.36749116607773857</v>
      </c>
      <c r="L13" s="10">
        <f t="shared" si="0"/>
        <v>0.41954022988505746</v>
      </c>
      <c r="M13" s="10">
        <f t="shared" si="0"/>
        <v>0.35463258785942486</v>
      </c>
      <c r="N13" s="10">
        <f t="shared" si="0"/>
        <v>0.37598425196850388</v>
      </c>
      <c r="O13" s="10">
        <f t="shared" si="0"/>
        <v>0.41255605381165922</v>
      </c>
      <c r="P13" s="10">
        <f t="shared" si="0"/>
        <v>0.47342995169082119</v>
      </c>
    </row>
    <row r="14" spans="1:16" x14ac:dyDescent="0.3">
      <c r="A14" s="10" t="s">
        <v>13</v>
      </c>
      <c r="B14" s="17">
        <v>7.1243719005550266E-2</v>
      </c>
      <c r="C14" s="17">
        <v>8.3038869257950523E-2</v>
      </c>
      <c r="D14" s="17">
        <v>8.6206896551724144E-2</v>
      </c>
      <c r="E14" s="17">
        <v>7.9872204472843447E-2</v>
      </c>
      <c r="F14" s="17">
        <v>0.10433070866141732</v>
      </c>
      <c r="G14" s="17">
        <v>8.0717488789237665E-2</v>
      </c>
      <c r="H14" s="17">
        <v>6.280193236714976E-2</v>
      </c>
      <c r="I14" s="10">
        <v>0.49895563072678911</v>
      </c>
      <c r="J14" s="10">
        <f t="shared" si="1"/>
        <v>0.49895563072678911</v>
      </c>
      <c r="K14" s="10">
        <f t="shared" si="0"/>
        <v>0.45053003533568908</v>
      </c>
      <c r="L14" s="10">
        <f t="shared" si="0"/>
        <v>0.50574712643678166</v>
      </c>
      <c r="M14" s="10">
        <f t="shared" si="0"/>
        <v>0.4345047923322683</v>
      </c>
      <c r="N14" s="10">
        <f t="shared" si="0"/>
        <v>0.48031496062992118</v>
      </c>
      <c r="O14" s="10">
        <f t="shared" si="0"/>
        <v>0.4932735426008969</v>
      </c>
      <c r="P14" s="10">
        <f t="shared" si="0"/>
        <v>0.53623188405797095</v>
      </c>
    </row>
    <row r="15" spans="1:16" x14ac:dyDescent="0.3">
      <c r="A15" s="10" t="s">
        <v>7</v>
      </c>
      <c r="B15" s="17">
        <v>9.4939078459062701E-2</v>
      </c>
      <c r="C15" s="17">
        <v>0.10600706713780919</v>
      </c>
      <c r="D15" s="17">
        <v>0.1206896551724138</v>
      </c>
      <c r="E15" s="17">
        <v>0.25239616613418531</v>
      </c>
      <c r="F15" s="17">
        <v>0.13385826771653545</v>
      </c>
      <c r="G15" s="17">
        <v>9.641255605381166E-2</v>
      </c>
      <c r="H15" s="17">
        <v>0.11594202898550725</v>
      </c>
      <c r="I15" s="10">
        <v>0.59389470918585185</v>
      </c>
      <c r="J15" s="10">
        <f t="shared" si="1"/>
        <v>0.59389470918585185</v>
      </c>
      <c r="K15" s="10">
        <f t="shared" si="0"/>
        <v>0.5565371024734983</v>
      </c>
      <c r="L15" s="10">
        <f t="shared" si="0"/>
        <v>0.62643678160919547</v>
      </c>
      <c r="M15" s="10">
        <f t="shared" si="0"/>
        <v>0.6869009584664536</v>
      </c>
      <c r="N15" s="10">
        <f t="shared" si="0"/>
        <v>0.6141732283464566</v>
      </c>
      <c r="O15" s="10">
        <f t="shared" si="0"/>
        <v>0.58968609865470856</v>
      </c>
      <c r="P15" s="10">
        <f t="shared" si="0"/>
        <v>0.65217391304347816</v>
      </c>
    </row>
    <row r="16" spans="1:16" x14ac:dyDescent="0.3">
      <c r="A16" s="10" t="s">
        <v>12</v>
      </c>
      <c r="B16" s="17">
        <v>0.14017537521757692</v>
      </c>
      <c r="C16" s="17">
        <v>7.4204946996466431E-2</v>
      </c>
      <c r="D16" s="17">
        <v>5.7471264367816091E-2</v>
      </c>
      <c r="E16" s="17">
        <v>8.6261980830670923E-2</v>
      </c>
      <c r="F16" s="17">
        <v>9.2519685039370081E-2</v>
      </c>
      <c r="G16" s="17">
        <v>9.417040358744394E-2</v>
      </c>
      <c r="H16" s="17">
        <v>7.7294685990338161E-2</v>
      </c>
      <c r="I16" s="10">
        <v>0.7340700844034288</v>
      </c>
      <c r="J16" s="10">
        <f t="shared" si="1"/>
        <v>0.7340700844034288</v>
      </c>
      <c r="K16" s="10">
        <f t="shared" si="0"/>
        <v>0.63074204946996471</v>
      </c>
      <c r="L16" s="10">
        <f t="shared" si="0"/>
        <v>0.6839080459770116</v>
      </c>
      <c r="M16" s="10">
        <f t="shared" si="0"/>
        <v>0.77316293929712454</v>
      </c>
      <c r="N16" s="10">
        <f t="shared" si="0"/>
        <v>0.70669291338582663</v>
      </c>
      <c r="O16" s="10">
        <f t="shared" si="0"/>
        <v>0.68385650224215255</v>
      </c>
      <c r="P16" s="10">
        <f t="shared" si="0"/>
        <v>0.72946859903381633</v>
      </c>
    </row>
    <row r="17" spans="1:16" x14ac:dyDescent="0.3">
      <c r="A17" s="10" t="s">
        <v>0</v>
      </c>
      <c r="B17" s="17">
        <v>0.26592991559657131</v>
      </c>
      <c r="C17" s="17">
        <v>0.36925795053003535</v>
      </c>
      <c r="D17" s="17">
        <v>0.31609195402298851</v>
      </c>
      <c r="E17" s="17">
        <v>0.2268370607028754</v>
      </c>
      <c r="F17" s="17">
        <v>0.29330708661417321</v>
      </c>
      <c r="G17" s="17">
        <v>0.31614349775784756</v>
      </c>
      <c r="H17" s="17">
        <v>0.27053140096618356</v>
      </c>
      <c r="I17" s="10">
        <v>1</v>
      </c>
      <c r="J17" s="10">
        <f t="shared" si="1"/>
        <v>1</v>
      </c>
      <c r="K17" s="10">
        <f t="shared" si="0"/>
        <v>1</v>
      </c>
      <c r="L17" s="10">
        <f t="shared" si="0"/>
        <v>1</v>
      </c>
      <c r="M17" s="10">
        <f t="shared" si="0"/>
        <v>1</v>
      </c>
      <c r="N17" s="10">
        <f t="shared" si="0"/>
        <v>0.99999999999999978</v>
      </c>
      <c r="O17" s="10">
        <f t="shared" si="0"/>
        <v>1</v>
      </c>
      <c r="P17" s="10">
        <f t="shared" si="0"/>
        <v>0.99999999999999989</v>
      </c>
    </row>
    <row r="19" spans="1:16" ht="28.8" x14ac:dyDescent="0.3">
      <c r="B19" s="1" t="s">
        <v>154</v>
      </c>
      <c r="C19" s="3" t="s">
        <v>162</v>
      </c>
      <c r="D19" s="3" t="s">
        <v>163</v>
      </c>
      <c r="E19" s="3" t="s">
        <v>164</v>
      </c>
      <c r="F19" s="3" t="s">
        <v>165</v>
      </c>
      <c r="G19" s="3" t="s">
        <v>166</v>
      </c>
      <c r="H19" s="3" t="s">
        <v>167</v>
      </c>
      <c r="J19" s="8"/>
      <c r="K19" s="11" t="s">
        <v>168</v>
      </c>
      <c r="L19" s="11" t="s">
        <v>169</v>
      </c>
      <c r="M19" s="11" t="s">
        <v>170</v>
      </c>
      <c r="N19" s="11" t="s">
        <v>171</v>
      </c>
      <c r="O19" s="11" t="s">
        <v>172</v>
      </c>
      <c r="P19" s="11" t="s">
        <v>173</v>
      </c>
    </row>
    <row r="20" spans="1:16" x14ac:dyDescent="0.3">
      <c r="B20" s="10" t="s">
        <v>11</v>
      </c>
      <c r="C20" s="10">
        <f>C2-B2</f>
        <v>-2.4962902110428056E-3</v>
      </c>
      <c r="D20" s="10">
        <f>D2-B2</f>
        <v>-7.7966435679332653E-3</v>
      </c>
      <c r="E20" s="10">
        <f>E2-B2</f>
        <v>-1.4068672101057896E-3</v>
      </c>
      <c r="F20" s="10">
        <f>F2-B2</f>
        <v>5.9828839911218526E-3</v>
      </c>
      <c r="G20" s="10">
        <f>G2-B2</f>
        <v>5.6562712302730134E-3</v>
      </c>
      <c r="H20" s="10">
        <f>H2-B2</f>
        <v>-7.7966435679332653E-3</v>
      </c>
      <c r="J20" s="10" t="s">
        <v>11</v>
      </c>
      <c r="K20" s="8">
        <f>(J2-0) * ((K2+0))</f>
        <v>4.1324965907773496E-5</v>
      </c>
      <c r="L20" s="8">
        <f>(J2-0) * ((L2+0))</f>
        <v>0</v>
      </c>
      <c r="M20" s="8">
        <f>(J2-0) * ((M2+0))</f>
        <v>4.9818808740787633E-5</v>
      </c>
      <c r="N20" s="8">
        <f>(J2-0) * ((N2+0))</f>
        <v>1.0743406491246626E-4</v>
      </c>
      <c r="O20" s="8">
        <f>(J2-0) * ((O2+0))</f>
        <v>1.0488758163138922E-4</v>
      </c>
      <c r="P20" s="8">
        <f>(J2-0) * ((P2+0))</f>
        <v>0</v>
      </c>
    </row>
    <row r="21" spans="1:16" x14ac:dyDescent="0.3">
      <c r="B21" s="10" t="s">
        <v>8</v>
      </c>
      <c r="C21" s="10">
        <f t="shared" ref="C21:C35" si="2">C3-B3</f>
        <v>4.984642686426833E-4</v>
      </c>
      <c r="D21" s="10">
        <f t="shared" ref="D21:D35" si="3">D3-B3</f>
        <v>-3.248337242262641E-3</v>
      </c>
      <c r="E21" s="10">
        <f t="shared" ref="E21:E35" si="4">E3-B3</f>
        <v>-8.6741387185213167E-3</v>
      </c>
      <c r="F21" s="10">
        <f t="shared" ref="F21:F35" si="5">F3-B3</f>
        <v>-7.9320190234193066E-3</v>
      </c>
      <c r="G21" s="10">
        <f t="shared" ref="G21:G35" si="6">G3-B3</f>
        <v>-1.1869026897435055E-2</v>
      </c>
      <c r="H21" s="10">
        <f t="shared" ref="H21:H35" si="7">H3-B3</f>
        <v>-1.1869026897435055E-2</v>
      </c>
      <c r="J21" s="10" t="s">
        <v>8</v>
      </c>
      <c r="K21" s="8">
        <f>(J3-J2) * ((K3+K2))</f>
        <v>2.7261015842165319E-4</v>
      </c>
      <c r="L21" s="8">
        <f>(J3-J2) * ((L3+L2))</f>
        <v>1.023191973916815E-4</v>
      </c>
      <c r="M21" s="8">
        <f>(J3-J2) * ((M3+M2))</f>
        <v>1.8960106864912226E-4</v>
      </c>
      <c r="N21" s="8">
        <f>(J3-J2) * ((N3+N2))</f>
        <v>3.7382761881685211E-4</v>
      </c>
      <c r="O21" s="8">
        <f>(J3-J2) * ((O3+O2))</f>
        <v>3.1934601517762481E-4</v>
      </c>
      <c r="P21" s="8">
        <f>(J3-J2) * ((P3+P2))</f>
        <v>0</v>
      </c>
    </row>
    <row r="22" spans="1:16" x14ac:dyDescent="0.3">
      <c r="B22" s="10" t="s">
        <v>3</v>
      </c>
      <c r="C22" s="10">
        <f t="shared" si="2"/>
        <v>-1.3774164689679215E-2</v>
      </c>
      <c r="D22" s="10">
        <f t="shared" si="3"/>
        <v>-7.5802651730064556E-3</v>
      </c>
      <c r="E22" s="10">
        <f t="shared" si="4"/>
        <v>-1.2684741688742198E-2</v>
      </c>
      <c r="F22" s="10">
        <f t="shared" si="5"/>
        <v>-9.2319983615303039E-3</v>
      </c>
      <c r="G22" s="10">
        <f t="shared" si="6"/>
        <v>-1.6832365580201961E-2</v>
      </c>
      <c r="H22" s="10">
        <f t="shared" si="7"/>
        <v>9.9109891998071381E-3</v>
      </c>
      <c r="J22" s="10" t="s">
        <v>3</v>
      </c>
      <c r="K22" s="8">
        <f t="shared" ref="K22:K35" si="8">(J4-J3) * ((K4+K3))</f>
        <v>7.7511292415389133E-4</v>
      </c>
      <c r="L22" s="8">
        <f t="shared" ref="L22:L35" si="9">(J4-J3) * ((L4+L3))</f>
        <v>5.4811833467154232E-4</v>
      </c>
      <c r="M22" s="8">
        <f t="shared" ref="M22:M35" si="10">(J4-J3) * ((M4+M3))</f>
        <v>4.8752761780369771E-4</v>
      </c>
      <c r="N22" s="8">
        <f t="shared" ref="N22:N35" si="11">(J4-J3) * ((N4+N3))</f>
        <v>8.6361006903760344E-4</v>
      </c>
      <c r="O22" s="8">
        <f t="shared" ref="O22:O35" si="12">(J4-J3) * ((O4+O3))</f>
        <v>5.5598370987759141E-4</v>
      </c>
      <c r="P22" s="8">
        <f t="shared" ref="P22:P35" si="13">(J4-J3) * ((P4+P3))</f>
        <v>5.528845810599905E-4</v>
      </c>
    </row>
    <row r="23" spans="1:16" x14ac:dyDescent="0.3">
      <c r="B23" s="10" t="s">
        <v>10</v>
      </c>
      <c r="C23" s="10">
        <f t="shared" si="2"/>
        <v>1.0202172038351331E-2</v>
      </c>
      <c r="D23" s="10">
        <f t="shared" si="3"/>
        <v>-2.5917843403497759E-3</v>
      </c>
      <c r="E23" s="10">
        <f t="shared" si="4"/>
        <v>-7.0536109350396517E-3</v>
      </c>
      <c r="F23" s="10">
        <f t="shared" si="5"/>
        <v>1.1662899341431381E-2</v>
      </c>
      <c r="G23" s="10">
        <f t="shared" si="6"/>
        <v>3.4620854661481307E-4</v>
      </c>
      <c r="H23" s="10">
        <f t="shared" si="7"/>
        <v>-5.3404100275061973E-3</v>
      </c>
      <c r="J23" s="10" t="s">
        <v>10</v>
      </c>
      <c r="K23" s="8">
        <f t="shared" si="8"/>
        <v>1.5067597826499434E-3</v>
      </c>
      <c r="L23" s="8">
        <f t="shared" si="9"/>
        <v>1.1398369914192301E-3</v>
      </c>
      <c r="M23" s="8">
        <f t="shared" si="10"/>
        <v>8.8710636137292152E-4</v>
      </c>
      <c r="N23" s="8">
        <f t="shared" si="11"/>
        <v>1.7178330721074066E-3</v>
      </c>
      <c r="O23" s="8">
        <f t="shared" si="12"/>
        <v>1.0227864662914257E-3</v>
      </c>
      <c r="P23" s="8">
        <f t="shared" si="13"/>
        <v>1.437185771789464E-3</v>
      </c>
    </row>
    <row r="24" spans="1:16" x14ac:dyDescent="0.3">
      <c r="B24" s="10" t="s">
        <v>15</v>
      </c>
      <c r="C24" s="10">
        <f t="shared" si="2"/>
        <v>-2.2116109808592646E-3</v>
      </c>
      <c r="D24" s="10">
        <f t="shared" si="3"/>
        <v>-2.1913031135914855E-3</v>
      </c>
      <c r="E24" s="10">
        <f t="shared" si="4"/>
        <v>6.7690729284194569E-3</v>
      </c>
      <c r="F24" s="10">
        <f t="shared" si="5"/>
        <v>2.3792462573923139E-3</v>
      </c>
      <c r="G24" s="10">
        <f t="shared" si="6"/>
        <v>-5.161317306730806E-4</v>
      </c>
      <c r="H24" s="10">
        <f t="shared" si="7"/>
        <v>3.80569838565889E-3</v>
      </c>
      <c r="J24" s="10" t="s">
        <v>15</v>
      </c>
      <c r="K24" s="8">
        <f t="shared" si="8"/>
        <v>3.2475725209053156E-3</v>
      </c>
      <c r="L24" s="8">
        <f t="shared" si="9"/>
        <v>2.4600962680011765E-3</v>
      </c>
      <c r="M24" s="8">
        <f t="shared" si="10"/>
        <v>2.2525068629396226E-3</v>
      </c>
      <c r="N24" s="8">
        <f t="shared" si="11"/>
        <v>3.6679249127817446E-3</v>
      </c>
      <c r="O24" s="8">
        <f t="shared" si="12"/>
        <v>2.4276497332082307E-3</v>
      </c>
      <c r="P24" s="8">
        <f t="shared" si="13"/>
        <v>2.91939812877889E-3</v>
      </c>
    </row>
    <row r="25" spans="1:16" x14ac:dyDescent="0.3">
      <c r="B25" s="10" t="s">
        <v>9</v>
      </c>
      <c r="C25" s="10">
        <f t="shared" si="2"/>
        <v>3.4910045378549338E-2</v>
      </c>
      <c r="D25" s="10">
        <f t="shared" si="3"/>
        <v>8.0947980474605552E-2</v>
      </c>
      <c r="E25" s="10">
        <f t="shared" si="4"/>
        <v>7.7826538000954182E-2</v>
      </c>
      <c r="F25" s="10">
        <f t="shared" si="5"/>
        <v>3.6871593471256826E-2</v>
      </c>
      <c r="G25" s="10">
        <f t="shared" si="6"/>
        <v>7.811307505735901E-2</v>
      </c>
      <c r="H25" s="10">
        <f t="shared" si="7"/>
        <v>8.1947480724480604E-2</v>
      </c>
      <c r="J25" s="10" t="s">
        <v>9</v>
      </c>
      <c r="K25" s="8">
        <f t="shared" si="8"/>
        <v>7.5076299163044716E-3</v>
      </c>
      <c r="L25" s="8">
        <f t="shared" si="9"/>
        <v>8.0102096477131738E-3</v>
      </c>
      <c r="M25" s="8">
        <f t="shared" si="10"/>
        <v>7.9284409682266604E-3</v>
      </c>
      <c r="N25" s="8">
        <f t="shared" si="11"/>
        <v>8.2978818589907553E-3</v>
      </c>
      <c r="O25" s="8">
        <f t="shared" si="12"/>
        <v>7.9269798635577832E-3</v>
      </c>
      <c r="P25" s="8">
        <f t="shared" si="13"/>
        <v>8.8681430246156465E-3</v>
      </c>
    </row>
    <row r="26" spans="1:16" x14ac:dyDescent="0.3">
      <c r="B26" s="10" t="s">
        <v>6</v>
      </c>
      <c r="C26" s="10">
        <f t="shared" si="2"/>
        <v>2.7116894878501011E-2</v>
      </c>
      <c r="D26" s="10">
        <f t="shared" si="3"/>
        <v>1.0596444856162353E-2</v>
      </c>
      <c r="E26" s="10">
        <f t="shared" si="4"/>
        <v>1.9253857363965954E-2</v>
      </c>
      <c r="F26" s="10">
        <f t="shared" si="5"/>
        <v>8.9899646317076476E-3</v>
      </c>
      <c r="G26" s="10">
        <f t="shared" si="6"/>
        <v>-1.5832605192804199E-2</v>
      </c>
      <c r="H26" s="10">
        <f t="shared" si="7"/>
        <v>5.2241310130838881E-3</v>
      </c>
      <c r="J26" s="10" t="s">
        <v>6</v>
      </c>
      <c r="K26" s="8">
        <f t="shared" si="8"/>
        <v>1.3584947175181531E-2</v>
      </c>
      <c r="L26" s="8">
        <f t="shared" si="9"/>
        <v>1.5279666810491102E-2</v>
      </c>
      <c r="M26" s="8">
        <f t="shared" si="10"/>
        <v>1.5399426076411014E-2</v>
      </c>
      <c r="N26" s="8">
        <f t="shared" si="11"/>
        <v>1.3855826562190088E-2</v>
      </c>
      <c r="O26" s="8">
        <f t="shared" si="12"/>
        <v>1.4066541023459502E-2</v>
      </c>
      <c r="P26" s="8">
        <f t="shared" si="13"/>
        <v>1.6077822693303746E-2</v>
      </c>
    </row>
    <row r="27" spans="1:16" x14ac:dyDescent="0.3">
      <c r="B27" s="10" t="s">
        <v>1</v>
      </c>
      <c r="C27" s="10">
        <f t="shared" si="2"/>
        <v>5.1661661676763102E-3</v>
      </c>
      <c r="D27" s="10">
        <f t="shared" si="3"/>
        <v>-1.0481045562147823E-2</v>
      </c>
      <c r="E27" s="10">
        <f t="shared" si="4"/>
        <v>-1.9083373791004644E-2</v>
      </c>
      <c r="F27" s="10">
        <f t="shared" si="5"/>
        <v>5.3122388979843158E-3</v>
      </c>
      <c r="G27" s="10">
        <f t="shared" si="6"/>
        <v>8.2164442579645419E-3</v>
      </c>
      <c r="H27" s="10">
        <f t="shared" si="7"/>
        <v>4.395007221229829E-2</v>
      </c>
      <c r="J27" s="10" t="s">
        <v>1</v>
      </c>
      <c r="K27" s="8">
        <f t="shared" si="8"/>
        <v>2.2650908946164634E-2</v>
      </c>
      <c r="L27" s="8">
        <f t="shared" si="9"/>
        <v>2.3231365203470061E-2</v>
      </c>
      <c r="M27" s="8">
        <f t="shared" si="10"/>
        <v>2.3383761061942263E-2</v>
      </c>
      <c r="N27" s="8">
        <f t="shared" si="11"/>
        <v>2.2129490825371353E-2</v>
      </c>
      <c r="O27" s="8">
        <f t="shared" si="12"/>
        <v>2.1344475589337289E-2</v>
      </c>
      <c r="P27" s="8">
        <f t="shared" si="13"/>
        <v>2.6576315222904608E-2</v>
      </c>
    </row>
    <row r="28" spans="1:16" x14ac:dyDescent="0.3">
      <c r="B28" s="10" t="s">
        <v>4</v>
      </c>
      <c r="C28" s="10">
        <f t="shared" si="2"/>
        <v>-3.1355111895961817E-2</v>
      </c>
      <c r="D28" s="10">
        <f t="shared" si="3"/>
        <v>-2.028732423502197E-2</v>
      </c>
      <c r="E28" s="10">
        <f t="shared" si="4"/>
        <v>-4.2633180061102539E-2</v>
      </c>
      <c r="F28" s="10">
        <f t="shared" si="5"/>
        <v>-3.3274924922867023E-2</v>
      </c>
      <c r="G28" s="10">
        <f t="shared" si="6"/>
        <v>-2.2117126822517458E-2</v>
      </c>
      <c r="H28" s="10">
        <f t="shared" si="7"/>
        <v>-1.5206531298157071E-2</v>
      </c>
      <c r="J28" s="10" t="s">
        <v>4</v>
      </c>
      <c r="K28" s="8">
        <f t="shared" si="8"/>
        <v>2.6676803139629772E-2</v>
      </c>
      <c r="L28" s="8">
        <f t="shared" si="9"/>
        <v>2.7047148369064848E-2</v>
      </c>
      <c r="M28" s="8">
        <f t="shared" si="10"/>
        <v>2.5686149689151835E-2</v>
      </c>
      <c r="N28" s="8">
        <f t="shared" si="11"/>
        <v>2.6055508332895883E-2</v>
      </c>
      <c r="O28" s="8">
        <f t="shared" si="12"/>
        <v>2.5940398463828448E-2</v>
      </c>
      <c r="P28" s="8">
        <f t="shared" si="13"/>
        <v>3.3392448575213209E-2</v>
      </c>
    </row>
    <row r="29" spans="1:16" x14ac:dyDescent="0.3">
      <c r="B29" s="10" t="s">
        <v>2</v>
      </c>
      <c r="C29" s="10">
        <f t="shared" si="2"/>
        <v>-1.4872856390695348E-2</v>
      </c>
      <c r="D29" s="10">
        <f t="shared" si="3"/>
        <v>-2.4346476471114504E-2</v>
      </c>
      <c r="E29" s="10">
        <f t="shared" si="4"/>
        <v>-1.8259663647494366E-2</v>
      </c>
      <c r="F29" s="10">
        <f t="shared" si="5"/>
        <v>-2.0680986381513635E-2</v>
      </c>
      <c r="G29" s="10">
        <f t="shared" si="6"/>
        <v>-8.8119117654206214E-4</v>
      </c>
      <c r="H29" s="10">
        <f t="shared" si="7"/>
        <v>-1.6392120315858801E-2</v>
      </c>
      <c r="J29" s="10" t="s">
        <v>2</v>
      </c>
      <c r="K29" s="8">
        <f t="shared" si="8"/>
        <v>2.9983194978059229E-2</v>
      </c>
      <c r="L29" s="8">
        <f t="shared" si="9"/>
        <v>3.0442537606693375E-2</v>
      </c>
      <c r="M29" s="8">
        <f t="shared" si="10"/>
        <v>2.8232281140086846E-2</v>
      </c>
      <c r="N29" s="8">
        <f t="shared" si="11"/>
        <v>2.8958865773490338E-2</v>
      </c>
      <c r="O29" s="8">
        <f t="shared" si="12"/>
        <v>3.0395307775539383E-2</v>
      </c>
      <c r="P29" s="8">
        <f t="shared" si="13"/>
        <v>3.7595770737574481E-2</v>
      </c>
    </row>
    <row r="30" spans="1:16" x14ac:dyDescent="0.3">
      <c r="B30" s="10" t="s">
        <v>14</v>
      </c>
      <c r="C30" s="10">
        <f t="shared" si="2"/>
        <v>-2.9000876980531776E-2</v>
      </c>
      <c r="D30" s="10">
        <f t="shared" si="3"/>
        <v>7.7157470396136338E-3</v>
      </c>
      <c r="E30" s="10">
        <f t="shared" si="4"/>
        <v>-1.7163985618019219E-2</v>
      </c>
      <c r="F30" s="10">
        <f t="shared" si="5"/>
        <v>-1.2195557150810846E-2</v>
      </c>
      <c r="G30" s="10">
        <f t="shared" si="6"/>
        <v>1.4004082692415036E-2</v>
      </c>
      <c r="H30" s="10">
        <f t="shared" si="7"/>
        <v>7.2992886021656864E-3</v>
      </c>
      <c r="J30" s="10" t="s">
        <v>14</v>
      </c>
      <c r="K30" s="8">
        <f t="shared" si="8"/>
        <v>3.6576830608372912E-2</v>
      </c>
      <c r="L30" s="8">
        <f t="shared" si="9"/>
        <v>3.8596666066454455E-2</v>
      </c>
      <c r="M30" s="8">
        <f t="shared" si="10"/>
        <v>3.5110298611715177E-2</v>
      </c>
      <c r="N30" s="8">
        <f t="shared" si="11"/>
        <v>3.6054867012686516E-2</v>
      </c>
      <c r="O30" s="8">
        <f t="shared" si="12"/>
        <v>4.0195860843250809E-2</v>
      </c>
      <c r="P30" s="8">
        <f t="shared" si="13"/>
        <v>4.6922524922088003E-2</v>
      </c>
    </row>
    <row r="31" spans="1:16" x14ac:dyDescent="0.3">
      <c r="B31" s="10" t="s">
        <v>5</v>
      </c>
      <c r="C31" s="10">
        <f t="shared" si="2"/>
        <v>-4.4403577226450719E-2</v>
      </c>
      <c r="D31" s="10">
        <f t="shared" si="3"/>
        <v>-2.8908674501134927E-2</v>
      </c>
      <c r="E31" s="10">
        <f t="shared" si="4"/>
        <v>-4.9969230485123764E-2</v>
      </c>
      <c r="F31" s="10">
        <f t="shared" si="5"/>
        <v>-3.9611000503488078E-2</v>
      </c>
      <c r="G31" s="10">
        <f t="shared" si="6"/>
        <v>-5.3443492294032197E-2</v>
      </c>
      <c r="H31" s="10">
        <f t="shared" si="7"/>
        <v>-4.9814888061021648E-2</v>
      </c>
      <c r="J31" s="10" t="s">
        <v>5</v>
      </c>
      <c r="K31" s="8">
        <f t="shared" si="8"/>
        <v>4.9105478697101947E-2</v>
      </c>
      <c r="L31" s="8">
        <f t="shared" si="9"/>
        <v>5.5231378038196909E-2</v>
      </c>
      <c r="M31" s="8">
        <f t="shared" si="10"/>
        <v>4.7712232794437502E-2</v>
      </c>
      <c r="N31" s="8">
        <f t="shared" si="11"/>
        <v>4.9948526295292263E-2</v>
      </c>
      <c r="O31" s="8">
        <f t="shared" si="12"/>
        <v>5.5961928252593815E-2</v>
      </c>
      <c r="P31" s="8">
        <f t="shared" si="13"/>
        <v>6.412851901088111E-2</v>
      </c>
    </row>
    <row r="32" spans="1:16" x14ac:dyDescent="0.3">
      <c r="B32" s="10" t="s">
        <v>13</v>
      </c>
      <c r="C32" s="10">
        <f t="shared" si="2"/>
        <v>1.1795150252400258E-2</v>
      </c>
      <c r="D32" s="10">
        <f t="shared" si="3"/>
        <v>1.4963177546173878E-2</v>
      </c>
      <c r="E32" s="10">
        <f t="shared" si="4"/>
        <v>8.6284854672931816E-3</v>
      </c>
      <c r="F32" s="10">
        <f t="shared" si="5"/>
        <v>3.3086989655867052E-2</v>
      </c>
      <c r="G32" s="10">
        <f t="shared" si="6"/>
        <v>9.4737697836873996E-3</v>
      </c>
      <c r="H32" s="10">
        <f t="shared" si="7"/>
        <v>-8.4417866384005058E-3</v>
      </c>
      <c r="J32" s="10" t="s">
        <v>13</v>
      </c>
      <c r="K32" s="8">
        <f t="shared" si="8"/>
        <v>5.8278872614080872E-2</v>
      </c>
      <c r="L32" s="8">
        <f t="shared" si="9"/>
        <v>6.592091241318157E-2</v>
      </c>
      <c r="M32" s="8">
        <f t="shared" si="10"/>
        <v>5.6221081771153078E-2</v>
      </c>
      <c r="N32" s="8">
        <f t="shared" si="11"/>
        <v>6.1005940487036142E-2</v>
      </c>
      <c r="O32" s="8">
        <f t="shared" si="12"/>
        <v>6.4534669233727152E-2</v>
      </c>
      <c r="P32" s="8">
        <f t="shared" si="13"/>
        <v>7.1932064116714989E-2</v>
      </c>
    </row>
    <row r="33" spans="2:16" x14ac:dyDescent="0.3">
      <c r="B33" s="10" t="s">
        <v>7</v>
      </c>
      <c r="C33" s="10">
        <f t="shared" si="2"/>
        <v>1.106798867874649E-2</v>
      </c>
      <c r="D33" s="10">
        <f t="shared" si="3"/>
        <v>2.5750576713351098E-2</v>
      </c>
      <c r="E33" s="10">
        <f t="shared" si="4"/>
        <v>0.15745708767512262</v>
      </c>
      <c r="F33" s="10">
        <f t="shared" si="5"/>
        <v>3.8919189257472744E-2</v>
      </c>
      <c r="G33" s="10">
        <f t="shared" si="6"/>
        <v>1.4734775947489592E-3</v>
      </c>
      <c r="H33" s="10">
        <f t="shared" si="7"/>
        <v>2.1002950526444547E-2</v>
      </c>
      <c r="J33" s="10" t="s">
        <v>7</v>
      </c>
      <c r="K33" s="8">
        <f t="shared" si="8"/>
        <v>9.5610026010010188E-2</v>
      </c>
      <c r="L33" s="8">
        <f t="shared" si="9"/>
        <v>0.10748849687606529</v>
      </c>
      <c r="M33" s="8">
        <f t="shared" si="10"/>
        <v>0.10646522855952402</v>
      </c>
      <c r="N33" s="8">
        <f t="shared" si="11"/>
        <v>0.10390970004574582</v>
      </c>
      <c r="O33" s="8">
        <f t="shared" si="12"/>
        <v>0.10281519034916438</v>
      </c>
      <c r="P33" s="8">
        <f t="shared" si="13"/>
        <v>0.11282615121221949</v>
      </c>
    </row>
    <row r="34" spans="2:16" x14ac:dyDescent="0.3">
      <c r="B34" s="10" t="s">
        <v>12</v>
      </c>
      <c r="C34" s="10">
        <f t="shared" si="2"/>
        <v>-6.5970428221110489E-2</v>
      </c>
      <c r="D34" s="10">
        <f t="shared" si="3"/>
        <v>-8.2704110849760828E-2</v>
      </c>
      <c r="E34" s="10">
        <f t="shared" si="4"/>
        <v>-5.3913394386905997E-2</v>
      </c>
      <c r="F34" s="10">
        <f t="shared" si="5"/>
        <v>-4.7655690178206839E-2</v>
      </c>
      <c r="G34" s="10">
        <f t="shared" si="6"/>
        <v>-4.6004971630132979E-2</v>
      </c>
      <c r="H34" s="10">
        <f t="shared" si="7"/>
        <v>-6.2880689227238759E-2</v>
      </c>
      <c r="J34" s="10" t="s">
        <v>12</v>
      </c>
      <c r="K34" s="8">
        <f t="shared" si="8"/>
        <v>0.16642730061168146</v>
      </c>
      <c r="L34" s="8">
        <f t="shared" si="9"/>
        <v>0.18367807787130774</v>
      </c>
      <c r="M34" s="8">
        <f t="shared" si="10"/>
        <v>0.20466500471064747</v>
      </c>
      <c r="N34" s="8">
        <f t="shared" si="11"/>
        <v>0.18515290702951598</v>
      </c>
      <c r="O34" s="8">
        <f t="shared" si="12"/>
        <v>0.17851931193628634</v>
      </c>
      <c r="P34" s="8">
        <f t="shared" si="13"/>
        <v>0.19367225754699036</v>
      </c>
    </row>
    <row r="35" spans="2:16" x14ac:dyDescent="0.3">
      <c r="B35" s="10" t="s">
        <v>0</v>
      </c>
      <c r="C35" s="10">
        <f t="shared" si="2"/>
        <v>0.10332803493346404</v>
      </c>
      <c r="D35" s="10">
        <f t="shared" si="3"/>
        <v>5.0162038426417199E-2</v>
      </c>
      <c r="E35" s="10">
        <f t="shared" si="4"/>
        <v>-3.9092854893695905E-2</v>
      </c>
      <c r="F35" s="10">
        <f t="shared" si="5"/>
        <v>2.7377171017601898E-2</v>
      </c>
      <c r="G35" s="10">
        <f t="shared" si="6"/>
        <v>5.0213582161276249E-2</v>
      </c>
      <c r="H35" s="10">
        <f t="shared" si="7"/>
        <v>4.601485369612246E-3</v>
      </c>
      <c r="J35" s="10" t="s">
        <v>0</v>
      </c>
      <c r="K35" s="8">
        <f t="shared" si="8"/>
        <v>0.43366309557532723</v>
      </c>
      <c r="L35" s="8">
        <f t="shared" si="9"/>
        <v>0.44780152453905386</v>
      </c>
      <c r="M35" s="8">
        <f t="shared" si="10"/>
        <v>0.47153707078625245</v>
      </c>
      <c r="N35" s="8">
        <f t="shared" si="11"/>
        <v>0.45386070240595899</v>
      </c>
      <c r="O35" s="8">
        <f t="shared" si="12"/>
        <v>0.44778781751799324</v>
      </c>
      <c r="P35" s="8">
        <f t="shared" si="13"/>
        <v>0.45991743856798295</v>
      </c>
    </row>
    <row r="36" spans="2:16" x14ac:dyDescent="0.3">
      <c r="J36" s="12" t="s">
        <v>174</v>
      </c>
      <c r="K36" s="11">
        <f>SUM(K20:K35)</f>
        <v>0.94590846862395284</v>
      </c>
      <c r="L36" s="11">
        <f t="shared" ref="L36:P36" si="14">SUM(L20:L35)</f>
        <v>1.0069783542331761</v>
      </c>
      <c r="M36" s="11">
        <f t="shared" si="14"/>
        <v>1.0262075368890544</v>
      </c>
      <c r="N36" s="11">
        <f t="shared" si="14"/>
        <v>0.99596084636683024</v>
      </c>
      <c r="O36" s="11">
        <f t="shared" si="14"/>
        <v>0.99391913435492429</v>
      </c>
      <c r="P36" s="11">
        <f t="shared" si="14"/>
        <v>1.0768189241121169</v>
      </c>
    </row>
    <row r="37" spans="2:16" x14ac:dyDescent="0.3">
      <c r="J37" s="13" t="s">
        <v>175</v>
      </c>
      <c r="K37" s="14">
        <f>1-K36</f>
        <v>5.4091531376047164E-2</v>
      </c>
      <c r="L37" s="14">
        <f t="shared" ref="L37:P37" si="15">1-L36</f>
        <v>-6.978354233176054E-3</v>
      </c>
      <c r="M37" s="14">
        <f t="shared" si="15"/>
        <v>-2.6207536889054417E-2</v>
      </c>
      <c r="N37" s="14">
        <f t="shared" si="15"/>
        <v>4.0391536331697564E-3</v>
      </c>
      <c r="O37" s="14">
        <f t="shared" si="15"/>
        <v>6.0808656450757059E-3</v>
      </c>
      <c r="P37" s="14">
        <f t="shared" si="15"/>
        <v>-7.6818924112116882E-2</v>
      </c>
    </row>
  </sheetData>
  <sortState xmlns:xlrd2="http://schemas.microsoft.com/office/spreadsheetml/2017/richdata2" ref="A2:P17">
    <sortCondition ref="B1:B17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C62D-80B0-4963-8A0D-ACD145A95961}">
  <dimension ref="A1:P15"/>
  <sheetViews>
    <sheetView workbookViewId="0">
      <selection activeCell="A8" sqref="A8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18</v>
      </c>
      <c r="B2" s="17">
        <v>9.6023488610388591E-2</v>
      </c>
      <c r="C2" s="17">
        <v>6.0606060606060608E-2</v>
      </c>
      <c r="D2" s="17">
        <v>9.375E-2</v>
      </c>
      <c r="E2" s="17">
        <v>7.6923076923076927E-2</v>
      </c>
      <c r="F2" s="17">
        <v>8.6206896551724144E-2</v>
      </c>
      <c r="G2" s="17">
        <v>9.2592592592592587E-2</v>
      </c>
      <c r="H2" s="17">
        <v>6.25E-2</v>
      </c>
      <c r="I2" s="10">
        <v>9.6023488610388591E-2</v>
      </c>
      <c r="J2" s="18">
        <v>9.6023488610388591E-2</v>
      </c>
      <c r="K2" s="18">
        <v>6.0606060606060608E-2</v>
      </c>
      <c r="L2" s="18">
        <v>9.375E-2</v>
      </c>
      <c r="M2" s="18">
        <v>7.6923076923076927E-2</v>
      </c>
      <c r="N2" s="18">
        <v>8.6206896551724144E-2</v>
      </c>
      <c r="O2" s="18">
        <v>9.2592592592592587E-2</v>
      </c>
      <c r="P2" s="18">
        <v>6.25E-2</v>
      </c>
    </row>
    <row r="3" spans="1:16" x14ac:dyDescent="0.3">
      <c r="A3" s="10" t="s">
        <v>17</v>
      </c>
      <c r="B3" s="17">
        <v>0.13517774099471899</v>
      </c>
      <c r="C3" s="17">
        <v>9.0909090909090912E-2</v>
      </c>
      <c r="D3" s="17">
        <v>9.375E-2</v>
      </c>
      <c r="E3" s="17">
        <v>0.15384615384615385</v>
      </c>
      <c r="F3" s="17">
        <v>5.1724137931034482E-2</v>
      </c>
      <c r="G3" s="17">
        <v>7.407407407407407E-2</v>
      </c>
      <c r="H3" s="17">
        <v>9.375E-2</v>
      </c>
      <c r="I3" s="10">
        <v>0.23120122960510758</v>
      </c>
      <c r="J3" s="10">
        <f t="shared" ref="J3:P6" si="0">J2+B3</f>
        <v>0.23120122960510758</v>
      </c>
      <c r="K3" s="10">
        <f t="shared" si="0"/>
        <v>0.15151515151515152</v>
      </c>
      <c r="L3" s="10">
        <f t="shared" si="0"/>
        <v>0.1875</v>
      </c>
      <c r="M3" s="10">
        <f t="shared" si="0"/>
        <v>0.23076923076923078</v>
      </c>
      <c r="N3" s="10">
        <f t="shared" si="0"/>
        <v>0.13793103448275862</v>
      </c>
      <c r="O3" s="10">
        <f t="shared" si="0"/>
        <v>0.16666666666666666</v>
      </c>
      <c r="P3" s="10">
        <f t="shared" si="0"/>
        <v>0.15625</v>
      </c>
    </row>
    <row r="4" spans="1:16" x14ac:dyDescent="0.3">
      <c r="A4" s="10" t="s">
        <v>19</v>
      </c>
      <c r="B4" s="17">
        <v>0.14081343107117522</v>
      </c>
      <c r="C4" s="17">
        <v>9.0909090909090912E-2</v>
      </c>
      <c r="D4" s="17">
        <v>0.125</v>
      </c>
      <c r="E4" s="17">
        <v>0.30769230769230771</v>
      </c>
      <c r="F4" s="17">
        <v>0.20689655172413793</v>
      </c>
      <c r="G4" s="17">
        <v>0.18518518518518517</v>
      </c>
      <c r="H4" s="17">
        <v>0.28125</v>
      </c>
      <c r="I4" s="10">
        <v>0.3720146606762828</v>
      </c>
      <c r="J4" s="10">
        <f t="shared" si="0"/>
        <v>0.3720146606762828</v>
      </c>
      <c r="K4" s="10">
        <f t="shared" si="0"/>
        <v>0.24242424242424243</v>
      </c>
      <c r="L4" s="10">
        <f t="shared" si="0"/>
        <v>0.3125</v>
      </c>
      <c r="M4" s="10">
        <f t="shared" si="0"/>
        <v>0.53846153846153855</v>
      </c>
      <c r="N4" s="10">
        <f t="shared" si="0"/>
        <v>0.34482758620689657</v>
      </c>
      <c r="O4" s="10">
        <f t="shared" si="0"/>
        <v>0.35185185185185186</v>
      </c>
      <c r="P4" s="10">
        <f t="shared" si="0"/>
        <v>0.4375</v>
      </c>
    </row>
    <row r="5" spans="1:16" x14ac:dyDescent="0.3">
      <c r="A5" s="10" t="s">
        <v>20</v>
      </c>
      <c r="B5" s="17">
        <v>0.27839520769291398</v>
      </c>
      <c r="C5" s="17">
        <v>6.0606060606060608E-2</v>
      </c>
      <c r="D5" s="17">
        <v>0.15625</v>
      </c>
      <c r="E5" s="17">
        <v>0.15384615384615385</v>
      </c>
      <c r="F5" s="17">
        <v>0.22413793103448276</v>
      </c>
      <c r="G5" s="17">
        <v>0.33333333333333331</v>
      </c>
      <c r="H5" s="17">
        <v>9.375E-2</v>
      </c>
      <c r="I5" s="10">
        <v>0.65040986836919679</v>
      </c>
      <c r="J5" s="10">
        <f t="shared" si="0"/>
        <v>0.65040986836919679</v>
      </c>
      <c r="K5" s="10">
        <f t="shared" si="0"/>
        <v>0.30303030303030304</v>
      </c>
      <c r="L5" s="10">
        <f t="shared" si="0"/>
        <v>0.46875</v>
      </c>
      <c r="M5" s="10">
        <f t="shared" si="0"/>
        <v>0.6923076923076924</v>
      </c>
      <c r="N5" s="10">
        <f t="shared" si="0"/>
        <v>0.56896551724137934</v>
      </c>
      <c r="O5" s="10">
        <f t="shared" si="0"/>
        <v>0.68518518518518512</v>
      </c>
      <c r="P5" s="10">
        <f t="shared" si="0"/>
        <v>0.53125</v>
      </c>
    </row>
    <row r="6" spans="1:16" x14ac:dyDescent="0.3">
      <c r="A6" s="10" t="s">
        <v>16</v>
      </c>
      <c r="B6" s="17">
        <v>0.34959013163080316</v>
      </c>
      <c r="C6" s="17">
        <v>0.69696969696969702</v>
      </c>
      <c r="D6" s="17">
        <v>0.53125</v>
      </c>
      <c r="E6" s="17">
        <v>0.30769230769230771</v>
      </c>
      <c r="F6" s="17">
        <v>0.43103448275862066</v>
      </c>
      <c r="G6" s="17">
        <v>0.31481481481481483</v>
      </c>
      <c r="H6" s="17">
        <v>0.46875</v>
      </c>
      <c r="I6" s="10">
        <v>1</v>
      </c>
      <c r="J6" s="10">
        <f t="shared" si="0"/>
        <v>1</v>
      </c>
      <c r="K6" s="10">
        <f t="shared" si="0"/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P6" s="10">
        <f t="shared" si="0"/>
        <v>1</v>
      </c>
    </row>
    <row r="8" spans="1:16" ht="28.8" x14ac:dyDescent="0.3">
      <c r="B8" s="1" t="s">
        <v>154</v>
      </c>
      <c r="C8" s="3" t="s">
        <v>162</v>
      </c>
      <c r="D8" s="3" t="s">
        <v>163</v>
      </c>
      <c r="E8" s="3" t="s">
        <v>164</v>
      </c>
      <c r="F8" s="3" t="s">
        <v>165</v>
      </c>
      <c r="G8" s="3" t="s">
        <v>166</v>
      </c>
      <c r="H8" s="3" t="s">
        <v>167</v>
      </c>
      <c r="J8" s="8"/>
      <c r="K8" s="11" t="s">
        <v>168</v>
      </c>
      <c r="L8" s="11" t="s">
        <v>169</v>
      </c>
      <c r="M8" s="11" t="s">
        <v>170</v>
      </c>
      <c r="N8" s="11" t="s">
        <v>171</v>
      </c>
      <c r="O8" s="11" t="s">
        <v>172</v>
      </c>
      <c r="P8" s="11" t="s">
        <v>173</v>
      </c>
    </row>
    <row r="9" spans="1:16" x14ac:dyDescent="0.3">
      <c r="B9" s="10" t="s">
        <v>18</v>
      </c>
      <c r="C9" s="10">
        <f>C2-B2</f>
        <v>-3.5417428004327983E-2</v>
      </c>
      <c r="D9" s="10">
        <f>D2-B2</f>
        <v>-2.273488610388591E-3</v>
      </c>
      <c r="E9" s="10">
        <f>E2-B2</f>
        <v>-1.9100411687311664E-2</v>
      </c>
      <c r="F9" s="10">
        <f>F2-B2</f>
        <v>-9.8165920586644473E-3</v>
      </c>
      <c r="G9" s="10">
        <f>G2-B2</f>
        <v>-3.4308960177960035E-3</v>
      </c>
      <c r="H9" s="10">
        <f>H2-B2</f>
        <v>-3.3523488610388591E-2</v>
      </c>
      <c r="J9" s="10" t="s">
        <v>18</v>
      </c>
      <c r="K9" s="8">
        <f>(J2-0) * ((K2+0))</f>
        <v>5.8196053703265813E-3</v>
      </c>
      <c r="L9" s="8">
        <f>(J2-0) * ((L2+0))</f>
        <v>9.0022020572239313E-3</v>
      </c>
      <c r="M9" s="8">
        <f>(J2-0) * ((M2+0))</f>
        <v>7.3864222007991231E-3</v>
      </c>
      <c r="N9" s="8">
        <f>(J2-0) * ((N2+0))</f>
        <v>8.2778869491714306E-3</v>
      </c>
      <c r="O9" s="8">
        <f>(J2-0) * ((O2+0))</f>
        <v>8.8910637602211649E-3</v>
      </c>
      <c r="P9" s="8">
        <f>(J2-0) * ((P2+0))</f>
        <v>6.0014680381492869E-3</v>
      </c>
    </row>
    <row r="10" spans="1:16" x14ac:dyDescent="0.3">
      <c r="B10" s="10" t="s">
        <v>17</v>
      </c>
      <c r="C10" s="10">
        <f t="shared" ref="C10:C13" si="1">C3-B3</f>
        <v>-4.4268650085628081E-2</v>
      </c>
      <c r="D10" s="10">
        <f t="shared" ref="D10:D13" si="2">D3-B3</f>
        <v>-4.1427740994718992E-2</v>
      </c>
      <c r="E10" s="10">
        <f t="shared" ref="E10:E13" si="3">E3-B3</f>
        <v>1.8668412851434862E-2</v>
      </c>
      <c r="F10" s="10">
        <f t="shared" ref="F10:F13" si="4">F3-B3</f>
        <v>-8.3453603063684517E-2</v>
      </c>
      <c r="G10" s="10">
        <f t="shared" ref="G10:G13" si="5">G3-B3</f>
        <v>-6.1103666920644922E-2</v>
      </c>
      <c r="H10" s="10">
        <f t="shared" ref="H10:H13" si="6">H3-B3</f>
        <v>-4.1427740994718992E-2</v>
      </c>
      <c r="J10" s="10" t="s">
        <v>17</v>
      </c>
      <c r="K10" s="8">
        <f>(J3-J2) * ((K3+K2))</f>
        <v>2.8674066271607061E-2</v>
      </c>
      <c r="L10" s="8">
        <f>(J3-J2) * ((L3+L2))</f>
        <v>3.8018739654764717E-2</v>
      </c>
      <c r="M10" s="8">
        <f>(J3-J2) * ((M3+M2))</f>
        <v>4.1593151075298151E-2</v>
      </c>
      <c r="N10" s="8">
        <f>(J3-J2) * ((N3+N2))</f>
        <v>3.0298459188471499E-2</v>
      </c>
      <c r="O10" s="8">
        <f>(J3-J2) * ((O3+O2))</f>
        <v>3.5046080998630845E-2</v>
      </c>
      <c r="P10" s="8">
        <f>(J3-J2) * ((P3+P2))</f>
        <v>2.9570130842594779E-2</v>
      </c>
    </row>
    <row r="11" spans="1:16" x14ac:dyDescent="0.3">
      <c r="B11" s="10" t="s">
        <v>19</v>
      </c>
      <c r="C11" s="10">
        <f t="shared" si="1"/>
        <v>-4.990434016208431E-2</v>
      </c>
      <c r="D11" s="10">
        <f t="shared" si="2"/>
        <v>-1.5813431071175221E-2</v>
      </c>
      <c r="E11" s="10">
        <f t="shared" si="3"/>
        <v>0.16687887662113249</v>
      </c>
      <c r="F11" s="10">
        <f t="shared" si="4"/>
        <v>6.6083120652962707E-2</v>
      </c>
      <c r="G11" s="10">
        <f t="shared" si="5"/>
        <v>4.4371754114009954E-2</v>
      </c>
      <c r="H11" s="10">
        <f t="shared" si="6"/>
        <v>0.14043656892882478</v>
      </c>
      <c r="J11" s="10" t="s">
        <v>19</v>
      </c>
      <c r="K11" s="8">
        <f t="shared" ref="K11:K13" si="7">(J4-J3) * ((K4+K3))</f>
        <v>5.5471957694705386E-2</v>
      </c>
      <c r="L11" s="8">
        <f t="shared" ref="L11:L13" si="8">(J4-J3) * ((L4+L3))</f>
        <v>7.0406715535587611E-2</v>
      </c>
      <c r="M11" s="8">
        <f t="shared" ref="M11:M13" si="9">(J4-J3) * ((M4+M3))</f>
        <v>0.10831802390090403</v>
      </c>
      <c r="N11" s="8">
        <f t="shared" ref="N11:N13" si="10">(J4-J3) * ((N4+N3))</f>
        <v>6.7978897758498386E-2</v>
      </c>
      <c r="O11" s="8">
        <f t="shared" ref="O11:O13" si="11">(J4-J3) * ((O4+O3))</f>
        <v>7.3014371666535294E-2</v>
      </c>
      <c r="P11" s="8">
        <f t="shared" ref="P11:P13" si="12">(J4-J3) * ((P4+P3))</f>
        <v>8.3607974698510293E-2</v>
      </c>
    </row>
    <row r="12" spans="1:16" x14ac:dyDescent="0.3">
      <c r="B12" s="10" t="s">
        <v>20</v>
      </c>
      <c r="C12" s="10">
        <f t="shared" si="1"/>
        <v>-0.21778914708685337</v>
      </c>
      <c r="D12" s="10">
        <f t="shared" si="2"/>
        <v>-0.12214520769291398</v>
      </c>
      <c r="E12" s="10">
        <f t="shared" si="3"/>
        <v>-0.12454905384676013</v>
      </c>
      <c r="F12" s="10">
        <f t="shared" si="4"/>
        <v>-5.4257276658431219E-2</v>
      </c>
      <c r="G12" s="10">
        <f t="shared" si="5"/>
        <v>5.4938125640419333E-2</v>
      </c>
      <c r="H12" s="10">
        <f t="shared" si="6"/>
        <v>-0.18464520769291398</v>
      </c>
      <c r="J12" s="10" t="s">
        <v>20</v>
      </c>
      <c r="K12" s="8">
        <f t="shared" si="7"/>
        <v>0.15185193146886217</v>
      </c>
      <c r="L12" s="8">
        <f t="shared" si="8"/>
        <v>0.21749625601008904</v>
      </c>
      <c r="M12" s="8">
        <f t="shared" si="9"/>
        <v>0.34264025562204797</v>
      </c>
      <c r="N12" s="8">
        <f t="shared" si="10"/>
        <v>0.25439562082283518</v>
      </c>
      <c r="O12" s="8">
        <f t="shared" si="11"/>
        <v>0.28870614131117006</v>
      </c>
      <c r="P12" s="8">
        <f t="shared" si="12"/>
        <v>0.26969535745251044</v>
      </c>
    </row>
    <row r="13" spans="1:16" x14ac:dyDescent="0.3">
      <c r="B13" s="10" t="s">
        <v>16</v>
      </c>
      <c r="C13" s="10">
        <f t="shared" si="1"/>
        <v>0.34737956533889386</v>
      </c>
      <c r="D13" s="10">
        <f t="shared" si="2"/>
        <v>0.18165986836919684</v>
      </c>
      <c r="E13" s="10">
        <f t="shared" si="3"/>
        <v>-4.1897823938495449E-2</v>
      </c>
      <c r="F13" s="10">
        <f t="shared" si="4"/>
        <v>8.1444351127817505E-2</v>
      </c>
      <c r="G13" s="10">
        <f t="shared" si="5"/>
        <v>-3.4775316815988333E-2</v>
      </c>
      <c r="H13" s="10">
        <f t="shared" si="6"/>
        <v>0.11915986836919684</v>
      </c>
      <c r="J13" s="10" t="s">
        <v>16</v>
      </c>
      <c r="K13" s="8">
        <f t="shared" si="7"/>
        <v>0.45552653515528901</v>
      </c>
      <c r="L13" s="8">
        <f t="shared" si="8"/>
        <v>0.51346050583274216</v>
      </c>
      <c r="M13" s="8">
        <f t="shared" si="9"/>
        <v>0.59161406891366708</v>
      </c>
      <c r="N13" s="8">
        <f t="shared" si="10"/>
        <v>0.54849486169660511</v>
      </c>
      <c r="O13" s="8">
        <f t="shared" si="11"/>
        <v>0.58912411071116833</v>
      </c>
      <c r="P13" s="8">
        <f t="shared" si="12"/>
        <v>0.53530988905966748</v>
      </c>
    </row>
    <row r="14" spans="1:16" x14ac:dyDescent="0.3">
      <c r="J14" s="11" t="s">
        <v>174</v>
      </c>
      <c r="K14" s="11">
        <f>SUM(K9:K13)</f>
        <v>0.69734409596079017</v>
      </c>
      <c r="L14" s="11">
        <f t="shared" ref="L14:P14" si="13">SUM(L9:L13)</f>
        <v>0.84838441909040752</v>
      </c>
      <c r="M14" s="11">
        <f t="shared" si="13"/>
        <v>1.0915519217127163</v>
      </c>
      <c r="N14" s="11">
        <f t="shared" si="13"/>
        <v>0.90944572641558163</v>
      </c>
      <c r="O14" s="11">
        <f t="shared" si="13"/>
        <v>0.9947817684477257</v>
      </c>
      <c r="P14" s="11">
        <f t="shared" si="13"/>
        <v>0.92418482009143221</v>
      </c>
    </row>
    <row r="15" spans="1:16" x14ac:dyDescent="0.3">
      <c r="J15" s="14" t="s">
        <v>175</v>
      </c>
      <c r="K15" s="14">
        <f>1-K14</f>
        <v>0.30265590403920983</v>
      </c>
      <c r="L15" s="14">
        <f t="shared" ref="L15:P15" si="14">1-L14</f>
        <v>0.15161558090959248</v>
      </c>
      <c r="M15" s="14">
        <f t="shared" si="14"/>
        <v>-9.1551921712716311E-2</v>
      </c>
      <c r="N15" s="14">
        <f t="shared" si="14"/>
        <v>9.0554273584418365E-2</v>
      </c>
      <c r="O15" s="14">
        <f t="shared" si="14"/>
        <v>5.2182315522742995E-3</v>
      </c>
      <c r="P15" s="14">
        <f t="shared" si="14"/>
        <v>7.5815179908567787E-2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C6D7-AE9F-490B-A6A1-5015A27FAFAF}">
  <dimension ref="A1:P21"/>
  <sheetViews>
    <sheetView zoomScale="94" workbookViewId="0">
      <selection activeCell="A11" sqref="A11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28</v>
      </c>
      <c r="B2" s="17">
        <v>3.1397293075806264E-2</v>
      </c>
      <c r="C2" s="17">
        <v>0.1111111111111111</v>
      </c>
      <c r="D2" s="17">
        <v>5.7692307692307696E-2</v>
      </c>
      <c r="E2" s="17">
        <v>0</v>
      </c>
      <c r="F2" s="17">
        <v>0.08</v>
      </c>
      <c r="G2" s="17">
        <v>5.4545454545454543E-2</v>
      </c>
      <c r="H2" s="17">
        <v>0.1111111111111111</v>
      </c>
      <c r="I2" s="10">
        <v>3.1397293075806264E-2</v>
      </c>
      <c r="J2" s="18">
        <v>3.1397293075806264E-2</v>
      </c>
      <c r="K2" s="18">
        <v>0.1111111111111111</v>
      </c>
      <c r="L2" s="18">
        <v>5.7692307692307696E-2</v>
      </c>
      <c r="M2" s="18">
        <v>0</v>
      </c>
      <c r="N2" s="18">
        <v>0.08</v>
      </c>
      <c r="O2" s="18">
        <v>5.4545454545454543E-2</v>
      </c>
      <c r="P2" s="18">
        <v>0.1111111111111111</v>
      </c>
    </row>
    <row r="3" spans="1:16" x14ac:dyDescent="0.3">
      <c r="A3" s="10" t="s">
        <v>25</v>
      </c>
      <c r="B3" s="17">
        <v>7.4278715483964197E-2</v>
      </c>
      <c r="C3" s="17">
        <v>0.19444444444444445</v>
      </c>
      <c r="D3" s="17">
        <v>0.17307692307692307</v>
      </c>
      <c r="E3" s="17">
        <v>0.16666666666666666</v>
      </c>
      <c r="F3" s="17">
        <v>0.22</v>
      </c>
      <c r="G3" s="17">
        <v>0.13636363636363635</v>
      </c>
      <c r="H3" s="17">
        <v>0.15873015873015872</v>
      </c>
      <c r="I3" s="10">
        <v>0.10567600855977047</v>
      </c>
      <c r="J3" s="10">
        <f t="shared" ref="J3:P9" si="0">J2+B3</f>
        <v>0.10567600855977047</v>
      </c>
      <c r="K3" s="10">
        <f t="shared" si="0"/>
        <v>0.30555555555555558</v>
      </c>
      <c r="L3" s="15">
        <f t="shared" si="0"/>
        <v>0.23076923076923078</v>
      </c>
      <c r="M3" s="10">
        <f t="shared" si="0"/>
        <v>0.16666666666666666</v>
      </c>
      <c r="N3" s="10">
        <f t="shared" si="0"/>
        <v>0.3</v>
      </c>
      <c r="O3" s="10">
        <f t="shared" si="0"/>
        <v>0.19090909090909089</v>
      </c>
      <c r="P3" s="10">
        <f t="shared" si="0"/>
        <v>0.26984126984126983</v>
      </c>
    </row>
    <row r="4" spans="1:16" x14ac:dyDescent="0.3">
      <c r="A4" s="10" t="s">
        <v>22</v>
      </c>
      <c r="B4" s="17">
        <v>7.5620480145323438E-2</v>
      </c>
      <c r="C4" s="17">
        <v>9.2592592592592587E-3</v>
      </c>
      <c r="D4" s="17">
        <v>0</v>
      </c>
      <c r="E4" s="17">
        <v>4.7619047619047616E-2</v>
      </c>
      <c r="F4" s="17">
        <v>7.0000000000000007E-2</v>
      </c>
      <c r="G4" s="17">
        <v>5.4545454545454543E-2</v>
      </c>
      <c r="H4" s="17">
        <v>7.9365079365079361E-2</v>
      </c>
      <c r="I4" s="10">
        <v>0.18129648870509391</v>
      </c>
      <c r="J4" s="10">
        <f t="shared" si="0"/>
        <v>0.18129648870509391</v>
      </c>
      <c r="K4" s="10">
        <f t="shared" si="0"/>
        <v>0.31481481481481483</v>
      </c>
      <c r="L4" s="15">
        <f t="shared" si="0"/>
        <v>0.23076923076923078</v>
      </c>
      <c r="M4" s="10">
        <f t="shared" si="0"/>
        <v>0.21428571428571427</v>
      </c>
      <c r="N4" s="10">
        <f t="shared" si="0"/>
        <v>0.37</v>
      </c>
      <c r="O4" s="10">
        <f t="shared" si="0"/>
        <v>0.24545454545454543</v>
      </c>
      <c r="P4" s="10">
        <f t="shared" si="0"/>
        <v>0.34920634920634919</v>
      </c>
    </row>
    <row r="5" spans="1:16" x14ac:dyDescent="0.3">
      <c r="A5" s="10" t="s">
        <v>26</v>
      </c>
      <c r="B5" s="17">
        <v>9.0407414797944008E-2</v>
      </c>
      <c r="C5" s="17">
        <v>8.3333333333333329E-2</v>
      </c>
      <c r="D5" s="17">
        <v>0.13461538461538461</v>
      </c>
      <c r="E5" s="17">
        <v>7.1428571428571425E-2</v>
      </c>
      <c r="F5" s="17">
        <v>0.2</v>
      </c>
      <c r="G5" s="17">
        <v>0.18181818181818182</v>
      </c>
      <c r="H5" s="17">
        <v>9.5238095238095233E-2</v>
      </c>
      <c r="I5" s="10">
        <v>0.27170390350303791</v>
      </c>
      <c r="J5" s="10">
        <f t="shared" si="0"/>
        <v>0.27170390350303791</v>
      </c>
      <c r="K5" s="10">
        <f t="shared" si="0"/>
        <v>0.39814814814814814</v>
      </c>
      <c r="L5" s="15">
        <f t="shared" si="0"/>
        <v>0.36538461538461542</v>
      </c>
      <c r="M5" s="10">
        <f t="shared" si="0"/>
        <v>0.2857142857142857</v>
      </c>
      <c r="N5" s="10">
        <f t="shared" si="0"/>
        <v>0.57000000000000006</v>
      </c>
      <c r="O5" s="10">
        <f t="shared" si="0"/>
        <v>0.42727272727272725</v>
      </c>
      <c r="P5" s="10">
        <f t="shared" si="0"/>
        <v>0.44444444444444442</v>
      </c>
    </row>
    <row r="6" spans="1:16" x14ac:dyDescent="0.3">
      <c r="A6" s="10" t="s">
        <v>23</v>
      </c>
      <c r="B6" s="17">
        <v>9.6841004328051136E-2</v>
      </c>
      <c r="C6" s="17">
        <v>3.7037037037037035E-2</v>
      </c>
      <c r="D6" s="17">
        <v>5.7692307692307696E-2</v>
      </c>
      <c r="E6" s="17">
        <v>7.1428571428571425E-2</v>
      </c>
      <c r="F6" s="17">
        <v>0.06</v>
      </c>
      <c r="G6" s="17">
        <v>9.0909090909090912E-2</v>
      </c>
      <c r="H6" s="17">
        <v>3.1746031746031744E-2</v>
      </c>
      <c r="I6" s="10">
        <v>0.36854490783108906</v>
      </c>
      <c r="J6" s="10">
        <f t="shared" si="0"/>
        <v>0.36854490783108906</v>
      </c>
      <c r="K6" s="10">
        <f t="shared" si="0"/>
        <v>0.43518518518518517</v>
      </c>
      <c r="L6" s="15">
        <f t="shared" si="0"/>
        <v>0.42307692307692313</v>
      </c>
      <c r="M6" s="10">
        <f t="shared" si="0"/>
        <v>0.3571428571428571</v>
      </c>
      <c r="N6" s="10">
        <f t="shared" si="0"/>
        <v>0.63000000000000012</v>
      </c>
      <c r="O6" s="10">
        <f t="shared" si="0"/>
        <v>0.51818181818181819</v>
      </c>
      <c r="P6" s="10">
        <f t="shared" si="0"/>
        <v>0.47619047619047616</v>
      </c>
    </row>
    <row r="7" spans="1:16" x14ac:dyDescent="0.3">
      <c r="A7" s="10" t="s">
        <v>24</v>
      </c>
      <c r="B7" s="17">
        <v>0.13083237574915194</v>
      </c>
      <c r="C7" s="17">
        <v>7.407407407407407E-2</v>
      </c>
      <c r="D7" s="17">
        <v>5.7692307692307696E-2</v>
      </c>
      <c r="E7" s="17">
        <v>9.5238095238095233E-2</v>
      </c>
      <c r="F7" s="17">
        <v>0.06</v>
      </c>
      <c r="G7" s="17">
        <v>0.1</v>
      </c>
      <c r="H7" s="17">
        <v>0.1111111111111111</v>
      </c>
      <c r="I7" s="10">
        <v>0.49937728358024103</v>
      </c>
      <c r="J7" s="10">
        <f t="shared" si="0"/>
        <v>0.49937728358024103</v>
      </c>
      <c r="K7" s="10">
        <f t="shared" si="0"/>
        <v>0.5092592592592593</v>
      </c>
      <c r="L7" s="15">
        <f t="shared" si="0"/>
        <v>0.48076923076923084</v>
      </c>
      <c r="M7" s="10">
        <f t="shared" si="0"/>
        <v>0.45238095238095233</v>
      </c>
      <c r="N7" s="10">
        <f t="shared" si="0"/>
        <v>0.69000000000000017</v>
      </c>
      <c r="O7" s="10">
        <f t="shared" si="0"/>
        <v>0.61818181818181817</v>
      </c>
      <c r="P7" s="10">
        <f t="shared" si="0"/>
        <v>0.58730158730158721</v>
      </c>
    </row>
    <row r="8" spans="1:16" x14ac:dyDescent="0.3">
      <c r="A8" s="10" t="s">
        <v>27</v>
      </c>
      <c r="B8" s="17">
        <v>0.14120868913033008</v>
      </c>
      <c r="C8" s="17">
        <v>0.26851851851851855</v>
      </c>
      <c r="D8" s="17">
        <v>0.26923076923076922</v>
      </c>
      <c r="E8" s="17">
        <v>0.26190476190476192</v>
      </c>
      <c r="F8" s="17">
        <v>0.14000000000000001</v>
      </c>
      <c r="G8" s="17">
        <v>0.11818181818181818</v>
      </c>
      <c r="H8" s="17">
        <v>0.1111111111111111</v>
      </c>
      <c r="I8" s="10">
        <v>0.64058597271057116</v>
      </c>
      <c r="J8" s="10">
        <f t="shared" si="0"/>
        <v>0.64058597271057116</v>
      </c>
      <c r="K8" s="10">
        <f t="shared" si="0"/>
        <v>0.7777777777777779</v>
      </c>
      <c r="L8" s="15">
        <f t="shared" si="0"/>
        <v>0.75</v>
      </c>
      <c r="M8" s="10">
        <f t="shared" si="0"/>
        <v>0.71428571428571419</v>
      </c>
      <c r="N8" s="10">
        <f t="shared" si="0"/>
        <v>0.83000000000000018</v>
      </c>
      <c r="O8" s="10">
        <f t="shared" si="0"/>
        <v>0.73636363636363633</v>
      </c>
      <c r="P8" s="10">
        <f t="shared" si="0"/>
        <v>0.69841269841269837</v>
      </c>
    </row>
    <row r="9" spans="1:16" x14ac:dyDescent="0.3">
      <c r="A9" s="10" t="s">
        <v>21</v>
      </c>
      <c r="B9" s="17">
        <v>0.35941402728942895</v>
      </c>
      <c r="C9" s="17">
        <v>0.22222222222222221</v>
      </c>
      <c r="D9" s="17">
        <v>0.25</v>
      </c>
      <c r="E9" s="17">
        <v>0.2857142857142857</v>
      </c>
      <c r="F9" s="17">
        <v>0.17</v>
      </c>
      <c r="G9" s="17">
        <v>0.26363636363636361</v>
      </c>
      <c r="H9" s="17">
        <v>0.30158730158730157</v>
      </c>
      <c r="I9" s="10">
        <v>1</v>
      </c>
      <c r="J9" s="10">
        <f t="shared" si="0"/>
        <v>1</v>
      </c>
      <c r="K9" s="10">
        <f t="shared" si="0"/>
        <v>1</v>
      </c>
      <c r="L9" s="15">
        <f t="shared" si="0"/>
        <v>1</v>
      </c>
      <c r="M9" s="10">
        <f t="shared" si="0"/>
        <v>0.99999999999999989</v>
      </c>
      <c r="N9" s="10">
        <f t="shared" si="0"/>
        <v>1.0000000000000002</v>
      </c>
      <c r="O9" s="10">
        <f t="shared" si="0"/>
        <v>1</v>
      </c>
      <c r="P9" s="10">
        <f t="shared" si="0"/>
        <v>1</v>
      </c>
    </row>
    <row r="11" spans="1:16" ht="28.8" x14ac:dyDescent="0.3">
      <c r="B11" s="1" t="s">
        <v>154</v>
      </c>
      <c r="C11" s="3" t="s">
        <v>162</v>
      </c>
      <c r="D11" s="3" t="s">
        <v>163</v>
      </c>
      <c r="E11" s="3" t="s">
        <v>164</v>
      </c>
      <c r="F11" s="3" t="s">
        <v>165</v>
      </c>
      <c r="G11" s="3" t="s">
        <v>166</v>
      </c>
      <c r="H11" s="3" t="s">
        <v>167</v>
      </c>
      <c r="J11" s="8"/>
      <c r="K11" s="11" t="s">
        <v>168</v>
      </c>
      <c r="L11" s="11" t="s">
        <v>169</v>
      </c>
      <c r="M11" s="11" t="s">
        <v>170</v>
      </c>
      <c r="N11" s="11" t="s">
        <v>171</v>
      </c>
      <c r="O11" s="11" t="s">
        <v>172</v>
      </c>
      <c r="P11" s="11" t="s">
        <v>173</v>
      </c>
    </row>
    <row r="12" spans="1:16" x14ac:dyDescent="0.3">
      <c r="B12" s="10" t="s">
        <v>28</v>
      </c>
      <c r="C12" s="10">
        <f>C2-B2</f>
        <v>7.9713818035304834E-2</v>
      </c>
      <c r="D12" s="10">
        <f>D2-B2</f>
        <v>2.6295014616501432E-2</v>
      </c>
      <c r="E12" s="10">
        <f>E2-B2</f>
        <v>-3.1397293075806264E-2</v>
      </c>
      <c r="F12" s="10">
        <f>F2-B2</f>
        <v>4.8602706924193738E-2</v>
      </c>
      <c r="G12" s="10">
        <f>G2-B2</f>
        <v>2.3148161469648279E-2</v>
      </c>
      <c r="H12" s="10">
        <f>H2-B2</f>
        <v>7.9713818035304834E-2</v>
      </c>
      <c r="J12" s="10" t="s">
        <v>28</v>
      </c>
      <c r="K12" s="8">
        <f>(J2-0) * (K2+0)</f>
        <v>3.4885881195340293E-3</v>
      </c>
      <c r="L12" s="8">
        <f t="shared" ref="L12" si="1">(K2-0) * (L2+0)</f>
        <v>6.41025641025641E-3</v>
      </c>
      <c r="M12" s="8">
        <f>(J2-0) * (M2+0)</f>
        <v>0</v>
      </c>
      <c r="N12" s="8">
        <f>(J2-0) * (N2+0)</f>
        <v>2.5117834460645009E-3</v>
      </c>
      <c r="O12" s="8">
        <f>(J2-0) * (O2+0)</f>
        <v>1.7125796223167052E-3</v>
      </c>
      <c r="P12" s="8">
        <f>(J2-0) * (P2+0)</f>
        <v>3.4885881195340293E-3</v>
      </c>
    </row>
    <row r="13" spans="1:16" x14ac:dyDescent="0.3">
      <c r="B13" s="10" t="s">
        <v>25</v>
      </c>
      <c r="C13" s="10">
        <f t="shared" ref="C13:C19" si="2">C3-B3</f>
        <v>0.12016572896048025</v>
      </c>
      <c r="D13" s="10">
        <f t="shared" ref="D13:D19" si="3">D3-B3</f>
        <v>9.8798207592958875E-2</v>
      </c>
      <c r="E13" s="10">
        <f t="shared" ref="E13:E19" si="4">E3-B3</f>
        <v>9.238795118270246E-2</v>
      </c>
      <c r="F13" s="10">
        <f t="shared" ref="F13:F19" si="5">F3-B3</f>
        <v>0.1457212845160358</v>
      </c>
      <c r="G13" s="10">
        <f t="shared" ref="G13:G19" si="6">G3-B3</f>
        <v>6.2084920879672156E-2</v>
      </c>
      <c r="H13" s="10">
        <f t="shared" ref="H13:H19" si="7">H3-B3</f>
        <v>8.4451443246194524E-2</v>
      </c>
      <c r="J13" s="10" t="s">
        <v>25</v>
      </c>
      <c r="K13" s="8">
        <f>(J3-J2) * (K3+K2)</f>
        <v>3.0949464784985083E-2</v>
      </c>
      <c r="L13" s="8">
        <f>(J3-J2) * (L3+L2)</f>
        <v>2.1426552543451213E-2</v>
      </c>
      <c r="M13" s="8">
        <f>(J3-J2) * (M3+M2)</f>
        <v>1.2379785913994032E-2</v>
      </c>
      <c r="N13" s="8">
        <f>(J3-J2) * (N3+N2)</f>
        <v>2.8225911883906395E-2</v>
      </c>
      <c r="O13" s="8">
        <f>(J3-J2) * (O3+O2)</f>
        <v>1.8232048346063939E-2</v>
      </c>
      <c r="P13" s="8">
        <f>(J3-J2) * (P3+P2)</f>
        <v>2.8296653517700644E-2</v>
      </c>
    </row>
    <row r="14" spans="1:16" x14ac:dyDescent="0.3">
      <c r="B14" s="10" t="s">
        <v>22</v>
      </c>
      <c r="C14" s="10">
        <f t="shared" si="2"/>
        <v>-6.6361220886064179E-2</v>
      </c>
      <c r="D14" s="10">
        <f t="shared" si="3"/>
        <v>-7.5620480145323438E-2</v>
      </c>
      <c r="E14" s="10">
        <f t="shared" si="4"/>
        <v>-2.8001432526275821E-2</v>
      </c>
      <c r="F14" s="10">
        <f t="shared" si="5"/>
        <v>-5.620480145323431E-3</v>
      </c>
      <c r="G14" s="10">
        <f t="shared" si="6"/>
        <v>-2.1075025599868895E-2</v>
      </c>
      <c r="H14" s="10">
        <f t="shared" si="7"/>
        <v>3.744599219755923E-3</v>
      </c>
      <c r="J14" s="10" t="s">
        <v>22</v>
      </c>
      <c r="K14" s="8">
        <f t="shared" ref="K14:K19" si="8">(J4-J3) * (K4+K3)</f>
        <v>4.6912705275339549E-2</v>
      </c>
      <c r="L14" s="8">
        <f t="shared" ref="L14:L19" si="9">(J4-J3) * (L4+L3)</f>
        <v>3.4901760067072359E-2</v>
      </c>
      <c r="M14" s="8">
        <f t="shared" ref="M14:M19" si="10">(J4-J3) * (M4+M3)</f>
        <v>2.8807801960123211E-2</v>
      </c>
      <c r="N14" s="8">
        <f t="shared" ref="N14:N19" si="11">(J4-J3) * (N4+N3)</f>
        <v>5.0665721697366696E-2</v>
      </c>
      <c r="O14" s="8">
        <f t="shared" ref="O14:O19" si="12">(J4-J3) * (O4+O3)</f>
        <v>3.2998027699777492E-2</v>
      </c>
      <c r="P14" s="8">
        <f t="shared" ref="P14:P19" si="13">(J4-J3) * (P4+P3)</f>
        <v>4.6812678185200227E-2</v>
      </c>
    </row>
    <row r="15" spans="1:16" x14ac:dyDescent="0.3">
      <c r="B15" s="10" t="s">
        <v>26</v>
      </c>
      <c r="C15" s="10">
        <f t="shared" si="2"/>
        <v>-7.0740814646106792E-3</v>
      </c>
      <c r="D15" s="10">
        <f t="shared" si="3"/>
        <v>4.4207969817440601E-2</v>
      </c>
      <c r="E15" s="10">
        <f t="shared" si="4"/>
        <v>-1.8978843369372583E-2</v>
      </c>
      <c r="F15" s="10">
        <f t="shared" si="5"/>
        <v>0.109592585202056</v>
      </c>
      <c r="G15" s="10">
        <f t="shared" si="6"/>
        <v>9.1410767020237815E-2</v>
      </c>
      <c r="H15" s="10">
        <f t="shared" si="7"/>
        <v>4.8306804401512249E-3</v>
      </c>
      <c r="J15" s="10" t="s">
        <v>26</v>
      </c>
      <c r="K15" s="8">
        <f t="shared" si="8"/>
        <v>6.4457138328163785E-2</v>
      </c>
      <c r="L15" s="8">
        <f t="shared" si="9"/>
        <v>5.3896728052620475E-2</v>
      </c>
      <c r="M15" s="8">
        <f t="shared" si="10"/>
        <v>4.5203707398972004E-2</v>
      </c>
      <c r="N15" s="8">
        <f t="shared" si="11"/>
        <v>8.4982969910067374E-2</v>
      </c>
      <c r="O15" s="8">
        <f t="shared" si="12"/>
        <v>6.0819533591344142E-2</v>
      </c>
      <c r="P15" s="8">
        <f t="shared" si="13"/>
        <v>7.1751916506304761E-2</v>
      </c>
    </row>
    <row r="16" spans="1:16" x14ac:dyDescent="0.3">
      <c r="B16" s="10" t="s">
        <v>23</v>
      </c>
      <c r="C16" s="10">
        <f t="shared" si="2"/>
        <v>-5.9803967291014101E-2</v>
      </c>
      <c r="D16" s="10">
        <f t="shared" si="3"/>
        <v>-3.9148696635743441E-2</v>
      </c>
      <c r="E16" s="10">
        <f t="shared" si="4"/>
        <v>-2.5412432899479712E-2</v>
      </c>
      <c r="F16" s="10">
        <f t="shared" si="5"/>
        <v>-3.6841004328051138E-2</v>
      </c>
      <c r="G16" s="10">
        <f t="shared" si="6"/>
        <v>-5.9319134189602246E-3</v>
      </c>
      <c r="H16" s="10">
        <f t="shared" si="7"/>
        <v>-6.5094972582019392E-2</v>
      </c>
      <c r="J16" s="10" t="s">
        <v>23</v>
      </c>
      <c r="K16" s="8">
        <f t="shared" si="8"/>
        <v>8.0700836940042611E-2</v>
      </c>
      <c r="L16" s="8">
        <f t="shared" si="9"/>
        <v>7.6355407258655722E-2</v>
      </c>
      <c r="M16" s="8">
        <f t="shared" si="10"/>
        <v>6.2254931353747163E-2</v>
      </c>
      <c r="N16" s="8">
        <f t="shared" si="11"/>
        <v>0.1162092051936614</v>
      </c>
      <c r="O16" s="8">
        <f t="shared" si="12"/>
        <v>9.1558767728339263E-2</v>
      </c>
      <c r="P16" s="8">
        <f t="shared" si="13"/>
        <v>8.9155210333761378E-2</v>
      </c>
    </row>
    <row r="17" spans="2:16" x14ac:dyDescent="0.3">
      <c r="B17" s="10" t="s">
        <v>24</v>
      </c>
      <c r="C17" s="10">
        <f t="shared" si="2"/>
        <v>-5.6758301675077866E-2</v>
      </c>
      <c r="D17" s="10">
        <f t="shared" si="3"/>
        <v>-7.314006805684424E-2</v>
      </c>
      <c r="E17" s="10">
        <f t="shared" si="4"/>
        <v>-3.5594280511056703E-2</v>
      </c>
      <c r="F17" s="10">
        <f t="shared" si="5"/>
        <v>-7.0832375749151938E-2</v>
      </c>
      <c r="G17" s="10">
        <f t="shared" si="6"/>
        <v>-3.083237574915193E-2</v>
      </c>
      <c r="H17" s="10">
        <f t="shared" si="7"/>
        <v>-1.9721264638040831E-2</v>
      </c>
      <c r="J17" s="10" t="s">
        <v>24</v>
      </c>
      <c r="K17" s="8">
        <f t="shared" si="8"/>
        <v>0.12356391042975463</v>
      </c>
      <c r="L17" s="8">
        <f t="shared" si="9"/>
        <v>0.11825233961942583</v>
      </c>
      <c r="M17" s="8">
        <f t="shared" si="10"/>
        <v>0.10591192322550395</v>
      </c>
      <c r="N17" s="8">
        <f t="shared" si="11"/>
        <v>0.17269873598888064</v>
      </c>
      <c r="O17" s="8">
        <f t="shared" si="12"/>
        <v>0.14867315426039995</v>
      </c>
      <c r="P17" s="8">
        <f t="shared" si="13"/>
        <v>0.13913919325703461</v>
      </c>
    </row>
    <row r="18" spans="2:16" x14ac:dyDescent="0.3">
      <c r="B18" s="10" t="s">
        <v>27</v>
      </c>
      <c r="C18" s="10">
        <f t="shared" si="2"/>
        <v>0.12730982938818847</v>
      </c>
      <c r="D18" s="10">
        <f t="shared" si="3"/>
        <v>0.12802208010043914</v>
      </c>
      <c r="E18" s="10">
        <f t="shared" si="4"/>
        <v>0.12069607277443184</v>
      </c>
      <c r="F18" s="10">
        <f t="shared" si="5"/>
        <v>-1.2086891303300651E-3</v>
      </c>
      <c r="G18" s="10">
        <f t="shared" si="6"/>
        <v>-2.3026870948511899E-2</v>
      </c>
      <c r="H18" s="10">
        <f t="shared" si="7"/>
        <v>-3.0097578019218973E-2</v>
      </c>
      <c r="J18" s="10" t="s">
        <v>27</v>
      </c>
      <c r="K18" s="8">
        <f t="shared" si="8"/>
        <v>0.18174081286218419</v>
      </c>
      <c r="L18" s="8">
        <f t="shared" si="9"/>
        <v>0.17379530969886786</v>
      </c>
      <c r="M18" s="8">
        <f t="shared" si="10"/>
        <v>0.1647434706520518</v>
      </c>
      <c r="N18" s="8">
        <f t="shared" si="11"/>
        <v>0.21463720747810186</v>
      </c>
      <c r="O18" s="8">
        <f t="shared" si="12"/>
        <v>0.19127358800381081</v>
      </c>
      <c r="P18" s="8">
        <f t="shared" si="13"/>
        <v>0.18155402888185301</v>
      </c>
    </row>
    <row r="19" spans="2:16" x14ac:dyDescent="0.3">
      <c r="B19" s="10" t="s">
        <v>21</v>
      </c>
      <c r="C19" s="10">
        <f t="shared" si="2"/>
        <v>-0.13719180506720674</v>
      </c>
      <c r="D19" s="10">
        <f t="shared" si="3"/>
        <v>-0.10941402728942895</v>
      </c>
      <c r="E19" s="10">
        <f t="shared" si="4"/>
        <v>-7.3699741575143252E-2</v>
      </c>
      <c r="F19" s="10">
        <f t="shared" si="5"/>
        <v>-0.18941402728942894</v>
      </c>
      <c r="G19" s="10">
        <f t="shared" si="6"/>
        <v>-9.5777663653065337E-2</v>
      </c>
      <c r="H19" s="10">
        <f t="shared" si="7"/>
        <v>-5.782672570212738E-2</v>
      </c>
      <c r="J19" s="10" t="s">
        <v>21</v>
      </c>
      <c r="K19" s="8">
        <f t="shared" si="8"/>
        <v>0.63895827073676248</v>
      </c>
      <c r="L19" s="8">
        <f t="shared" si="9"/>
        <v>0.62897454775650052</v>
      </c>
      <c r="M19" s="8">
        <f t="shared" si="10"/>
        <v>0.61613833249616357</v>
      </c>
      <c r="N19" s="8">
        <f t="shared" si="11"/>
        <v>0.65772766993965492</v>
      </c>
      <c r="O19" s="8">
        <f t="shared" si="12"/>
        <v>0.62407344738437187</v>
      </c>
      <c r="P19" s="8">
        <f t="shared" si="13"/>
        <v>0.610433347936014</v>
      </c>
    </row>
    <row r="20" spans="2:16" x14ac:dyDescent="0.3">
      <c r="J20" s="11" t="s">
        <v>174</v>
      </c>
      <c r="K20" s="11">
        <f>SUM(K12:K19)</f>
        <v>1.1707717274767664</v>
      </c>
      <c r="L20" s="11">
        <f t="shared" ref="L20:P20" si="14">SUM(L12:L19)</f>
        <v>1.1140129014068503</v>
      </c>
      <c r="M20" s="11">
        <f t="shared" si="14"/>
        <v>1.0354399530005558</v>
      </c>
      <c r="N20" s="11">
        <f t="shared" si="14"/>
        <v>1.3276592055377039</v>
      </c>
      <c r="O20" s="11">
        <f t="shared" si="14"/>
        <v>1.1693411466364241</v>
      </c>
      <c r="P20" s="11">
        <f t="shared" si="14"/>
        <v>1.1706316167374027</v>
      </c>
    </row>
    <row r="21" spans="2:16" x14ac:dyDescent="0.3">
      <c r="J21" s="14" t="s">
        <v>175</v>
      </c>
      <c r="K21" s="14">
        <f>1-K20</f>
        <v>-0.17077172747676639</v>
      </c>
      <c r="L21" s="14">
        <f t="shared" ref="L21:P21" si="15">1-L20</f>
        <v>-0.11401290140685028</v>
      </c>
      <c r="M21" s="14">
        <f t="shared" si="15"/>
        <v>-3.5439953000555802E-2</v>
      </c>
      <c r="N21" s="14">
        <f t="shared" si="15"/>
        <v>-0.32765920553770389</v>
      </c>
      <c r="O21" s="14">
        <f t="shared" si="15"/>
        <v>-0.16934114663642408</v>
      </c>
      <c r="P21" s="14">
        <f t="shared" si="15"/>
        <v>-0.17063161673740268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35F7-2620-4452-AE81-17A86D31C34B}">
  <dimension ref="A1:P35"/>
  <sheetViews>
    <sheetView workbookViewId="0">
      <selection activeCell="A18" sqref="A18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32</v>
      </c>
      <c r="B2" s="17">
        <v>8.6580926018392391E-3</v>
      </c>
      <c r="C2" s="17">
        <v>3.3333333333333333E-2</v>
      </c>
      <c r="D2" s="17">
        <v>6.3492063492063489E-2</v>
      </c>
      <c r="E2" s="17">
        <v>0</v>
      </c>
      <c r="F2" s="17">
        <v>1.834862385321101E-2</v>
      </c>
      <c r="G2" s="17">
        <v>0</v>
      </c>
      <c r="H2" s="17">
        <v>0</v>
      </c>
      <c r="I2" s="10">
        <v>8.6580926018392391E-3</v>
      </c>
      <c r="J2" s="18">
        <v>8.6580926018392391E-3</v>
      </c>
      <c r="K2" s="18">
        <v>3.3333333333333333E-2</v>
      </c>
      <c r="L2" s="18">
        <v>6.3492063492063489E-2</v>
      </c>
      <c r="M2" s="18">
        <v>0</v>
      </c>
      <c r="N2" s="18">
        <v>1.834862385321101E-2</v>
      </c>
      <c r="O2" s="18">
        <v>0</v>
      </c>
      <c r="P2" s="18">
        <v>0</v>
      </c>
    </row>
    <row r="3" spans="1:16" x14ac:dyDescent="0.3">
      <c r="A3" s="10" t="s">
        <v>43</v>
      </c>
      <c r="B3" s="17">
        <v>1.2327844057378043E-2</v>
      </c>
      <c r="C3" s="17">
        <v>0</v>
      </c>
      <c r="D3" s="17">
        <v>3.1746031746031744E-2</v>
      </c>
      <c r="E3" s="17">
        <v>0</v>
      </c>
      <c r="F3" s="17">
        <v>2.7522935779816515E-2</v>
      </c>
      <c r="G3" s="17">
        <v>3.7974683544303799E-2</v>
      </c>
      <c r="H3" s="17">
        <v>3.3333333333333333E-2</v>
      </c>
      <c r="I3" s="10">
        <v>2.0985936659217282E-2</v>
      </c>
      <c r="J3" s="10">
        <f>J2+B3</f>
        <v>2.0985936659217282E-2</v>
      </c>
      <c r="K3" s="10">
        <f t="shared" ref="K3:P16" si="0">K2+C3</f>
        <v>3.3333333333333333E-2</v>
      </c>
      <c r="L3" s="10">
        <f t="shared" si="0"/>
        <v>9.5238095238095233E-2</v>
      </c>
      <c r="M3" s="10">
        <f t="shared" si="0"/>
        <v>0</v>
      </c>
      <c r="N3" s="10">
        <f t="shared" si="0"/>
        <v>4.5871559633027525E-2</v>
      </c>
      <c r="O3" s="10">
        <f t="shared" si="0"/>
        <v>3.7974683544303799E-2</v>
      </c>
      <c r="P3" s="10">
        <f t="shared" si="0"/>
        <v>3.3333333333333333E-2</v>
      </c>
    </row>
    <row r="4" spans="1:16" x14ac:dyDescent="0.3">
      <c r="A4" s="10" t="s">
        <v>36</v>
      </c>
      <c r="B4" s="17">
        <v>1.3093789539511637E-2</v>
      </c>
      <c r="C4" s="17">
        <v>1.6666666666666666E-2</v>
      </c>
      <c r="D4" s="17">
        <v>0</v>
      </c>
      <c r="E4" s="17">
        <v>0</v>
      </c>
      <c r="F4" s="17">
        <v>1.834862385321101E-2</v>
      </c>
      <c r="G4" s="17">
        <v>1.2658227848101266E-2</v>
      </c>
      <c r="H4" s="17">
        <v>0</v>
      </c>
      <c r="I4" s="10">
        <v>3.407972619872892E-2</v>
      </c>
      <c r="J4" s="10">
        <f t="shared" ref="J4:J16" si="1">J3+B4</f>
        <v>3.407972619872892E-2</v>
      </c>
      <c r="K4" s="10">
        <f t="shared" si="0"/>
        <v>0.05</v>
      </c>
      <c r="L4" s="10">
        <f t="shared" si="0"/>
        <v>9.5238095238095233E-2</v>
      </c>
      <c r="M4" s="10">
        <f t="shared" si="0"/>
        <v>0</v>
      </c>
      <c r="N4" s="10">
        <f t="shared" si="0"/>
        <v>6.4220183486238536E-2</v>
      </c>
      <c r="O4" s="10">
        <f t="shared" si="0"/>
        <v>5.0632911392405063E-2</v>
      </c>
      <c r="P4" s="10">
        <f t="shared" si="0"/>
        <v>3.3333333333333333E-2</v>
      </c>
    </row>
    <row r="5" spans="1:16" x14ac:dyDescent="0.3">
      <c r="A5" s="10" t="s">
        <v>31</v>
      </c>
      <c r="B5" s="17">
        <v>1.3641585991923638E-2</v>
      </c>
      <c r="C5" s="17">
        <v>3.3333333333333333E-2</v>
      </c>
      <c r="D5" s="17">
        <v>3.1746031746031744E-2</v>
      </c>
      <c r="E5" s="17">
        <v>0</v>
      </c>
      <c r="F5" s="17">
        <v>9.1743119266055051E-3</v>
      </c>
      <c r="G5" s="17">
        <v>0</v>
      </c>
      <c r="H5" s="17">
        <v>0</v>
      </c>
      <c r="I5" s="10">
        <v>4.7721312190652558E-2</v>
      </c>
      <c r="J5" s="10">
        <f t="shared" si="1"/>
        <v>4.7721312190652558E-2</v>
      </c>
      <c r="K5" s="10">
        <f t="shared" si="0"/>
        <v>8.3333333333333343E-2</v>
      </c>
      <c r="L5" s="10">
        <f t="shared" si="0"/>
        <v>0.12698412698412698</v>
      </c>
      <c r="M5" s="10">
        <f t="shared" si="0"/>
        <v>0</v>
      </c>
      <c r="N5" s="10">
        <f t="shared" si="0"/>
        <v>7.3394495412844041E-2</v>
      </c>
      <c r="O5" s="10">
        <f t="shared" si="0"/>
        <v>5.0632911392405063E-2</v>
      </c>
      <c r="P5" s="10">
        <f t="shared" si="0"/>
        <v>3.3333333333333333E-2</v>
      </c>
    </row>
    <row r="6" spans="1:16" x14ac:dyDescent="0.3">
      <c r="A6" s="10" t="s">
        <v>41</v>
      </c>
      <c r="B6" s="17">
        <v>2.0467226744101494E-2</v>
      </c>
      <c r="C6" s="17">
        <v>2.5000000000000001E-2</v>
      </c>
      <c r="D6" s="17">
        <v>1.5873015873015872E-2</v>
      </c>
      <c r="E6" s="17">
        <v>2.3809523809523808E-2</v>
      </c>
      <c r="F6" s="17">
        <v>3.669724770642202E-2</v>
      </c>
      <c r="G6" s="17">
        <v>1.2658227848101266E-2</v>
      </c>
      <c r="H6" s="17">
        <v>3.3333333333333333E-2</v>
      </c>
      <c r="I6" s="10">
        <v>6.8188538934754045E-2</v>
      </c>
      <c r="J6" s="10">
        <f t="shared" si="1"/>
        <v>6.8188538934754045E-2</v>
      </c>
      <c r="K6" s="10">
        <f t="shared" si="0"/>
        <v>0.10833333333333334</v>
      </c>
      <c r="L6" s="10">
        <f t="shared" si="0"/>
        <v>0.14285714285714285</v>
      </c>
      <c r="M6" s="10">
        <f t="shared" si="0"/>
        <v>2.3809523809523808E-2</v>
      </c>
      <c r="N6" s="10">
        <f t="shared" si="0"/>
        <v>0.11009174311926606</v>
      </c>
      <c r="O6" s="10">
        <f t="shared" si="0"/>
        <v>6.3291139240506333E-2</v>
      </c>
      <c r="P6" s="10">
        <f t="shared" si="0"/>
        <v>6.6666666666666666E-2</v>
      </c>
    </row>
    <row r="7" spans="1:16" x14ac:dyDescent="0.3">
      <c r="A7" s="10" t="s">
        <v>34</v>
      </c>
      <c r="B7" s="17">
        <v>2.1136217101914379E-2</v>
      </c>
      <c r="C7" s="17">
        <v>1.6666666666666666E-2</v>
      </c>
      <c r="D7" s="17">
        <v>0</v>
      </c>
      <c r="E7" s="17">
        <v>0</v>
      </c>
      <c r="F7" s="17">
        <v>1.834862385321101E-2</v>
      </c>
      <c r="G7" s="17">
        <v>2.5316455696202531E-2</v>
      </c>
      <c r="H7" s="17">
        <v>1.6666666666666666E-2</v>
      </c>
      <c r="I7" s="10">
        <v>8.9324756036668423E-2</v>
      </c>
      <c r="J7" s="10">
        <f t="shared" si="1"/>
        <v>8.9324756036668423E-2</v>
      </c>
      <c r="K7" s="10">
        <f t="shared" si="0"/>
        <v>0.125</v>
      </c>
      <c r="L7" s="10">
        <f t="shared" si="0"/>
        <v>0.14285714285714285</v>
      </c>
      <c r="M7" s="10">
        <f t="shared" si="0"/>
        <v>2.3809523809523808E-2</v>
      </c>
      <c r="N7" s="10">
        <f t="shared" si="0"/>
        <v>0.12844036697247707</v>
      </c>
      <c r="O7" s="10">
        <f t="shared" si="0"/>
        <v>8.8607594936708861E-2</v>
      </c>
      <c r="P7" s="10">
        <f t="shared" si="0"/>
        <v>8.3333333333333329E-2</v>
      </c>
    </row>
    <row r="8" spans="1:16" x14ac:dyDescent="0.3">
      <c r="A8" s="10" t="s">
        <v>39</v>
      </c>
      <c r="B8" s="17">
        <v>2.6682050213058885E-2</v>
      </c>
      <c r="C8" s="17">
        <v>4.1666666666666664E-2</v>
      </c>
      <c r="D8" s="17">
        <v>3.1746031746031744E-2</v>
      </c>
      <c r="E8" s="17">
        <v>0</v>
      </c>
      <c r="F8" s="17">
        <v>1.834862385321101E-2</v>
      </c>
      <c r="G8" s="17">
        <v>1.2658227848101266E-2</v>
      </c>
      <c r="H8" s="17">
        <v>1.6666666666666666E-2</v>
      </c>
      <c r="I8" s="10">
        <v>0.11600680624972731</v>
      </c>
      <c r="J8" s="10">
        <f t="shared" si="1"/>
        <v>0.11600680624972731</v>
      </c>
      <c r="K8" s="10">
        <f t="shared" si="0"/>
        <v>0.16666666666666666</v>
      </c>
      <c r="L8" s="10">
        <f t="shared" si="0"/>
        <v>0.17460317460317459</v>
      </c>
      <c r="M8" s="10">
        <f t="shared" si="0"/>
        <v>2.3809523809523808E-2</v>
      </c>
      <c r="N8" s="10">
        <f t="shared" si="0"/>
        <v>0.14678899082568808</v>
      </c>
      <c r="O8" s="10">
        <f t="shared" si="0"/>
        <v>0.10126582278481013</v>
      </c>
      <c r="P8" s="10">
        <f t="shared" si="0"/>
        <v>9.9999999999999992E-2</v>
      </c>
    </row>
    <row r="9" spans="1:16" x14ac:dyDescent="0.3">
      <c r="A9" s="10" t="s">
        <v>42</v>
      </c>
      <c r="B9" s="17">
        <v>3.4152442541969447E-2</v>
      </c>
      <c r="C9" s="17">
        <v>1.6666666666666666E-2</v>
      </c>
      <c r="D9" s="17">
        <v>1.5873015873015872E-2</v>
      </c>
      <c r="E9" s="17">
        <v>0</v>
      </c>
      <c r="F9" s="17">
        <v>0</v>
      </c>
      <c r="G9" s="17">
        <v>0</v>
      </c>
      <c r="H9" s="17">
        <v>6.6666666666666666E-2</v>
      </c>
      <c r="I9" s="10">
        <v>0.15015924879169676</v>
      </c>
      <c r="J9" s="10">
        <f t="shared" si="1"/>
        <v>0.15015924879169676</v>
      </c>
      <c r="K9" s="10">
        <f t="shared" si="0"/>
        <v>0.18333333333333332</v>
      </c>
      <c r="L9" s="10">
        <f t="shared" si="0"/>
        <v>0.19047619047619047</v>
      </c>
      <c r="M9" s="10">
        <f t="shared" si="0"/>
        <v>2.3809523809523808E-2</v>
      </c>
      <c r="N9" s="10">
        <f t="shared" si="0"/>
        <v>0.14678899082568808</v>
      </c>
      <c r="O9" s="10">
        <f t="shared" si="0"/>
        <v>0.10126582278481013</v>
      </c>
      <c r="P9" s="10">
        <f t="shared" si="0"/>
        <v>0.16666666666666666</v>
      </c>
    </row>
    <row r="10" spans="1:16" x14ac:dyDescent="0.3">
      <c r="A10" s="10" t="s">
        <v>33</v>
      </c>
      <c r="B10" s="17">
        <v>3.8815984021795515E-2</v>
      </c>
      <c r="C10" s="17">
        <v>1.6666666666666666E-2</v>
      </c>
      <c r="D10" s="17">
        <v>1.5873015873015872E-2</v>
      </c>
      <c r="E10" s="17">
        <v>9.5238095238095233E-2</v>
      </c>
      <c r="F10" s="17">
        <v>2.7522935779816515E-2</v>
      </c>
      <c r="G10" s="17">
        <v>3.7974683544303799E-2</v>
      </c>
      <c r="H10" s="17">
        <v>6.6666666666666666E-2</v>
      </c>
      <c r="I10" s="10">
        <v>0.18897523281349227</v>
      </c>
      <c r="J10" s="10">
        <f t="shared" si="1"/>
        <v>0.18897523281349227</v>
      </c>
      <c r="K10" s="10">
        <f t="shared" si="0"/>
        <v>0.19999999999999998</v>
      </c>
      <c r="L10" s="10">
        <f t="shared" si="0"/>
        <v>0.20634920634920634</v>
      </c>
      <c r="M10" s="10">
        <f t="shared" si="0"/>
        <v>0.11904761904761904</v>
      </c>
      <c r="N10" s="10">
        <f t="shared" si="0"/>
        <v>0.1743119266055046</v>
      </c>
      <c r="O10" s="10">
        <f t="shared" si="0"/>
        <v>0.13924050632911392</v>
      </c>
      <c r="P10" s="10">
        <f t="shared" si="0"/>
        <v>0.23333333333333334</v>
      </c>
    </row>
    <row r="11" spans="1:16" x14ac:dyDescent="0.3">
      <c r="A11" s="10" t="s">
        <v>40</v>
      </c>
      <c r="B11" s="17">
        <v>4.2093067223835448E-2</v>
      </c>
      <c r="C11" s="17">
        <v>4.1666666666666664E-2</v>
      </c>
      <c r="D11" s="17">
        <v>7.9365079365079361E-2</v>
      </c>
      <c r="E11" s="17">
        <v>4.7619047619047616E-2</v>
      </c>
      <c r="F11" s="17">
        <v>4.5871559633027525E-2</v>
      </c>
      <c r="G11" s="17">
        <v>2.5316455696202531E-2</v>
      </c>
      <c r="H11" s="17">
        <v>0.05</v>
      </c>
      <c r="I11" s="10">
        <v>0.2310683000373277</v>
      </c>
      <c r="J11" s="10">
        <f t="shared" si="1"/>
        <v>0.2310683000373277</v>
      </c>
      <c r="K11" s="10">
        <f t="shared" si="0"/>
        <v>0.24166666666666664</v>
      </c>
      <c r="L11" s="10">
        <f t="shared" si="0"/>
        <v>0.2857142857142857</v>
      </c>
      <c r="M11" s="10">
        <f t="shared" si="0"/>
        <v>0.16666666666666666</v>
      </c>
      <c r="N11" s="10">
        <f t="shared" si="0"/>
        <v>0.22018348623853212</v>
      </c>
      <c r="O11" s="10">
        <f t="shared" si="0"/>
        <v>0.16455696202531644</v>
      </c>
      <c r="P11" s="10">
        <f t="shared" si="0"/>
        <v>0.28333333333333333</v>
      </c>
    </row>
    <row r="12" spans="1:16" x14ac:dyDescent="0.3">
      <c r="A12" s="10" t="s">
        <v>38</v>
      </c>
      <c r="B12" s="17">
        <v>5.3800398485560959E-2</v>
      </c>
      <c r="C12" s="17">
        <v>7.4999999999999997E-2</v>
      </c>
      <c r="D12" s="17">
        <v>1.5873015873015872E-2</v>
      </c>
      <c r="E12" s="17">
        <v>4.7619047619047616E-2</v>
      </c>
      <c r="F12" s="17">
        <v>9.1743119266055051E-2</v>
      </c>
      <c r="G12" s="17">
        <v>3.7974683544303799E-2</v>
      </c>
      <c r="H12" s="17">
        <v>1.6666666666666666E-2</v>
      </c>
      <c r="I12" s="10">
        <v>0.28486869852288865</v>
      </c>
      <c r="J12" s="10">
        <f t="shared" si="1"/>
        <v>0.28486869852288865</v>
      </c>
      <c r="K12" s="10">
        <f t="shared" si="0"/>
        <v>0.31666666666666665</v>
      </c>
      <c r="L12" s="10">
        <f t="shared" si="0"/>
        <v>0.30158730158730157</v>
      </c>
      <c r="M12" s="10">
        <f t="shared" si="0"/>
        <v>0.21428571428571427</v>
      </c>
      <c r="N12" s="10">
        <f t="shared" si="0"/>
        <v>0.31192660550458717</v>
      </c>
      <c r="O12" s="10">
        <f t="shared" si="0"/>
        <v>0.20253164556962025</v>
      </c>
      <c r="P12" s="10">
        <f t="shared" si="0"/>
        <v>0.3</v>
      </c>
    </row>
    <row r="13" spans="1:16" x14ac:dyDescent="0.3">
      <c r="A13" s="10" t="s">
        <v>35</v>
      </c>
      <c r="B13" s="17">
        <v>6.7960694392600385E-2</v>
      </c>
      <c r="C13" s="17">
        <v>8.3333333333333329E-2</v>
      </c>
      <c r="D13" s="17">
        <v>0.1111111111111111</v>
      </c>
      <c r="E13" s="17">
        <v>0.16666666666666666</v>
      </c>
      <c r="F13" s="17">
        <v>7.3394495412844041E-2</v>
      </c>
      <c r="G13" s="17">
        <v>7.5949367088607597E-2</v>
      </c>
      <c r="H13" s="17">
        <v>6.6666666666666666E-2</v>
      </c>
      <c r="I13" s="10">
        <v>0.35282939291548904</v>
      </c>
      <c r="J13" s="10">
        <f t="shared" si="1"/>
        <v>0.35282939291548904</v>
      </c>
      <c r="K13" s="10">
        <f t="shared" si="0"/>
        <v>0.39999999999999997</v>
      </c>
      <c r="L13" s="10">
        <f t="shared" si="0"/>
        <v>0.41269841269841268</v>
      </c>
      <c r="M13" s="10">
        <f t="shared" si="0"/>
        <v>0.38095238095238093</v>
      </c>
      <c r="N13" s="10">
        <f t="shared" si="0"/>
        <v>0.38532110091743121</v>
      </c>
      <c r="O13" s="10">
        <f t="shared" si="0"/>
        <v>0.27848101265822783</v>
      </c>
      <c r="P13" s="10">
        <f t="shared" si="0"/>
        <v>0.36666666666666664</v>
      </c>
    </row>
    <row r="14" spans="1:16" x14ac:dyDescent="0.3">
      <c r="A14" s="10" t="s">
        <v>30</v>
      </c>
      <c r="B14" s="17">
        <v>6.9633170287132604E-2</v>
      </c>
      <c r="C14" s="17">
        <v>2.5000000000000001E-2</v>
      </c>
      <c r="D14" s="17">
        <v>4.7619047619047616E-2</v>
      </c>
      <c r="E14" s="17">
        <v>9.5238095238095233E-2</v>
      </c>
      <c r="F14" s="17">
        <v>4.5871559633027525E-2</v>
      </c>
      <c r="G14" s="17">
        <v>5.0632911392405063E-2</v>
      </c>
      <c r="H14" s="17">
        <v>8.3333333333333329E-2</v>
      </c>
      <c r="I14" s="10">
        <v>0.42246256320262165</v>
      </c>
      <c r="J14" s="10">
        <f t="shared" si="1"/>
        <v>0.42246256320262165</v>
      </c>
      <c r="K14" s="10">
        <f t="shared" si="0"/>
        <v>0.42499999999999999</v>
      </c>
      <c r="L14" s="10">
        <f t="shared" si="0"/>
        <v>0.46031746031746029</v>
      </c>
      <c r="M14" s="10">
        <f t="shared" si="0"/>
        <v>0.47619047619047616</v>
      </c>
      <c r="N14" s="10">
        <f t="shared" si="0"/>
        <v>0.43119266055045874</v>
      </c>
      <c r="O14" s="10">
        <f t="shared" si="0"/>
        <v>0.32911392405063289</v>
      </c>
      <c r="P14" s="10">
        <f t="shared" si="0"/>
        <v>0.44999999999999996</v>
      </c>
    </row>
    <row r="15" spans="1:16" x14ac:dyDescent="0.3">
      <c r="A15" s="10" t="s">
        <v>37</v>
      </c>
      <c r="B15" s="17">
        <v>0.10351413848100406</v>
      </c>
      <c r="C15" s="17">
        <v>5.8333333333333334E-2</v>
      </c>
      <c r="D15" s="17">
        <v>1.5873015873015872E-2</v>
      </c>
      <c r="E15" s="17">
        <v>0</v>
      </c>
      <c r="F15" s="17">
        <v>1.834862385321101E-2</v>
      </c>
      <c r="G15" s="17">
        <v>8.8607594936708861E-2</v>
      </c>
      <c r="H15" s="17">
        <v>0.1</v>
      </c>
      <c r="I15" s="10">
        <v>0.52597670168362576</v>
      </c>
      <c r="J15" s="10">
        <f t="shared" si="1"/>
        <v>0.52597670168362576</v>
      </c>
      <c r="K15" s="10">
        <f t="shared" si="0"/>
        <v>0.48333333333333334</v>
      </c>
      <c r="L15" s="10">
        <f t="shared" si="0"/>
        <v>0.47619047619047616</v>
      </c>
      <c r="M15" s="10">
        <f t="shared" si="0"/>
        <v>0.47619047619047616</v>
      </c>
      <c r="N15" s="10">
        <f t="shared" si="0"/>
        <v>0.44954128440366975</v>
      </c>
      <c r="O15" s="10">
        <f t="shared" si="0"/>
        <v>0.41772151898734178</v>
      </c>
      <c r="P15" s="10">
        <f t="shared" si="0"/>
        <v>0.54999999999999993</v>
      </c>
    </row>
    <row r="16" spans="1:16" x14ac:dyDescent="0.3">
      <c r="A16" s="10" t="s">
        <v>29</v>
      </c>
      <c r="B16" s="17">
        <v>0.47402329831637424</v>
      </c>
      <c r="C16" s="17">
        <v>0.51666666666666672</v>
      </c>
      <c r="D16" s="17">
        <v>0.52380952380952384</v>
      </c>
      <c r="E16" s="17">
        <v>0.52380952380952384</v>
      </c>
      <c r="F16" s="17">
        <v>0.55045871559633031</v>
      </c>
      <c r="G16" s="17">
        <v>0.58227848101265822</v>
      </c>
      <c r="H16" s="17">
        <v>0.45</v>
      </c>
      <c r="I16" s="10">
        <v>1</v>
      </c>
      <c r="J16" s="10">
        <f t="shared" si="1"/>
        <v>1</v>
      </c>
      <c r="K16" s="10">
        <f t="shared" si="0"/>
        <v>1</v>
      </c>
      <c r="L16" s="10">
        <f t="shared" si="0"/>
        <v>1</v>
      </c>
      <c r="M16" s="10">
        <f t="shared" si="0"/>
        <v>1</v>
      </c>
      <c r="N16" s="10">
        <f t="shared" si="0"/>
        <v>1</v>
      </c>
      <c r="O16" s="10">
        <f t="shared" si="0"/>
        <v>1</v>
      </c>
      <c r="P16" s="10">
        <f t="shared" si="0"/>
        <v>1</v>
      </c>
    </row>
    <row r="18" spans="2:16" ht="28.8" x14ac:dyDescent="0.3">
      <c r="B18" s="1" t="s">
        <v>154</v>
      </c>
      <c r="C18" s="3" t="s">
        <v>162</v>
      </c>
      <c r="D18" s="3" t="s">
        <v>163</v>
      </c>
      <c r="E18" s="3" t="s">
        <v>164</v>
      </c>
      <c r="F18" s="3" t="s">
        <v>165</v>
      </c>
      <c r="G18" s="3" t="s">
        <v>166</v>
      </c>
      <c r="H18" s="3" t="s">
        <v>167</v>
      </c>
      <c r="J18" s="8"/>
      <c r="K18" s="11" t="s">
        <v>168</v>
      </c>
      <c r="L18" s="11" t="s">
        <v>169</v>
      </c>
      <c r="M18" s="11" t="s">
        <v>170</v>
      </c>
      <c r="N18" s="11" t="s">
        <v>171</v>
      </c>
      <c r="O18" s="11" t="s">
        <v>172</v>
      </c>
      <c r="P18" s="11" t="s">
        <v>173</v>
      </c>
    </row>
    <row r="19" spans="2:16" x14ac:dyDescent="0.3">
      <c r="B19" s="10" t="s">
        <v>32</v>
      </c>
      <c r="C19" s="10">
        <f>C2-B2</f>
        <v>2.4675240731494096E-2</v>
      </c>
      <c r="D19" s="10">
        <f>D2-B2</f>
        <v>5.4833970890224251E-2</v>
      </c>
      <c r="E19" s="10">
        <f>E2-B2</f>
        <v>-8.6580926018392391E-3</v>
      </c>
      <c r="F19" s="10">
        <f>F2-B2</f>
        <v>9.6905312513717711E-3</v>
      </c>
      <c r="G19" s="10">
        <f>G2-B2</f>
        <v>-8.6580926018392391E-3</v>
      </c>
      <c r="H19" s="10">
        <f>H2-B2</f>
        <v>-8.6580926018392391E-3</v>
      </c>
      <c r="J19" s="10" t="s">
        <v>32</v>
      </c>
      <c r="K19" s="8">
        <f>(J2-0) * ((K2+0))</f>
        <v>2.8860308672797464E-4</v>
      </c>
      <c r="L19" s="8">
        <f>(J2-0) * ((L2+0))</f>
        <v>5.497201651961421E-4</v>
      </c>
      <c r="M19" s="8">
        <f>(J2-0) * ((M2+0))</f>
        <v>0</v>
      </c>
      <c r="N19" s="8">
        <f>(J2-0) * ((N2+0))</f>
        <v>1.5886408443741725E-4</v>
      </c>
      <c r="O19" s="8">
        <f>(J2-0) * ((O2+0))</f>
        <v>0</v>
      </c>
      <c r="P19" s="8">
        <f>(J2-0) * ((P2+0))</f>
        <v>0</v>
      </c>
    </row>
    <row r="20" spans="2:16" x14ac:dyDescent="0.3">
      <c r="B20" s="10" t="s">
        <v>43</v>
      </c>
      <c r="C20" s="10">
        <f t="shared" ref="C20:C33" si="2">C3-B3</f>
        <v>-1.2327844057378043E-2</v>
      </c>
      <c r="D20" s="10">
        <f t="shared" ref="D20:D33" si="3">D3-B3</f>
        <v>1.94181876886537E-2</v>
      </c>
      <c r="E20" s="10">
        <f t="shared" ref="E20:E33" si="4">E3-B3</f>
        <v>-1.2327844057378043E-2</v>
      </c>
      <c r="F20" s="10">
        <f t="shared" ref="F20:F33" si="5">F3-B3</f>
        <v>1.5195091722438473E-2</v>
      </c>
      <c r="G20" s="10">
        <f t="shared" ref="G20:G33" si="6">G3-B3</f>
        <v>2.5646839486925754E-2</v>
      </c>
      <c r="H20" s="10">
        <f t="shared" ref="H20:H33" si="7">H3-B3</f>
        <v>2.1005489275955289E-2</v>
      </c>
      <c r="J20" s="10" t="s">
        <v>43</v>
      </c>
      <c r="K20" s="8">
        <f>(J3-J2) * ((K3+K2))</f>
        <v>8.218562704918695E-4</v>
      </c>
      <c r="L20" s="8">
        <f>(J3-J2) * ((L3+L2))</f>
        <v>1.9568006440282607E-3</v>
      </c>
      <c r="M20" s="8">
        <f>(J3-J2) * ((M3+M2))</f>
        <v>0</v>
      </c>
      <c r="N20" s="8">
        <f>(J3-J2) * ((N3+N2))</f>
        <v>7.9169640735455324E-4</v>
      </c>
      <c r="O20" s="8">
        <f>(J3-J2) * ((O3+O2))</f>
        <v>4.6814597686245735E-4</v>
      </c>
      <c r="P20" s="8">
        <f>(J3-J2) * ((P3+P2))</f>
        <v>4.1092813524593475E-4</v>
      </c>
    </row>
    <row r="21" spans="2:16" x14ac:dyDescent="0.3">
      <c r="B21" s="10" t="s">
        <v>36</v>
      </c>
      <c r="C21" s="10">
        <f t="shared" si="2"/>
        <v>3.5728771271550299E-3</v>
      </c>
      <c r="D21" s="10">
        <f t="shared" si="3"/>
        <v>-1.3093789539511637E-2</v>
      </c>
      <c r="E21" s="10">
        <f t="shared" si="4"/>
        <v>-1.3093789539511637E-2</v>
      </c>
      <c r="F21" s="10">
        <f t="shared" si="5"/>
        <v>5.2548343136993737E-3</v>
      </c>
      <c r="G21" s="10">
        <f t="shared" si="6"/>
        <v>-4.355616914103709E-4</v>
      </c>
      <c r="H21" s="10">
        <f t="shared" si="7"/>
        <v>-1.3093789539511637E-2</v>
      </c>
      <c r="J21" s="10" t="s">
        <v>36</v>
      </c>
      <c r="K21" s="8">
        <f t="shared" ref="K21:K33" si="8">(J4-J3) * ((K4+K3))</f>
        <v>1.0911491282926367E-3</v>
      </c>
      <c r="L21" s="8">
        <f t="shared" ref="L21:L33" si="9">(J4-J3) * ((L4+L3))</f>
        <v>2.4940551503831693E-3</v>
      </c>
      <c r="M21" s="8">
        <f t="shared" ref="M21:M33" si="10">(J4-J3) * ((M4+M3))</f>
        <v>0</v>
      </c>
      <c r="N21" s="8">
        <f t="shared" ref="N21:N33" si="11">(J4-J3) * ((N4+N3))</f>
        <v>1.4415181144416484E-3</v>
      </c>
      <c r="O21" s="8">
        <f t="shared" ref="O21:O33" si="12">(J4-J3) * ((O4+O3))</f>
        <v>1.1602091997035629E-3</v>
      </c>
      <c r="P21" s="8">
        <f t="shared" ref="P21:P33" si="13">(J4-J3) * ((P4+P3))</f>
        <v>8.7291930263410917E-4</v>
      </c>
    </row>
    <row r="22" spans="2:16" x14ac:dyDescent="0.3">
      <c r="B22" s="10" t="s">
        <v>31</v>
      </c>
      <c r="C22" s="10">
        <f t="shared" si="2"/>
        <v>1.9691747341409695E-2</v>
      </c>
      <c r="D22" s="10">
        <f t="shared" si="3"/>
        <v>1.8104445754108106E-2</v>
      </c>
      <c r="E22" s="10">
        <f t="shared" si="4"/>
        <v>-1.3641585991923638E-2</v>
      </c>
      <c r="F22" s="10">
        <f t="shared" si="5"/>
        <v>-4.4672740653181331E-3</v>
      </c>
      <c r="G22" s="10">
        <f t="shared" si="6"/>
        <v>-1.3641585991923638E-2</v>
      </c>
      <c r="H22" s="10">
        <f t="shared" si="7"/>
        <v>-1.3641585991923638E-2</v>
      </c>
      <c r="J22" s="10" t="s">
        <v>31</v>
      </c>
      <c r="K22" s="8">
        <f t="shared" si="8"/>
        <v>1.8188781322564854E-3</v>
      </c>
      <c r="L22" s="8">
        <f t="shared" si="9"/>
        <v>3.0314635537608083E-3</v>
      </c>
      <c r="M22" s="8">
        <f t="shared" si="10"/>
        <v>0</v>
      </c>
      <c r="N22" s="8">
        <f t="shared" si="11"/>
        <v>1.8772824759527944E-3</v>
      </c>
      <c r="O22" s="8">
        <f t="shared" si="12"/>
        <v>1.3814264295618874E-3</v>
      </c>
      <c r="P22" s="8">
        <f t="shared" si="13"/>
        <v>9.0943906612824248E-4</v>
      </c>
    </row>
    <row r="23" spans="2:16" x14ac:dyDescent="0.3">
      <c r="B23" s="10" t="s">
        <v>41</v>
      </c>
      <c r="C23" s="10">
        <f t="shared" si="2"/>
        <v>4.5327732558985076E-3</v>
      </c>
      <c r="D23" s="10">
        <f t="shared" si="3"/>
        <v>-4.5942108710856217E-3</v>
      </c>
      <c r="E23" s="10">
        <f t="shared" si="4"/>
        <v>3.3422970654223144E-3</v>
      </c>
      <c r="F23" s="10">
        <f t="shared" si="5"/>
        <v>1.6230020962320527E-2</v>
      </c>
      <c r="G23" s="10">
        <f t="shared" si="6"/>
        <v>-7.8089988960002282E-3</v>
      </c>
      <c r="H23" s="10">
        <f t="shared" si="7"/>
        <v>1.2866106589231839E-2</v>
      </c>
      <c r="J23" s="10" t="s">
        <v>41</v>
      </c>
      <c r="K23" s="8">
        <f t="shared" si="8"/>
        <v>3.9228851259527856E-3</v>
      </c>
      <c r="L23" s="8">
        <f t="shared" si="9"/>
        <v>5.5229024547575438E-3</v>
      </c>
      <c r="M23" s="8">
        <f t="shared" si="10"/>
        <v>4.8731492247860682E-4</v>
      </c>
      <c r="N23" s="8">
        <f t="shared" si="11"/>
        <v>3.7554544484589888E-3</v>
      </c>
      <c r="O23" s="8">
        <f t="shared" si="12"/>
        <v>2.3317093759102959E-3</v>
      </c>
      <c r="P23" s="8">
        <f t="shared" si="13"/>
        <v>2.0467226744101488E-3</v>
      </c>
    </row>
    <row r="24" spans="2:16" x14ac:dyDescent="0.3">
      <c r="B24" s="10" t="s">
        <v>34</v>
      </c>
      <c r="C24" s="10">
        <f t="shared" si="2"/>
        <v>-4.4695504352477121E-3</v>
      </c>
      <c r="D24" s="10">
        <f t="shared" si="3"/>
        <v>-2.1136217101914379E-2</v>
      </c>
      <c r="E24" s="10">
        <f t="shared" si="4"/>
        <v>-2.1136217101914379E-2</v>
      </c>
      <c r="F24" s="10">
        <f t="shared" si="5"/>
        <v>-2.7875932487033683E-3</v>
      </c>
      <c r="G24" s="10">
        <f t="shared" si="6"/>
        <v>4.1802385942881527E-3</v>
      </c>
      <c r="H24" s="10">
        <f t="shared" si="7"/>
        <v>-4.4695504352477121E-3</v>
      </c>
      <c r="J24" s="10" t="s">
        <v>34</v>
      </c>
      <c r="K24" s="8">
        <f t="shared" si="8"/>
        <v>4.9317839904466886E-3</v>
      </c>
      <c r="L24" s="8">
        <f t="shared" si="9"/>
        <v>6.0389191719755365E-3</v>
      </c>
      <c r="M24" s="8">
        <f t="shared" si="10"/>
        <v>1.0064865286625894E-3</v>
      </c>
      <c r="N24" s="8">
        <f t="shared" si="11"/>
        <v>5.0416664646768241E-3</v>
      </c>
      <c r="O24" s="8">
        <f t="shared" si="12"/>
        <v>3.2105646230756019E-3</v>
      </c>
      <c r="P24" s="8">
        <f t="shared" si="13"/>
        <v>3.1704325652871569E-3</v>
      </c>
    </row>
    <row r="25" spans="2:16" x14ac:dyDescent="0.3">
      <c r="B25" s="10" t="s">
        <v>39</v>
      </c>
      <c r="C25" s="10">
        <f t="shared" si="2"/>
        <v>1.4984616453607779E-2</v>
      </c>
      <c r="D25" s="10">
        <f t="shared" si="3"/>
        <v>5.0639815329728589E-3</v>
      </c>
      <c r="E25" s="10">
        <f t="shared" si="4"/>
        <v>-2.6682050213058885E-2</v>
      </c>
      <c r="F25" s="10">
        <f t="shared" si="5"/>
        <v>-8.3334263598478751E-3</v>
      </c>
      <c r="G25" s="10">
        <f t="shared" si="6"/>
        <v>-1.402382236495762E-2</v>
      </c>
      <c r="H25" s="10">
        <f t="shared" si="7"/>
        <v>-1.0015383546392219E-2</v>
      </c>
      <c r="J25" s="10" t="s">
        <v>39</v>
      </c>
      <c r="K25" s="8">
        <f t="shared" si="8"/>
        <v>7.7822646454755087E-3</v>
      </c>
      <c r="L25" s="8">
        <f t="shared" si="9"/>
        <v>8.4704921311298063E-3</v>
      </c>
      <c r="M25" s="8">
        <f t="shared" si="10"/>
        <v>1.2705738196694709E-3</v>
      </c>
      <c r="N25" s="8">
        <f t="shared" si="11"/>
        <v>7.3436835448785938E-3</v>
      </c>
      <c r="O25" s="8">
        <f t="shared" si="12"/>
        <v>5.0662120657706759E-3</v>
      </c>
      <c r="P25" s="8">
        <f t="shared" si="13"/>
        <v>4.891709205727463E-3</v>
      </c>
    </row>
    <row r="26" spans="2:16" x14ac:dyDescent="0.3">
      <c r="B26" s="10" t="s">
        <v>42</v>
      </c>
      <c r="C26" s="10">
        <f t="shared" si="2"/>
        <v>-1.748577587530278E-2</v>
      </c>
      <c r="D26" s="10">
        <f t="shared" si="3"/>
        <v>-1.8279426668953574E-2</v>
      </c>
      <c r="E26" s="10">
        <f t="shared" si="4"/>
        <v>-3.4152442541969447E-2</v>
      </c>
      <c r="F26" s="10">
        <f t="shared" si="5"/>
        <v>-3.4152442541969447E-2</v>
      </c>
      <c r="G26" s="10">
        <f t="shared" si="6"/>
        <v>-3.4152442541969447E-2</v>
      </c>
      <c r="H26" s="10">
        <f t="shared" si="7"/>
        <v>3.2514224124697219E-2</v>
      </c>
      <c r="J26" s="10" t="s">
        <v>42</v>
      </c>
      <c r="K26" s="8">
        <f t="shared" si="8"/>
        <v>1.1953354889689306E-2</v>
      </c>
      <c r="L26" s="8">
        <f t="shared" si="9"/>
        <v>1.2468352039131702E-2</v>
      </c>
      <c r="M26" s="8">
        <f t="shared" si="10"/>
        <v>1.6263067877128306E-3</v>
      </c>
      <c r="N26" s="8">
        <f t="shared" si="11"/>
        <v>1.0026405149935984E-2</v>
      </c>
      <c r="O26" s="8">
        <f t="shared" si="12"/>
        <v>6.9169503882469761E-3</v>
      </c>
      <c r="P26" s="8">
        <f t="shared" si="13"/>
        <v>9.1073180111918527E-3</v>
      </c>
    </row>
    <row r="27" spans="2:16" x14ac:dyDescent="0.3">
      <c r="B27" s="10" t="s">
        <v>33</v>
      </c>
      <c r="C27" s="10">
        <f t="shared" si="2"/>
        <v>-2.2149317355128848E-2</v>
      </c>
      <c r="D27" s="10">
        <f t="shared" si="3"/>
        <v>-2.2942968148779642E-2</v>
      </c>
      <c r="E27" s="10">
        <f t="shared" si="4"/>
        <v>5.6422111216299718E-2</v>
      </c>
      <c r="F27" s="10">
        <f t="shared" si="5"/>
        <v>-1.1293048241978999E-2</v>
      </c>
      <c r="G27" s="10">
        <f t="shared" si="6"/>
        <v>-8.4130047749171599E-4</v>
      </c>
      <c r="H27" s="10">
        <f t="shared" si="7"/>
        <v>2.7850682644871151E-2</v>
      </c>
      <c r="J27" s="10" t="s">
        <v>33</v>
      </c>
      <c r="K27" s="8">
        <f t="shared" si="8"/>
        <v>1.4879460541688276E-2</v>
      </c>
      <c r="L27" s="8">
        <f t="shared" si="9"/>
        <v>1.5403168262617265E-2</v>
      </c>
      <c r="M27" s="8">
        <f t="shared" si="10"/>
        <v>5.5451405745422155E-3</v>
      </c>
      <c r="N27" s="8">
        <f t="shared" si="11"/>
        <v>1.2463848080393053E-2</v>
      </c>
      <c r="O27" s="8">
        <f t="shared" si="12"/>
        <v>9.3354898280267676E-3</v>
      </c>
      <c r="P27" s="8">
        <f t="shared" si="13"/>
        <v>1.5526393608718204E-2</v>
      </c>
    </row>
    <row r="28" spans="2:16" x14ac:dyDescent="0.3">
      <c r="B28" s="10" t="s">
        <v>40</v>
      </c>
      <c r="C28" s="10">
        <f t="shared" si="2"/>
        <v>-4.2640055716878372E-4</v>
      </c>
      <c r="D28" s="10">
        <f t="shared" si="3"/>
        <v>3.7272012141243913E-2</v>
      </c>
      <c r="E28" s="10">
        <f t="shared" si="4"/>
        <v>5.5259803952121683E-3</v>
      </c>
      <c r="F28" s="10">
        <f t="shared" si="5"/>
        <v>3.7784924091920774E-3</v>
      </c>
      <c r="G28" s="10">
        <f t="shared" si="6"/>
        <v>-1.6776611527632917E-2</v>
      </c>
      <c r="H28" s="10">
        <f t="shared" si="7"/>
        <v>7.9069327761645547E-3</v>
      </c>
      <c r="J28" s="10" t="s">
        <v>40</v>
      </c>
      <c r="K28" s="8">
        <f t="shared" si="8"/>
        <v>1.8591104690527317E-2</v>
      </c>
      <c r="L28" s="8">
        <f t="shared" si="9"/>
        <v>2.0712461649823783E-2</v>
      </c>
      <c r="M28" s="8">
        <f t="shared" si="10"/>
        <v>1.2026590635381551E-2</v>
      </c>
      <c r="N28" s="8">
        <f t="shared" si="11"/>
        <v>1.6605521932338749E-2</v>
      </c>
      <c r="O28" s="8">
        <f t="shared" si="12"/>
        <v>1.2787767257874054E-2</v>
      </c>
      <c r="P28" s="8">
        <f t="shared" si="13"/>
        <v>2.1748084732314973E-2</v>
      </c>
    </row>
    <row r="29" spans="2:16" x14ac:dyDescent="0.3">
      <c r="B29" s="10" t="s">
        <v>38</v>
      </c>
      <c r="C29" s="10">
        <f t="shared" si="2"/>
        <v>2.1199601514439038E-2</v>
      </c>
      <c r="D29" s="10">
        <f t="shared" si="3"/>
        <v>-3.7927382612545087E-2</v>
      </c>
      <c r="E29" s="10">
        <f t="shared" si="4"/>
        <v>-6.1813508665133424E-3</v>
      </c>
      <c r="F29" s="10">
        <f t="shared" si="5"/>
        <v>3.7942720780494092E-2</v>
      </c>
      <c r="G29" s="10">
        <f t="shared" si="6"/>
        <v>-1.582571494125716E-2</v>
      </c>
      <c r="H29" s="10">
        <f t="shared" si="7"/>
        <v>-3.7133731818894289E-2</v>
      </c>
      <c r="J29" s="10" t="s">
        <v>38</v>
      </c>
      <c r="K29" s="8">
        <f t="shared" si="8"/>
        <v>3.0038555821104866E-2</v>
      </c>
      <c r="L29" s="8">
        <f t="shared" si="9"/>
        <v>3.1597059428027853E-2</v>
      </c>
      <c r="M29" s="8">
        <f t="shared" si="10"/>
        <v>2.0495389899261314E-2</v>
      </c>
      <c r="N29" s="8">
        <f t="shared" si="11"/>
        <v>2.8627734973968214E-2</v>
      </c>
      <c r="O29" s="8">
        <f t="shared" si="12"/>
        <v>1.9749513368117311E-2</v>
      </c>
      <c r="P29" s="8">
        <f t="shared" si="13"/>
        <v>3.1383565783243882E-2</v>
      </c>
    </row>
    <row r="30" spans="2:16" x14ac:dyDescent="0.3">
      <c r="B30" s="10" t="s">
        <v>35</v>
      </c>
      <c r="C30" s="10">
        <f t="shared" si="2"/>
        <v>1.5372638940732944E-2</v>
      </c>
      <c r="D30" s="10">
        <f t="shared" si="3"/>
        <v>4.315041671851072E-2</v>
      </c>
      <c r="E30" s="10">
        <f t="shared" si="4"/>
        <v>9.8705972274066273E-2</v>
      </c>
      <c r="F30" s="10">
        <f t="shared" si="5"/>
        <v>5.433801020243656E-3</v>
      </c>
      <c r="G30" s="10">
        <f t="shared" si="6"/>
        <v>7.9886726960072124E-3</v>
      </c>
      <c r="H30" s="10">
        <f t="shared" si="7"/>
        <v>-1.2940277259337191E-3</v>
      </c>
      <c r="J30" s="10" t="s">
        <v>35</v>
      </c>
      <c r="K30" s="8">
        <f t="shared" si="8"/>
        <v>4.8705164314696937E-2</v>
      </c>
      <c r="L30" s="8">
        <f t="shared" si="9"/>
        <v>4.8543353137571695E-2</v>
      </c>
      <c r="M30" s="8">
        <f t="shared" si="10"/>
        <v>4.0452794281309754E-2</v>
      </c>
      <c r="N30" s="8">
        <f t="shared" si="11"/>
        <v>4.7385438292088342E-2</v>
      </c>
      <c r="O30" s="8">
        <f t="shared" si="12"/>
        <v>3.2689954264795124E-2</v>
      </c>
      <c r="P30" s="8">
        <f t="shared" si="13"/>
        <v>4.5307129595066921E-2</v>
      </c>
    </row>
    <row r="31" spans="2:16" x14ac:dyDescent="0.3">
      <c r="B31" s="10" t="s">
        <v>30</v>
      </c>
      <c r="C31" s="10">
        <f t="shared" si="2"/>
        <v>-4.4633170287132602E-2</v>
      </c>
      <c r="D31" s="10">
        <f t="shared" si="3"/>
        <v>-2.2014122668084987E-2</v>
      </c>
      <c r="E31" s="10">
        <f t="shared" si="4"/>
        <v>2.5604924950962629E-2</v>
      </c>
      <c r="F31" s="10">
        <f t="shared" si="5"/>
        <v>-2.3761610654105078E-2</v>
      </c>
      <c r="G31" s="10">
        <f t="shared" si="6"/>
        <v>-1.9000258894727541E-2</v>
      </c>
      <c r="H31" s="10">
        <f t="shared" si="7"/>
        <v>1.3700163046200725E-2</v>
      </c>
      <c r="J31" s="10" t="s">
        <v>30</v>
      </c>
      <c r="K31" s="8">
        <f t="shared" si="8"/>
        <v>5.7447365486884408E-2</v>
      </c>
      <c r="L31" s="8">
        <f t="shared" si="9"/>
        <v>6.0790862949084035E-2</v>
      </c>
      <c r="M31" s="8">
        <f t="shared" si="10"/>
        <v>5.9685574531827955E-2</v>
      </c>
      <c r="N31" s="8">
        <f t="shared" si="11"/>
        <v>5.685644179408076E-2</v>
      </c>
      <c r="O31" s="8">
        <f t="shared" si="12"/>
        <v>4.2308761693447661E-2</v>
      </c>
      <c r="P31" s="8">
        <f t="shared" si="13"/>
        <v>5.686708906782497E-2</v>
      </c>
    </row>
    <row r="32" spans="2:16" x14ac:dyDescent="0.3">
      <c r="B32" s="10" t="s">
        <v>37</v>
      </c>
      <c r="C32" s="10">
        <f t="shared" si="2"/>
        <v>-4.5180805147670727E-2</v>
      </c>
      <c r="D32" s="10">
        <f t="shared" si="3"/>
        <v>-8.7641122607988189E-2</v>
      </c>
      <c r="E32" s="10">
        <f t="shared" si="4"/>
        <v>-0.10351413848100406</v>
      </c>
      <c r="F32" s="10">
        <f t="shared" si="5"/>
        <v>-8.5165514627793051E-2</v>
      </c>
      <c r="G32" s="10">
        <f t="shared" si="6"/>
        <v>-1.49065435442952E-2</v>
      </c>
      <c r="H32" s="10">
        <f t="shared" si="7"/>
        <v>-3.514138481004056E-3</v>
      </c>
      <c r="J32" s="10" t="s">
        <v>37</v>
      </c>
      <c r="K32" s="8">
        <f t="shared" si="8"/>
        <v>9.4025342453578728E-2</v>
      </c>
      <c r="L32" s="8">
        <f t="shared" si="9"/>
        <v>9.6941812228241941E-2</v>
      </c>
      <c r="M32" s="8">
        <f t="shared" si="10"/>
        <v>9.8584893791432468E-2</v>
      </c>
      <c r="N32" s="8">
        <f t="shared" si="11"/>
        <v>9.1168415542902698E-2</v>
      </c>
      <c r="O32" s="8">
        <f t="shared" si="12"/>
        <v>7.7308027473154961E-2</v>
      </c>
      <c r="P32" s="8">
        <f t="shared" si="13"/>
        <v>0.10351413848100409</v>
      </c>
    </row>
    <row r="33" spans="2:16" x14ac:dyDescent="0.3">
      <c r="B33" s="10" t="s">
        <v>29</v>
      </c>
      <c r="C33" s="10">
        <f t="shared" si="2"/>
        <v>4.2643368350292477E-2</v>
      </c>
      <c r="D33" s="10">
        <f t="shared" si="3"/>
        <v>4.9786225493149594E-2</v>
      </c>
      <c r="E33" s="10">
        <f t="shared" si="4"/>
        <v>4.9786225493149594E-2</v>
      </c>
      <c r="F33" s="10">
        <f t="shared" si="5"/>
        <v>7.6435417279956064E-2</v>
      </c>
      <c r="G33" s="10">
        <f t="shared" si="6"/>
        <v>0.10825518269628398</v>
      </c>
      <c r="H33" s="10">
        <f t="shared" si="7"/>
        <v>-2.4023298316374231E-2</v>
      </c>
      <c r="J33" s="10" t="s">
        <v>29</v>
      </c>
      <c r="K33" s="8">
        <f t="shared" si="8"/>
        <v>0.70313455916928846</v>
      </c>
      <c r="L33" s="8">
        <f t="shared" si="9"/>
        <v>0.69974867846702871</v>
      </c>
      <c r="M33" s="8">
        <f t="shared" si="10"/>
        <v>0.69974867846702871</v>
      </c>
      <c r="N33" s="8">
        <f t="shared" si="11"/>
        <v>0.68711634067878102</v>
      </c>
      <c r="O33" s="8">
        <f t="shared" si="12"/>
        <v>0.67203303052447994</v>
      </c>
      <c r="P33" s="8">
        <f t="shared" si="13"/>
        <v>0.73473611239037995</v>
      </c>
    </row>
    <row r="34" spans="2:16" x14ac:dyDescent="0.3">
      <c r="J34" s="12" t="s">
        <v>174</v>
      </c>
      <c r="K34" s="11">
        <f>SUM(K19:K33)</f>
        <v>0.99943232774710222</v>
      </c>
      <c r="L34" s="11">
        <f t="shared" ref="L34:P34" si="14">SUM(L19:L33)</f>
        <v>1.0142701014327582</v>
      </c>
      <c r="M34" s="11">
        <f t="shared" si="14"/>
        <v>0.94092974423930742</v>
      </c>
      <c r="N34" s="11">
        <f t="shared" si="14"/>
        <v>0.97066031198468961</v>
      </c>
      <c r="O34" s="11">
        <f t="shared" si="14"/>
        <v>0.8867477624690272</v>
      </c>
      <c r="P34" s="11">
        <f t="shared" si="14"/>
        <v>1.0304919826191778</v>
      </c>
    </row>
    <row r="35" spans="2:16" x14ac:dyDescent="0.3">
      <c r="J35" s="13" t="s">
        <v>175</v>
      </c>
      <c r="K35" s="14">
        <f>1-K34</f>
        <v>5.6767225289777734E-4</v>
      </c>
      <c r="L35" s="14">
        <f t="shared" ref="L35:P35" si="15">1-L34</f>
        <v>-1.4270101432758198E-2</v>
      </c>
      <c r="M35" s="14">
        <f t="shared" si="15"/>
        <v>5.907025576069258E-2</v>
      </c>
      <c r="N35" s="14">
        <f t="shared" si="15"/>
        <v>2.9339688015310394E-2</v>
      </c>
      <c r="O35" s="14">
        <f t="shared" si="15"/>
        <v>0.1132522375309728</v>
      </c>
      <c r="P35" s="14">
        <f t="shared" si="15"/>
        <v>-3.0491982619177849E-2</v>
      </c>
    </row>
  </sheetData>
  <sortState xmlns:xlrd2="http://schemas.microsoft.com/office/spreadsheetml/2017/richdata2" ref="A2:P17">
    <sortCondition ref="B1:B17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5AF2-F297-4B9E-BAE5-1D0EFA5F0C29}">
  <dimension ref="A1:P25"/>
  <sheetViews>
    <sheetView workbookViewId="0">
      <selection activeCell="A13" sqref="A13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47</v>
      </c>
      <c r="B2" s="17">
        <v>1.4897987568070698E-2</v>
      </c>
      <c r="C2" s="17">
        <v>2.1645021645021644E-2</v>
      </c>
      <c r="D2" s="17">
        <v>1.0101010101010102E-2</v>
      </c>
      <c r="E2" s="17">
        <v>1.4492753623188406E-2</v>
      </c>
      <c r="F2" s="17">
        <v>2.0202020202020204E-2</v>
      </c>
      <c r="G2" s="17">
        <v>2.9197080291970802E-2</v>
      </c>
      <c r="H2" s="17">
        <v>1.2195121951219513E-2</v>
      </c>
      <c r="I2" s="10">
        <v>1.4897987568070698E-2</v>
      </c>
      <c r="J2" s="18">
        <v>1.4897987568070698E-2</v>
      </c>
      <c r="K2" s="18">
        <v>2.1645021645021644E-2</v>
      </c>
      <c r="L2" s="18">
        <v>1.0101010101010102E-2</v>
      </c>
      <c r="M2" s="18">
        <v>1.4492753623188406E-2</v>
      </c>
      <c r="N2" s="18">
        <v>2.0202020202020204E-2</v>
      </c>
      <c r="O2" s="18">
        <v>2.9197080291970802E-2</v>
      </c>
      <c r="P2" s="18">
        <v>1.2195121951219513E-2</v>
      </c>
    </row>
    <row r="3" spans="1:16" x14ac:dyDescent="0.3">
      <c r="A3" s="10" t="s">
        <v>49</v>
      </c>
      <c r="B3" s="17">
        <v>2.0054777519819406E-2</v>
      </c>
      <c r="C3" s="17">
        <v>1.2987012987012988E-2</v>
      </c>
      <c r="D3" s="17">
        <v>5.0505050505050504E-2</v>
      </c>
      <c r="E3" s="17">
        <v>7.246376811594203E-3</v>
      </c>
      <c r="F3" s="17">
        <v>2.0202020202020204E-2</v>
      </c>
      <c r="G3" s="17">
        <v>2.1897810218978103E-2</v>
      </c>
      <c r="H3" s="17">
        <v>3.6585365853658534E-2</v>
      </c>
      <c r="I3" s="10">
        <v>3.4952765087890102E-2</v>
      </c>
      <c r="J3" s="10">
        <f>J2+B3</f>
        <v>3.4952765087890102E-2</v>
      </c>
      <c r="K3" s="10">
        <f t="shared" ref="K3:P11" si="0">K2+C3</f>
        <v>3.4632034632034632E-2</v>
      </c>
      <c r="L3" s="10">
        <f t="shared" si="0"/>
        <v>6.0606060606060608E-2</v>
      </c>
      <c r="M3" s="10">
        <f t="shared" si="0"/>
        <v>2.1739130434782608E-2</v>
      </c>
      <c r="N3" s="10">
        <f t="shared" si="0"/>
        <v>4.0404040404040407E-2</v>
      </c>
      <c r="O3" s="10">
        <f t="shared" si="0"/>
        <v>5.1094890510948905E-2</v>
      </c>
      <c r="P3" s="10">
        <f t="shared" si="0"/>
        <v>4.878048780487805E-2</v>
      </c>
    </row>
    <row r="4" spans="1:16" x14ac:dyDescent="0.3">
      <c r="A4" s="10" t="s">
        <v>45</v>
      </c>
      <c r="B4" s="17">
        <v>2.1675635772288138E-2</v>
      </c>
      <c r="C4" s="17">
        <v>1.2987012987012988E-2</v>
      </c>
      <c r="D4" s="17">
        <v>3.0303030303030304E-2</v>
      </c>
      <c r="E4" s="17">
        <v>3.6231884057971016E-2</v>
      </c>
      <c r="F4" s="17">
        <v>3.0303030303030304E-2</v>
      </c>
      <c r="G4" s="17">
        <v>1.4598540145985401E-2</v>
      </c>
      <c r="H4" s="17">
        <v>1.2195121951219513E-2</v>
      </c>
      <c r="I4" s="10">
        <v>5.6628400860178243E-2</v>
      </c>
      <c r="J4" s="10">
        <f t="shared" ref="J4:J11" si="1">J3+B4</f>
        <v>5.6628400860178243E-2</v>
      </c>
      <c r="K4" s="10">
        <f t="shared" si="0"/>
        <v>4.7619047619047616E-2</v>
      </c>
      <c r="L4" s="10">
        <f t="shared" si="0"/>
        <v>9.0909090909090912E-2</v>
      </c>
      <c r="M4" s="10">
        <f t="shared" si="0"/>
        <v>5.7971014492753624E-2</v>
      </c>
      <c r="N4" s="10">
        <f t="shared" si="0"/>
        <v>7.0707070707070718E-2</v>
      </c>
      <c r="O4" s="10">
        <f t="shared" si="0"/>
        <v>6.569343065693431E-2</v>
      </c>
      <c r="P4" s="10">
        <f t="shared" si="0"/>
        <v>6.097560975609756E-2</v>
      </c>
    </row>
    <row r="5" spans="1:16" x14ac:dyDescent="0.3">
      <c r="A5" s="10" t="s">
        <v>53</v>
      </c>
      <c r="B5" s="17">
        <v>2.1723780076816912E-2</v>
      </c>
      <c r="C5" s="17">
        <v>1.7316017316017316E-2</v>
      </c>
      <c r="D5" s="17">
        <v>3.0303030303030304E-2</v>
      </c>
      <c r="E5" s="17">
        <v>1.4492753623188406E-2</v>
      </c>
      <c r="F5" s="17">
        <v>3.0303030303030304E-2</v>
      </c>
      <c r="G5" s="17">
        <v>5.1094890510948905E-2</v>
      </c>
      <c r="H5" s="17">
        <v>3.6585365853658534E-2</v>
      </c>
      <c r="I5" s="10">
        <v>7.8352180936995156E-2</v>
      </c>
      <c r="J5" s="10">
        <f t="shared" si="1"/>
        <v>7.8352180936995156E-2</v>
      </c>
      <c r="K5" s="10">
        <f t="shared" si="0"/>
        <v>6.4935064935064929E-2</v>
      </c>
      <c r="L5" s="10">
        <f t="shared" si="0"/>
        <v>0.12121212121212122</v>
      </c>
      <c r="M5" s="10">
        <f t="shared" si="0"/>
        <v>7.2463768115942032E-2</v>
      </c>
      <c r="N5" s="10">
        <f t="shared" si="0"/>
        <v>0.10101010101010102</v>
      </c>
      <c r="O5" s="10">
        <f t="shared" si="0"/>
        <v>0.11678832116788321</v>
      </c>
      <c r="P5" s="10">
        <f t="shared" si="0"/>
        <v>9.7560975609756101E-2</v>
      </c>
    </row>
    <row r="6" spans="1:16" x14ac:dyDescent="0.3">
      <c r="A6" s="10" t="s">
        <v>50</v>
      </c>
      <c r="B6" s="17">
        <v>2.9052413099530324E-2</v>
      </c>
      <c r="C6" s="17">
        <v>2.1645021645021644E-2</v>
      </c>
      <c r="D6" s="17">
        <v>2.0202020202020204E-2</v>
      </c>
      <c r="E6" s="17">
        <v>7.246376811594203E-3</v>
      </c>
      <c r="F6" s="17">
        <v>4.0404040404040407E-2</v>
      </c>
      <c r="G6" s="17">
        <v>1.4598540145985401E-2</v>
      </c>
      <c r="H6" s="17">
        <v>4.878048780487805E-2</v>
      </c>
      <c r="I6" s="10">
        <v>0.10740459403652548</v>
      </c>
      <c r="J6" s="10">
        <f t="shared" si="1"/>
        <v>0.10740459403652548</v>
      </c>
      <c r="K6" s="10">
        <f t="shared" si="0"/>
        <v>8.6580086580086577E-2</v>
      </c>
      <c r="L6" s="10">
        <f t="shared" si="0"/>
        <v>0.14141414141414141</v>
      </c>
      <c r="M6" s="10">
        <f t="shared" si="0"/>
        <v>7.9710144927536239E-2</v>
      </c>
      <c r="N6" s="10">
        <f t="shared" si="0"/>
        <v>0.14141414141414144</v>
      </c>
      <c r="O6" s="10">
        <f t="shared" si="0"/>
        <v>0.13138686131386862</v>
      </c>
      <c r="P6" s="10">
        <f t="shared" si="0"/>
        <v>0.14634146341463417</v>
      </c>
    </row>
    <row r="7" spans="1:16" x14ac:dyDescent="0.3">
      <c r="A7" s="10" t="s">
        <v>48</v>
      </c>
      <c r="B7" s="17">
        <v>3.197851694144583E-2</v>
      </c>
      <c r="C7" s="17">
        <v>2.1645021645021644E-2</v>
      </c>
      <c r="D7" s="17">
        <v>2.0202020202020204E-2</v>
      </c>
      <c r="E7" s="17">
        <v>3.6231884057971016E-2</v>
      </c>
      <c r="F7" s="17">
        <v>3.5353535353535352E-2</v>
      </c>
      <c r="G7" s="17">
        <v>8.0291970802919707E-2</v>
      </c>
      <c r="H7" s="17">
        <v>2.4390243902439025E-2</v>
      </c>
      <c r="I7" s="10">
        <v>0.13938311097797132</v>
      </c>
      <c r="J7" s="10">
        <f t="shared" si="1"/>
        <v>0.13938311097797132</v>
      </c>
      <c r="K7" s="10">
        <f t="shared" si="0"/>
        <v>0.10822510822510822</v>
      </c>
      <c r="L7" s="10">
        <f t="shared" si="0"/>
        <v>0.1616161616161616</v>
      </c>
      <c r="M7" s="10">
        <f t="shared" si="0"/>
        <v>0.11594202898550726</v>
      </c>
      <c r="N7" s="10">
        <f t="shared" si="0"/>
        <v>0.1767676767676768</v>
      </c>
      <c r="O7" s="10">
        <f t="shared" si="0"/>
        <v>0.21167883211678834</v>
      </c>
      <c r="P7" s="10">
        <f t="shared" si="0"/>
        <v>0.17073170731707318</v>
      </c>
    </row>
    <row r="8" spans="1:16" x14ac:dyDescent="0.3">
      <c r="A8" s="10" t="s">
        <v>46</v>
      </c>
      <c r="B8" s="17">
        <v>3.5664230921481986E-2</v>
      </c>
      <c r="C8" s="17">
        <v>3.4632034632034632E-2</v>
      </c>
      <c r="D8" s="17">
        <v>2.0202020202020204E-2</v>
      </c>
      <c r="E8" s="17">
        <v>1.4492753623188406E-2</v>
      </c>
      <c r="F8" s="17">
        <v>0.10101010101010101</v>
      </c>
      <c r="G8" s="17">
        <v>4.3795620437956206E-2</v>
      </c>
      <c r="H8" s="17">
        <v>0.13414634146341464</v>
      </c>
      <c r="I8" s="10">
        <v>0.17504734189945331</v>
      </c>
      <c r="J8" s="10">
        <f t="shared" si="1"/>
        <v>0.17504734189945331</v>
      </c>
      <c r="K8" s="10">
        <f t="shared" si="0"/>
        <v>0.14285714285714285</v>
      </c>
      <c r="L8" s="10">
        <f t="shared" si="0"/>
        <v>0.1818181818181818</v>
      </c>
      <c r="M8" s="10">
        <f t="shared" si="0"/>
        <v>0.13043478260869568</v>
      </c>
      <c r="N8" s="10">
        <f t="shared" si="0"/>
        <v>0.27777777777777779</v>
      </c>
      <c r="O8" s="10">
        <f t="shared" si="0"/>
        <v>0.25547445255474455</v>
      </c>
      <c r="P8" s="10">
        <f t="shared" si="0"/>
        <v>0.30487804878048785</v>
      </c>
    </row>
    <row r="9" spans="1:16" x14ac:dyDescent="0.3">
      <c r="A9" s="10" t="s">
        <v>52</v>
      </c>
      <c r="B9" s="17">
        <v>0.11542329542415132</v>
      </c>
      <c r="C9" s="17">
        <v>0.16883116883116883</v>
      </c>
      <c r="D9" s="17">
        <v>0.18181818181818182</v>
      </c>
      <c r="E9" s="17">
        <v>0.17391304347826086</v>
      </c>
      <c r="F9" s="17">
        <v>0.23737373737373738</v>
      </c>
      <c r="G9" s="17">
        <v>0.18978102189781021</v>
      </c>
      <c r="H9" s="17">
        <v>0.13414634146341464</v>
      </c>
      <c r="I9" s="10">
        <v>0.29047063732360462</v>
      </c>
      <c r="J9" s="10">
        <f t="shared" si="1"/>
        <v>0.29047063732360462</v>
      </c>
      <c r="K9" s="10">
        <f t="shared" si="0"/>
        <v>0.31168831168831168</v>
      </c>
      <c r="L9" s="10">
        <f t="shared" si="0"/>
        <v>0.36363636363636365</v>
      </c>
      <c r="M9" s="10">
        <f t="shared" si="0"/>
        <v>0.30434782608695654</v>
      </c>
      <c r="N9" s="10">
        <f t="shared" si="0"/>
        <v>0.51515151515151514</v>
      </c>
      <c r="O9" s="10">
        <f t="shared" si="0"/>
        <v>0.44525547445255476</v>
      </c>
      <c r="P9" s="10">
        <f t="shared" si="0"/>
        <v>0.4390243902439025</v>
      </c>
    </row>
    <row r="10" spans="1:16" x14ac:dyDescent="0.3">
      <c r="A10" s="10" t="s">
        <v>51</v>
      </c>
      <c r="B10" s="17">
        <v>0.14380168826027881</v>
      </c>
      <c r="C10" s="17">
        <v>6.0606060606060608E-2</v>
      </c>
      <c r="D10" s="17">
        <v>6.0606060606060608E-2</v>
      </c>
      <c r="E10" s="17">
        <v>5.0724637681159424E-2</v>
      </c>
      <c r="F10" s="17">
        <v>8.5858585858585856E-2</v>
      </c>
      <c r="G10" s="17">
        <v>9.4890510948905105E-2</v>
      </c>
      <c r="H10" s="17">
        <v>8.5365853658536592E-2</v>
      </c>
      <c r="I10" s="10">
        <v>0.4342723255838834</v>
      </c>
      <c r="J10" s="10">
        <f t="shared" si="1"/>
        <v>0.4342723255838834</v>
      </c>
      <c r="K10" s="10">
        <f t="shared" si="0"/>
        <v>0.37229437229437229</v>
      </c>
      <c r="L10" s="10">
        <f t="shared" si="0"/>
        <v>0.42424242424242425</v>
      </c>
      <c r="M10" s="10">
        <f t="shared" si="0"/>
        <v>0.35507246376811596</v>
      </c>
      <c r="N10" s="10">
        <f t="shared" si="0"/>
        <v>0.60101010101010099</v>
      </c>
      <c r="O10" s="10">
        <f t="shared" si="0"/>
        <v>0.54014598540145986</v>
      </c>
      <c r="P10" s="10">
        <f t="shared" si="0"/>
        <v>0.52439024390243905</v>
      </c>
    </row>
    <row r="11" spans="1:16" x14ac:dyDescent="0.3">
      <c r="A11" s="10" t="s">
        <v>44</v>
      </c>
      <c r="B11" s="17">
        <v>0.5657276744161166</v>
      </c>
      <c r="C11" s="17">
        <v>0.62770562770562766</v>
      </c>
      <c r="D11" s="17">
        <v>0.5757575757575758</v>
      </c>
      <c r="E11" s="17">
        <v>0.64492753623188404</v>
      </c>
      <c r="F11" s="17">
        <v>0.39898989898989901</v>
      </c>
      <c r="G11" s="17">
        <v>0.45985401459854014</v>
      </c>
      <c r="H11" s="17">
        <v>0.47560975609756095</v>
      </c>
      <c r="I11" s="10">
        <v>1</v>
      </c>
      <c r="J11" s="10">
        <f t="shared" si="1"/>
        <v>1</v>
      </c>
      <c r="K11" s="10">
        <f t="shared" si="0"/>
        <v>1</v>
      </c>
      <c r="L11" s="10">
        <f t="shared" si="0"/>
        <v>1</v>
      </c>
      <c r="M11" s="10">
        <f t="shared" si="0"/>
        <v>1</v>
      </c>
      <c r="N11" s="10">
        <f t="shared" si="0"/>
        <v>1</v>
      </c>
      <c r="O11" s="10">
        <f t="shared" si="0"/>
        <v>1</v>
      </c>
      <c r="P11" s="10">
        <f t="shared" si="0"/>
        <v>1</v>
      </c>
    </row>
    <row r="13" spans="1:16" ht="28.8" x14ac:dyDescent="0.3">
      <c r="B13" s="1" t="s">
        <v>154</v>
      </c>
      <c r="C13" s="3" t="s">
        <v>162</v>
      </c>
      <c r="D13" s="3" t="s">
        <v>163</v>
      </c>
      <c r="E13" s="3" t="s">
        <v>164</v>
      </c>
      <c r="F13" s="3" t="s">
        <v>165</v>
      </c>
      <c r="G13" s="3" t="s">
        <v>166</v>
      </c>
      <c r="H13" s="3" t="s">
        <v>167</v>
      </c>
      <c r="J13" s="1" t="s">
        <v>154</v>
      </c>
      <c r="K13" s="11" t="s">
        <v>168</v>
      </c>
      <c r="L13" s="11" t="s">
        <v>169</v>
      </c>
      <c r="M13" s="11" t="s">
        <v>170</v>
      </c>
      <c r="N13" s="11" t="s">
        <v>171</v>
      </c>
      <c r="O13" s="11" t="s">
        <v>172</v>
      </c>
      <c r="P13" s="11" t="s">
        <v>173</v>
      </c>
    </row>
    <row r="14" spans="1:16" x14ac:dyDescent="0.3">
      <c r="B14" s="10" t="s">
        <v>47</v>
      </c>
      <c r="C14" s="10">
        <f>C2-B2</f>
        <v>6.7470340769509463E-3</v>
      </c>
      <c r="D14" s="10">
        <f>D2-B2</f>
        <v>-4.7969774670605959E-3</v>
      </c>
      <c r="E14" s="10">
        <f>E2-B2</f>
        <v>-4.0523394488229184E-4</v>
      </c>
      <c r="F14" s="10">
        <f>F2-B2</f>
        <v>5.3040326339495059E-3</v>
      </c>
      <c r="G14" s="10">
        <f>G2-B2</f>
        <v>1.4299092723900104E-2</v>
      </c>
      <c r="H14" s="10">
        <f>H2-B2</f>
        <v>-2.7028656168511852E-3</v>
      </c>
      <c r="J14" s="10" t="s">
        <v>47</v>
      </c>
      <c r="K14" s="8">
        <f>(J2-0) * ((K2+0))</f>
        <v>3.224672633781536E-4</v>
      </c>
      <c r="L14" s="8">
        <f>(J2-0) * ((L2+0))</f>
        <v>1.5048472290980503E-4</v>
      </c>
      <c r="M14" s="8">
        <f>(J2-0) * ((M2+0))</f>
        <v>2.1591286330537244E-4</v>
      </c>
      <c r="N14" s="8">
        <f>(J2-0) * ((N2+0))</f>
        <v>3.0096944581961007E-4</v>
      </c>
      <c r="O14" s="8">
        <f>(J2-0) * ((O2+0))</f>
        <v>4.3497773921374297E-4</v>
      </c>
      <c r="P14" s="8">
        <f>(J2-0) * ((P2+0))</f>
        <v>1.8168277522037437E-4</v>
      </c>
    </row>
    <row r="15" spans="1:16" x14ac:dyDescent="0.3">
      <c r="B15" s="10" t="s">
        <v>49</v>
      </c>
      <c r="C15" s="10">
        <f t="shared" ref="C15:C23" si="2">C3-B3</f>
        <v>-7.0677645328064177E-3</v>
      </c>
      <c r="D15" s="10">
        <f t="shared" ref="D15:D23" si="3">D3-B3</f>
        <v>3.0450272985231099E-2</v>
      </c>
      <c r="E15" s="10">
        <f t="shared" ref="E15:E23" si="4">E3-B3</f>
        <v>-1.2808400708225202E-2</v>
      </c>
      <c r="F15" s="10">
        <f t="shared" ref="F15:F23" si="5">F3-B3</f>
        <v>1.4724268220079814E-4</v>
      </c>
      <c r="G15" s="10">
        <f t="shared" ref="G15:G23" si="6">G3-B3</f>
        <v>1.8430326991586976E-3</v>
      </c>
      <c r="H15" s="10">
        <f t="shared" ref="H15:H23" si="7">H3-B3</f>
        <v>1.6530588333839129E-2</v>
      </c>
      <c r="J15" s="10" t="s">
        <v>49</v>
      </c>
      <c r="K15" s="8">
        <f>(J3-J2) * ((K3+K2))</f>
        <v>1.1286238431067197E-3</v>
      </c>
      <c r="L15" s="8">
        <f>(J3-J2) * ((L3+L2))</f>
        <v>1.4180145721084429E-3</v>
      </c>
      <c r="M15" s="8">
        <f>(J3-J2) * ((M3+M2))</f>
        <v>7.2662237390650028E-4</v>
      </c>
      <c r="N15" s="8">
        <f>(J3-J2) * ((N3+N2))</f>
        <v>1.2154410618072367E-3</v>
      </c>
      <c r="O15" s="8">
        <f>(J3-J2) * ((O3+O2))</f>
        <v>1.6102376110803901E-3</v>
      </c>
      <c r="P15" s="8">
        <f>(J3-J2) * ((P3+P2))</f>
        <v>1.2228522877938662E-3</v>
      </c>
    </row>
    <row r="16" spans="1:16" x14ac:dyDescent="0.3">
      <c r="B16" s="10" t="s">
        <v>45</v>
      </c>
      <c r="C16" s="10">
        <f t="shared" si="2"/>
        <v>-8.6886227852751505E-3</v>
      </c>
      <c r="D16" s="10">
        <f t="shared" si="3"/>
        <v>8.6273945307421655E-3</v>
      </c>
      <c r="E16" s="10">
        <f t="shared" si="4"/>
        <v>1.4556248285682877E-2</v>
      </c>
      <c r="F16" s="10">
        <f t="shared" si="5"/>
        <v>8.6273945307421655E-3</v>
      </c>
      <c r="G16" s="10">
        <f t="shared" si="6"/>
        <v>-7.0770956263027374E-3</v>
      </c>
      <c r="H16" s="10">
        <f t="shared" si="7"/>
        <v>-9.4805138210686257E-3</v>
      </c>
      <c r="J16" s="10" t="s">
        <v>45</v>
      </c>
      <c r="K16" s="8">
        <f t="shared" ref="K16:K23" si="8">(J4-J3) * ((K4+K3))</f>
        <v>1.7828445007509726E-3</v>
      </c>
      <c r="L16" s="8">
        <f t="shared" ref="L16:L23" si="9">(J4-J3) * ((L4+L3))</f>
        <v>3.2841872382254763E-3</v>
      </c>
      <c r="M16" s="8">
        <f t="shared" ref="M16:M23" si="10">(J4-J3) * ((M4+M3))</f>
        <v>1.7277680688055764E-3</v>
      </c>
      <c r="N16" s="8">
        <f t="shared" ref="N16:N23" si="11">(J4-J3) * ((N4+N3))</f>
        <v>2.4084039746986828E-3</v>
      </c>
      <c r="O16" s="8">
        <f t="shared" ref="O16:O23" si="12">(J4-J3) * ((O4+O3))</f>
        <v>2.5314611120920458E-3</v>
      </c>
      <c r="P16" s="8">
        <f t="shared" ref="P16:P23" si="13">(J4-J3) * ((P4+P3))</f>
        <v>2.3790331945194301E-3</v>
      </c>
    </row>
    <row r="17" spans="2:16" x14ac:dyDescent="0.3">
      <c r="B17" s="10" t="s">
        <v>53</v>
      </c>
      <c r="C17" s="10">
        <f t="shared" si="2"/>
        <v>-4.407762760799596E-3</v>
      </c>
      <c r="D17" s="10">
        <f t="shared" si="3"/>
        <v>8.5792502262133918E-3</v>
      </c>
      <c r="E17" s="10">
        <f t="shared" si="4"/>
        <v>-7.2310264536285061E-3</v>
      </c>
      <c r="F17" s="10">
        <f t="shared" si="5"/>
        <v>8.5792502262133918E-3</v>
      </c>
      <c r="G17" s="10">
        <f t="shared" si="6"/>
        <v>2.9371110434131993E-2</v>
      </c>
      <c r="H17" s="10">
        <f t="shared" si="7"/>
        <v>1.4861585776841622E-2</v>
      </c>
      <c r="J17" s="10" t="s">
        <v>53</v>
      </c>
      <c r="K17" s="8">
        <f t="shared" si="8"/>
        <v>2.4451007878668386E-3</v>
      </c>
      <c r="L17" s="8">
        <f t="shared" si="9"/>
        <v>4.6080745617490424E-3</v>
      </c>
      <c r="M17" s="8">
        <f t="shared" si="10"/>
        <v>2.8335365317587275E-3</v>
      </c>
      <c r="N17" s="8">
        <f t="shared" si="11"/>
        <v>3.7303460737968439E-3</v>
      </c>
      <c r="O17" s="8">
        <f t="shared" si="12"/>
        <v>3.9641934446746187E-3</v>
      </c>
      <c r="P17" s="8">
        <f t="shared" si="13"/>
        <v>3.4440139146173152E-3</v>
      </c>
    </row>
    <row r="18" spans="2:16" x14ac:dyDescent="0.3">
      <c r="B18" s="10" t="s">
        <v>50</v>
      </c>
      <c r="C18" s="10">
        <f t="shared" si="2"/>
        <v>-7.40739145450868E-3</v>
      </c>
      <c r="D18" s="10">
        <f t="shared" si="3"/>
        <v>-8.8503928975101204E-3</v>
      </c>
      <c r="E18" s="10">
        <f t="shared" si="4"/>
        <v>-2.180603628793612E-2</v>
      </c>
      <c r="F18" s="10">
        <f t="shared" si="5"/>
        <v>1.1351627304510083E-2</v>
      </c>
      <c r="G18" s="10">
        <f t="shared" si="6"/>
        <v>-1.4453872953544923E-2</v>
      </c>
      <c r="H18" s="10">
        <f t="shared" si="7"/>
        <v>1.9728074705347726E-2</v>
      </c>
      <c r="J18" s="10" t="s">
        <v>50</v>
      </c>
      <c r="K18" s="8">
        <f t="shared" si="8"/>
        <v>4.4018807726561096E-3</v>
      </c>
      <c r="L18" s="8">
        <f t="shared" si="9"/>
        <v>7.6299266726039252E-3</v>
      </c>
      <c r="M18" s="8">
        <f t="shared" si="10"/>
        <v>4.4210193847111371E-3</v>
      </c>
      <c r="N18" s="8">
        <f t="shared" si="11"/>
        <v>7.0430092362497778E-3</v>
      </c>
      <c r="O18" s="8">
        <f t="shared" si="12"/>
        <v>7.2100879225111764E-3</v>
      </c>
      <c r="P18" s="8">
        <f t="shared" si="13"/>
        <v>7.0859544145195925E-3</v>
      </c>
    </row>
    <row r="19" spans="2:16" x14ac:dyDescent="0.3">
      <c r="B19" s="10" t="s">
        <v>48</v>
      </c>
      <c r="C19" s="10">
        <f t="shared" si="2"/>
        <v>-1.0333495296424185E-2</v>
      </c>
      <c r="D19" s="10">
        <f t="shared" si="3"/>
        <v>-1.1776496739425626E-2</v>
      </c>
      <c r="E19" s="10">
        <f t="shared" si="4"/>
        <v>4.2533671165251863E-3</v>
      </c>
      <c r="F19" s="10">
        <f t="shared" si="5"/>
        <v>3.3750184120895227E-3</v>
      </c>
      <c r="G19" s="10">
        <f t="shared" si="6"/>
        <v>4.8313453861473878E-2</v>
      </c>
      <c r="H19" s="10">
        <f t="shared" si="7"/>
        <v>-7.5882730390068043E-3</v>
      </c>
      <c r="J19" s="10" t="s">
        <v>48</v>
      </c>
      <c r="K19" s="8">
        <f t="shared" si="8"/>
        <v>6.2295812223595792E-3</v>
      </c>
      <c r="L19" s="8">
        <f t="shared" si="9"/>
        <v>9.690459679226009E-3</v>
      </c>
      <c r="M19" s="8">
        <f t="shared" si="10"/>
        <v>6.2566663581089688E-3</v>
      </c>
      <c r="N19" s="8">
        <f t="shared" si="11"/>
        <v>1.0174982663187313E-2</v>
      </c>
      <c r="O19" s="8">
        <f t="shared" si="12"/>
        <v>1.0970732089401128E-2</v>
      </c>
      <c r="P19" s="8">
        <f t="shared" si="13"/>
        <v>1.0139529761921853E-2</v>
      </c>
    </row>
    <row r="20" spans="2:16" x14ac:dyDescent="0.3">
      <c r="B20" s="10" t="s">
        <v>46</v>
      </c>
      <c r="C20" s="10">
        <f t="shared" si="2"/>
        <v>-1.0321962894473541E-3</v>
      </c>
      <c r="D20" s="10">
        <f t="shared" si="3"/>
        <v>-1.5462210719461782E-2</v>
      </c>
      <c r="E20" s="10">
        <f t="shared" si="4"/>
        <v>-2.1171477298293578E-2</v>
      </c>
      <c r="F20" s="10">
        <f t="shared" si="5"/>
        <v>6.5345870088619029E-2</v>
      </c>
      <c r="G20" s="10">
        <f t="shared" si="6"/>
        <v>8.1313895164742203E-3</v>
      </c>
      <c r="H20" s="10">
        <f t="shared" si="7"/>
        <v>9.8482110541932649E-2</v>
      </c>
      <c r="J20" s="10" t="s">
        <v>46</v>
      </c>
      <c r="K20" s="8">
        <f t="shared" si="8"/>
        <v>8.9546553828829239E-3</v>
      </c>
      <c r="L20" s="8">
        <f t="shared" si="9"/>
        <v>1.2248321730609977E-2</v>
      </c>
      <c r="M20" s="8">
        <f t="shared" si="10"/>
        <v>8.7868395023941153E-3</v>
      </c>
      <c r="N20" s="8">
        <f t="shared" si="11"/>
        <v>1.6211014055219089E-2</v>
      </c>
      <c r="O20" s="8">
        <f t="shared" si="12"/>
        <v>1.6660662620254361E-2</v>
      </c>
      <c r="P20" s="8">
        <f t="shared" si="13"/>
        <v>1.6962256169973145E-2</v>
      </c>
    </row>
    <row r="21" spans="2:16" x14ac:dyDescent="0.3">
      <c r="B21" s="10" t="s">
        <v>52</v>
      </c>
      <c r="C21" s="10">
        <f t="shared" si="2"/>
        <v>5.3407873407017512E-2</v>
      </c>
      <c r="D21" s="10">
        <f t="shared" si="3"/>
        <v>6.6394886394030503E-2</v>
      </c>
      <c r="E21" s="10">
        <f t="shared" si="4"/>
        <v>5.8489748054109544E-2</v>
      </c>
      <c r="F21" s="10">
        <f t="shared" si="5"/>
        <v>0.12195044194958606</v>
      </c>
      <c r="G21" s="10">
        <f t="shared" si="6"/>
        <v>7.4357726473658889E-2</v>
      </c>
      <c r="H21" s="10">
        <f t="shared" si="7"/>
        <v>1.8723046039263322E-2</v>
      </c>
      <c r="J21" s="10" t="s">
        <v>52</v>
      </c>
      <c r="K21" s="8">
        <f t="shared" si="8"/>
        <v>5.2465134283705139E-2</v>
      </c>
      <c r="L21" s="8">
        <f t="shared" si="9"/>
        <v>6.2958161140446167E-2</v>
      </c>
      <c r="M21" s="8">
        <f t="shared" si="10"/>
        <v>5.018404148876144E-2</v>
      </c>
      <c r="N21" s="8">
        <f t="shared" si="11"/>
        <v>9.1522512028241187E-2</v>
      </c>
      <c r="O21" s="8">
        <f t="shared" si="12"/>
        <v>8.0880557377507489E-2</v>
      </c>
      <c r="P21" s="8">
        <f t="shared" si="13"/>
        <v>8.5863670986258911E-2</v>
      </c>
    </row>
    <row r="22" spans="2:16" x14ac:dyDescent="0.3">
      <c r="B22" s="10" t="s">
        <v>51</v>
      </c>
      <c r="C22" s="10">
        <f t="shared" si="2"/>
        <v>-8.3195627654218202E-2</v>
      </c>
      <c r="D22" s="10">
        <f t="shared" si="3"/>
        <v>-8.3195627654218202E-2</v>
      </c>
      <c r="E22" s="10">
        <f t="shared" si="4"/>
        <v>-9.3077050579119386E-2</v>
      </c>
      <c r="F22" s="10">
        <f t="shared" si="5"/>
        <v>-5.7943102401692953E-2</v>
      </c>
      <c r="G22" s="10">
        <f t="shared" si="6"/>
        <v>-4.8911177311373705E-2</v>
      </c>
      <c r="H22" s="10">
        <f t="shared" si="7"/>
        <v>-5.8435834601742218E-2</v>
      </c>
      <c r="J22" s="10" t="s">
        <v>51</v>
      </c>
      <c r="K22" s="8">
        <f t="shared" si="8"/>
        <v>9.8357864697506694E-2</v>
      </c>
      <c r="L22" s="8">
        <f t="shared" si="9"/>
        <v>0.11329829984143176</v>
      </c>
      <c r="M22" s="8">
        <f t="shared" si="10"/>
        <v>9.4825750954241811E-2</v>
      </c>
      <c r="N22" s="8">
        <f t="shared" si="11"/>
        <v>0.16050592477536166</v>
      </c>
      <c r="O22" s="8">
        <f t="shared" si="12"/>
        <v>0.14170239354115063</v>
      </c>
      <c r="P22" s="8">
        <f t="shared" si="13"/>
        <v>0.13854065088490275</v>
      </c>
    </row>
    <row r="23" spans="2:16" x14ac:dyDescent="0.3">
      <c r="B23" s="10" t="s">
        <v>44</v>
      </c>
      <c r="C23" s="10">
        <f t="shared" si="2"/>
        <v>6.1977953289511056E-2</v>
      </c>
      <c r="D23" s="10">
        <f t="shared" si="3"/>
        <v>1.0029901341459202E-2</v>
      </c>
      <c r="E23" s="10">
        <f t="shared" si="4"/>
        <v>7.9199861815767436E-2</v>
      </c>
      <c r="F23" s="10">
        <f t="shared" si="5"/>
        <v>-0.16673777542621759</v>
      </c>
      <c r="G23" s="10">
        <f t="shared" si="6"/>
        <v>-0.10587365981757646</v>
      </c>
      <c r="H23" s="10">
        <f t="shared" si="7"/>
        <v>-9.0117918318555645E-2</v>
      </c>
      <c r="J23" s="10" t="s">
        <v>44</v>
      </c>
      <c r="K23" s="8">
        <f t="shared" si="8"/>
        <v>0.77634490385241983</v>
      </c>
      <c r="L23" s="8">
        <f t="shared" si="9"/>
        <v>0.80573335447143879</v>
      </c>
      <c r="M23" s="8">
        <f t="shared" si="10"/>
        <v>0.76660199359285364</v>
      </c>
      <c r="N23" s="8">
        <f t="shared" si="11"/>
        <v>0.90573572116115642</v>
      </c>
      <c r="O23" s="8">
        <f t="shared" si="12"/>
        <v>0.87130320658248617</v>
      </c>
      <c r="P23" s="8">
        <f t="shared" si="13"/>
        <v>0.86238974758554365</v>
      </c>
    </row>
    <row r="24" spans="2:16" x14ac:dyDescent="0.3">
      <c r="J24" s="12" t="s">
        <v>174</v>
      </c>
      <c r="K24" s="11">
        <f>SUM(K14:K23)</f>
        <v>0.95243305660663302</v>
      </c>
      <c r="L24" s="11">
        <f t="shared" ref="L24:P24" si="14">SUM(L14:L23)</f>
        <v>1.0210192846307493</v>
      </c>
      <c r="M24" s="11">
        <f t="shared" si="14"/>
        <v>0.93658015111884729</v>
      </c>
      <c r="N24" s="11">
        <f t="shared" si="14"/>
        <v>1.1988483244755379</v>
      </c>
      <c r="O24" s="11">
        <f t="shared" si="14"/>
        <v>1.1372685100403719</v>
      </c>
      <c r="P24" s="11">
        <f t="shared" si="14"/>
        <v>1.1282093919752709</v>
      </c>
    </row>
    <row r="25" spans="2:16" x14ac:dyDescent="0.3">
      <c r="J25" s="13" t="s">
        <v>175</v>
      </c>
      <c r="K25" s="14">
        <f>1-K24</f>
        <v>4.7566943393366978E-2</v>
      </c>
      <c r="L25" s="14">
        <f t="shared" ref="L25:P25" si="15">1-L24</f>
        <v>-2.1019284630749313E-2</v>
      </c>
      <c r="M25" s="14">
        <f t="shared" si="15"/>
        <v>6.3419848881152707E-2</v>
      </c>
      <c r="N25" s="14">
        <f t="shared" si="15"/>
        <v>-0.19884832447553791</v>
      </c>
      <c r="O25" s="14">
        <f t="shared" si="15"/>
        <v>-0.13726851004037188</v>
      </c>
      <c r="P25" s="14">
        <f t="shared" si="15"/>
        <v>-0.12820939197527093</v>
      </c>
    </row>
  </sheetData>
  <sortState xmlns:xlrd2="http://schemas.microsoft.com/office/spreadsheetml/2017/richdata2" ref="A2:P12">
    <sortCondition ref="B1:B12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4584-FDFA-4AAB-B334-91B99C4D167E}">
  <dimension ref="A1:P23"/>
  <sheetViews>
    <sheetView workbookViewId="0">
      <selection activeCell="A12" sqref="A12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56</v>
      </c>
      <c r="B2" s="17">
        <v>1.9919296526951694E-2</v>
      </c>
      <c r="C2" s="17">
        <v>9.433962264150943E-3</v>
      </c>
      <c r="D2" s="17">
        <v>0</v>
      </c>
      <c r="E2" s="17">
        <v>0</v>
      </c>
      <c r="F2" s="17">
        <v>1.4423076923076924E-2</v>
      </c>
      <c r="G2" s="17">
        <v>1.6260162601626018E-2</v>
      </c>
      <c r="H2" s="17">
        <v>4.0322580645161289E-3</v>
      </c>
      <c r="I2" s="10">
        <v>1.9919296526951694E-2</v>
      </c>
      <c r="J2" s="18">
        <v>1.9919296526951694E-2</v>
      </c>
      <c r="K2" s="18">
        <v>9.433962264150943E-3</v>
      </c>
      <c r="L2" s="18">
        <v>0</v>
      </c>
      <c r="M2" s="18">
        <v>0</v>
      </c>
      <c r="N2" s="18">
        <v>1.4423076923076924E-2</v>
      </c>
      <c r="O2" s="18">
        <v>1.6260162601626018E-2</v>
      </c>
      <c r="P2" s="18">
        <v>4.0322580645161289E-3</v>
      </c>
    </row>
    <row r="3" spans="1:16" x14ac:dyDescent="0.3">
      <c r="A3" s="10" t="s">
        <v>58</v>
      </c>
      <c r="B3" s="17">
        <v>2.0805635248291467E-2</v>
      </c>
      <c r="C3" s="17">
        <v>0</v>
      </c>
      <c r="D3" s="17">
        <v>2.4793388429752067E-2</v>
      </c>
      <c r="E3" s="17">
        <v>3.937007874015748E-2</v>
      </c>
      <c r="F3" s="17">
        <v>3.8461538461538464E-2</v>
      </c>
      <c r="G3" s="17">
        <v>1.6260162601626018E-2</v>
      </c>
      <c r="H3" s="17">
        <v>1.6129032258064516E-2</v>
      </c>
      <c r="I3" s="10">
        <v>4.072493177524316E-2</v>
      </c>
      <c r="J3" s="10">
        <f t="shared" ref="J3:P10" si="0">J2+B3</f>
        <v>4.072493177524316E-2</v>
      </c>
      <c r="K3" s="10">
        <f t="shared" si="0"/>
        <v>9.433962264150943E-3</v>
      </c>
      <c r="L3" s="10">
        <f t="shared" si="0"/>
        <v>2.4793388429752067E-2</v>
      </c>
      <c r="M3" s="10">
        <f t="shared" si="0"/>
        <v>3.937007874015748E-2</v>
      </c>
      <c r="N3" s="10">
        <f t="shared" si="0"/>
        <v>5.2884615384615391E-2</v>
      </c>
      <c r="O3" s="10">
        <f t="shared" si="0"/>
        <v>3.2520325203252036E-2</v>
      </c>
      <c r="P3" s="10">
        <f t="shared" si="0"/>
        <v>2.0161290322580645E-2</v>
      </c>
    </row>
    <row r="4" spans="1:16" x14ac:dyDescent="0.3">
      <c r="A4" s="10" t="s">
        <v>62</v>
      </c>
      <c r="B4" s="17">
        <v>3.513633289016397E-2</v>
      </c>
      <c r="C4" s="17">
        <v>2.8301886792452831E-2</v>
      </c>
      <c r="D4" s="17">
        <v>1.6528925619834711E-2</v>
      </c>
      <c r="E4" s="17">
        <v>0</v>
      </c>
      <c r="F4" s="17">
        <v>6.25E-2</v>
      </c>
      <c r="G4" s="17">
        <v>5.2845528455284556E-2</v>
      </c>
      <c r="H4" s="17">
        <v>4.4354838709677422E-2</v>
      </c>
      <c r="I4" s="10">
        <v>7.586126466540713E-2</v>
      </c>
      <c r="J4" s="10">
        <f t="shared" si="0"/>
        <v>7.586126466540713E-2</v>
      </c>
      <c r="K4" s="10">
        <f t="shared" si="0"/>
        <v>3.7735849056603772E-2</v>
      </c>
      <c r="L4" s="10">
        <f t="shared" si="0"/>
        <v>4.1322314049586778E-2</v>
      </c>
      <c r="M4" s="10">
        <f t="shared" si="0"/>
        <v>3.937007874015748E-2</v>
      </c>
      <c r="N4" s="10">
        <f t="shared" si="0"/>
        <v>0.11538461538461539</v>
      </c>
      <c r="O4" s="10">
        <f t="shared" si="0"/>
        <v>8.5365853658536592E-2</v>
      </c>
      <c r="P4" s="10">
        <f t="shared" si="0"/>
        <v>6.4516129032258063E-2</v>
      </c>
    </row>
    <row r="5" spans="1:16" x14ac:dyDescent="0.3">
      <c r="A5" s="10" t="s">
        <v>61</v>
      </c>
      <c r="B5" s="17">
        <v>3.5178317355911648E-2</v>
      </c>
      <c r="C5" s="17">
        <v>1.8867924528301886E-2</v>
      </c>
      <c r="D5" s="17">
        <v>8.2644628099173556E-3</v>
      </c>
      <c r="E5" s="17">
        <v>2.3622047244094488E-2</v>
      </c>
      <c r="F5" s="17">
        <v>4.3269230769230768E-2</v>
      </c>
      <c r="G5" s="17">
        <v>3.2520325203252036E-2</v>
      </c>
      <c r="H5" s="17">
        <v>7.2580645161290328E-2</v>
      </c>
      <c r="I5" s="10">
        <v>0.11103958202131878</v>
      </c>
      <c r="J5" s="10">
        <f t="shared" si="0"/>
        <v>0.11103958202131878</v>
      </c>
      <c r="K5" s="10">
        <f t="shared" si="0"/>
        <v>5.6603773584905662E-2</v>
      </c>
      <c r="L5" s="10">
        <f t="shared" si="0"/>
        <v>4.9586776859504134E-2</v>
      </c>
      <c r="M5" s="10">
        <f t="shared" si="0"/>
        <v>6.2992125984251968E-2</v>
      </c>
      <c r="N5" s="10">
        <f t="shared" si="0"/>
        <v>0.15865384615384615</v>
      </c>
      <c r="O5" s="10">
        <f t="shared" si="0"/>
        <v>0.11788617886178862</v>
      </c>
      <c r="P5" s="10">
        <f t="shared" si="0"/>
        <v>0.13709677419354838</v>
      </c>
    </row>
    <row r="6" spans="1:16" x14ac:dyDescent="0.3">
      <c r="A6" s="10" t="s">
        <v>59</v>
      </c>
      <c r="B6" s="17">
        <v>7.5973223240734258E-2</v>
      </c>
      <c r="C6" s="17">
        <v>1.8867924528301886E-2</v>
      </c>
      <c r="D6" s="17">
        <v>8.2644628099173556E-3</v>
      </c>
      <c r="E6" s="17">
        <v>7.874015748031496E-3</v>
      </c>
      <c r="F6" s="17">
        <v>6.7307692307692304E-2</v>
      </c>
      <c r="G6" s="17">
        <v>6.910569105691057E-2</v>
      </c>
      <c r="H6" s="17">
        <v>5.2419354838709679E-2</v>
      </c>
      <c r="I6" s="10">
        <v>0.18701280526205305</v>
      </c>
      <c r="J6" s="10">
        <f t="shared" si="0"/>
        <v>0.18701280526205305</v>
      </c>
      <c r="K6" s="10">
        <f t="shared" si="0"/>
        <v>7.5471698113207544E-2</v>
      </c>
      <c r="L6" s="10">
        <f t="shared" si="0"/>
        <v>5.7851239669421489E-2</v>
      </c>
      <c r="M6" s="10">
        <f t="shared" si="0"/>
        <v>7.0866141732283464E-2</v>
      </c>
      <c r="N6" s="10">
        <f t="shared" si="0"/>
        <v>0.22596153846153844</v>
      </c>
      <c r="O6" s="10">
        <f t="shared" si="0"/>
        <v>0.18699186991869921</v>
      </c>
      <c r="P6" s="10">
        <f t="shared" si="0"/>
        <v>0.18951612903225806</v>
      </c>
    </row>
    <row r="7" spans="1:16" x14ac:dyDescent="0.3">
      <c r="A7" s="10" t="s">
        <v>60</v>
      </c>
      <c r="B7" s="17">
        <v>7.9010099596482641E-2</v>
      </c>
      <c r="C7" s="17">
        <v>4.716981132075472E-2</v>
      </c>
      <c r="D7" s="17">
        <v>8.2644628099173556E-2</v>
      </c>
      <c r="E7" s="17">
        <v>4.7244094488188976E-2</v>
      </c>
      <c r="F7" s="17">
        <v>8.6538461538461536E-2</v>
      </c>
      <c r="G7" s="17">
        <v>3.6585365853658534E-2</v>
      </c>
      <c r="H7" s="17">
        <v>4.8387096774193547E-2</v>
      </c>
      <c r="I7" s="10">
        <v>0.26602290485853569</v>
      </c>
      <c r="J7" s="10">
        <f t="shared" si="0"/>
        <v>0.26602290485853569</v>
      </c>
      <c r="K7" s="10">
        <f t="shared" si="0"/>
        <v>0.12264150943396226</v>
      </c>
      <c r="L7" s="10">
        <f t="shared" si="0"/>
        <v>0.14049586776859505</v>
      </c>
      <c r="M7" s="10">
        <f t="shared" si="0"/>
        <v>0.11811023622047244</v>
      </c>
      <c r="N7" s="10">
        <f t="shared" si="0"/>
        <v>0.3125</v>
      </c>
      <c r="O7" s="10">
        <f t="shared" si="0"/>
        <v>0.22357723577235775</v>
      </c>
      <c r="P7" s="10">
        <f t="shared" si="0"/>
        <v>0.23790322580645162</v>
      </c>
    </row>
    <row r="8" spans="1:16" x14ac:dyDescent="0.3">
      <c r="A8" s="10" t="s">
        <v>55</v>
      </c>
      <c r="B8" s="17">
        <v>9.3574044270286663E-2</v>
      </c>
      <c r="C8" s="17">
        <v>2.8301886792452831E-2</v>
      </c>
      <c r="D8" s="17">
        <v>8.2644628099173556E-3</v>
      </c>
      <c r="E8" s="17">
        <v>3.937007874015748E-2</v>
      </c>
      <c r="F8" s="17">
        <v>0.11057692307692307</v>
      </c>
      <c r="G8" s="17">
        <v>8.943089430894309E-2</v>
      </c>
      <c r="H8" s="17">
        <v>9.6774193548387094E-2</v>
      </c>
      <c r="I8" s="10">
        <v>0.35959694912882234</v>
      </c>
      <c r="J8" s="10">
        <f t="shared" si="0"/>
        <v>0.35959694912882234</v>
      </c>
      <c r="K8" s="10">
        <f t="shared" si="0"/>
        <v>0.15094339622641509</v>
      </c>
      <c r="L8" s="10">
        <f t="shared" si="0"/>
        <v>0.1487603305785124</v>
      </c>
      <c r="M8" s="10">
        <f t="shared" si="0"/>
        <v>0.15748031496062992</v>
      </c>
      <c r="N8" s="10">
        <f t="shared" si="0"/>
        <v>0.42307692307692307</v>
      </c>
      <c r="O8" s="10">
        <f t="shared" si="0"/>
        <v>0.31300813008130085</v>
      </c>
      <c r="P8" s="10">
        <f t="shared" si="0"/>
        <v>0.33467741935483875</v>
      </c>
    </row>
    <row r="9" spans="1:16" x14ac:dyDescent="0.3">
      <c r="A9" s="10" t="s">
        <v>57</v>
      </c>
      <c r="B9" s="17">
        <v>9.9409885009213259E-2</v>
      </c>
      <c r="C9" s="17">
        <v>0.42452830188679247</v>
      </c>
      <c r="D9" s="17">
        <v>0.47107438016528924</v>
      </c>
      <c r="E9" s="17">
        <v>0.40157480314960631</v>
      </c>
      <c r="F9" s="17">
        <v>0.28365384615384615</v>
      </c>
      <c r="G9" s="17">
        <v>0.26829268292682928</v>
      </c>
      <c r="H9" s="17">
        <v>0.13306451612903225</v>
      </c>
      <c r="I9" s="10">
        <v>0.45900683413803561</v>
      </c>
      <c r="J9" s="10">
        <f t="shared" si="0"/>
        <v>0.45900683413803561</v>
      </c>
      <c r="K9" s="10">
        <f t="shared" si="0"/>
        <v>0.57547169811320753</v>
      </c>
      <c r="L9" s="10">
        <f t="shared" si="0"/>
        <v>0.61983471074380159</v>
      </c>
      <c r="M9" s="10">
        <f t="shared" si="0"/>
        <v>0.55905511811023623</v>
      </c>
      <c r="N9" s="10">
        <f t="shared" si="0"/>
        <v>0.70673076923076916</v>
      </c>
      <c r="O9" s="10">
        <f t="shared" si="0"/>
        <v>0.58130081300813008</v>
      </c>
      <c r="P9" s="10">
        <f t="shared" si="0"/>
        <v>0.467741935483871</v>
      </c>
    </row>
    <row r="10" spans="1:16" x14ac:dyDescent="0.3">
      <c r="A10" s="10" t="s">
        <v>54</v>
      </c>
      <c r="B10" s="17">
        <v>0.54099316586196444</v>
      </c>
      <c r="C10" s="17">
        <v>0.42452830188679247</v>
      </c>
      <c r="D10" s="17">
        <v>0.38016528925619836</v>
      </c>
      <c r="E10" s="17">
        <v>0.44094488188976377</v>
      </c>
      <c r="F10" s="17">
        <v>0.29326923076923078</v>
      </c>
      <c r="G10" s="17">
        <v>0.41869918699186992</v>
      </c>
      <c r="H10" s="17">
        <v>0.532258064516129</v>
      </c>
      <c r="I10" s="10">
        <v>1</v>
      </c>
      <c r="J10" s="10">
        <f t="shared" si="0"/>
        <v>1</v>
      </c>
      <c r="K10" s="10">
        <f t="shared" si="0"/>
        <v>1</v>
      </c>
      <c r="L10" s="10">
        <f t="shared" si="0"/>
        <v>1</v>
      </c>
      <c r="M10" s="10">
        <f t="shared" si="0"/>
        <v>1</v>
      </c>
      <c r="N10" s="10">
        <f t="shared" si="0"/>
        <v>1</v>
      </c>
      <c r="O10" s="10">
        <f t="shared" si="0"/>
        <v>1</v>
      </c>
      <c r="P10" s="10">
        <f t="shared" si="0"/>
        <v>1</v>
      </c>
    </row>
    <row r="12" spans="1:16" ht="28.8" x14ac:dyDescent="0.3">
      <c r="B12" s="1" t="s">
        <v>154</v>
      </c>
      <c r="C12" s="3" t="s">
        <v>162</v>
      </c>
      <c r="D12" s="3" t="s">
        <v>163</v>
      </c>
      <c r="E12" s="3" t="s">
        <v>164</v>
      </c>
      <c r="F12" s="3" t="s">
        <v>165</v>
      </c>
      <c r="G12" s="3" t="s">
        <v>166</v>
      </c>
      <c r="H12" s="3" t="s">
        <v>167</v>
      </c>
      <c r="J12" s="8"/>
      <c r="K12" s="11" t="s">
        <v>168</v>
      </c>
      <c r="L12" s="11" t="s">
        <v>169</v>
      </c>
      <c r="M12" s="11" t="s">
        <v>170</v>
      </c>
      <c r="N12" s="11" t="s">
        <v>171</v>
      </c>
      <c r="O12" s="11" t="s">
        <v>172</v>
      </c>
      <c r="P12" s="11" t="s">
        <v>173</v>
      </c>
    </row>
    <row r="13" spans="1:16" x14ac:dyDescent="0.3">
      <c r="B13" s="10" t="s">
        <v>56</v>
      </c>
      <c r="C13" s="10">
        <f>C2-B2</f>
        <v>-1.0485334262800751E-2</v>
      </c>
      <c r="D13" s="10">
        <f>D2-B2</f>
        <v>-1.9919296526951694E-2</v>
      </c>
      <c r="E13" s="10">
        <f>E2-B2</f>
        <v>-1.9919296526951694E-2</v>
      </c>
      <c r="F13" s="10">
        <f>F2-B2</f>
        <v>-5.4962196038747697E-3</v>
      </c>
      <c r="G13" s="10">
        <f>G2-B2</f>
        <v>-3.6591339253256756E-3</v>
      </c>
      <c r="H13" s="10">
        <f>H2-B2</f>
        <v>-1.5887038462435565E-2</v>
      </c>
      <c r="J13" s="10" t="s">
        <v>56</v>
      </c>
      <c r="K13" s="8">
        <f>($J2-0) * ((K2+0))</f>
        <v>1.8791789176369521E-4</v>
      </c>
      <c r="L13" s="8">
        <f t="shared" ref="L13:P13" si="1">($J2-0) * ((L2+0))</f>
        <v>0</v>
      </c>
      <c r="M13" s="8">
        <f t="shared" si="1"/>
        <v>0</v>
      </c>
      <c r="N13" s="8">
        <f t="shared" si="1"/>
        <v>2.872975460618033E-4</v>
      </c>
      <c r="O13" s="8">
        <f t="shared" si="1"/>
        <v>3.2389100043823894E-4</v>
      </c>
      <c r="P13" s="8">
        <f t="shared" si="1"/>
        <v>8.0319744060289091E-5</v>
      </c>
    </row>
    <row r="14" spans="1:16" x14ac:dyDescent="0.3">
      <c r="B14" s="10" t="s">
        <v>58</v>
      </c>
      <c r="C14" s="10">
        <f t="shared" ref="C14:C21" si="2">C3-B3</f>
        <v>-2.0805635248291467E-2</v>
      </c>
      <c r="D14" s="10">
        <f t="shared" ref="D14:D21" si="3">D3-B3</f>
        <v>3.9877531814606001E-3</v>
      </c>
      <c r="E14" s="10">
        <f t="shared" ref="E14:E21" si="4">E3-B3</f>
        <v>1.8564443491866013E-2</v>
      </c>
      <c r="F14" s="10">
        <f t="shared" ref="F14:F21" si="5">F3-B3</f>
        <v>1.7655903213246997E-2</v>
      </c>
      <c r="G14" s="10">
        <f t="shared" ref="G14:G21" si="6">G3-B3</f>
        <v>-4.5454726466654487E-3</v>
      </c>
      <c r="H14" s="10">
        <f t="shared" ref="H14:H21" si="7">H3-B3</f>
        <v>-4.676602990226951E-3</v>
      </c>
      <c r="J14" s="10" t="s">
        <v>58</v>
      </c>
      <c r="K14" s="8">
        <f>($J3-$J2) * ((K3+K2))</f>
        <v>3.9255915562814086E-4</v>
      </c>
      <c r="L14" s="8">
        <f t="shared" ref="L14:P14" si="8">($J3-$J2) * ((L3+L2))</f>
        <v>5.1584219623863144E-4</v>
      </c>
      <c r="M14" s="8">
        <f t="shared" si="8"/>
        <v>8.1911949796423093E-4</v>
      </c>
      <c r="N14" s="8">
        <f t="shared" si="8"/>
        <v>1.4003792955580797E-3</v>
      </c>
      <c r="O14" s="8">
        <f t="shared" si="8"/>
        <v>1.0149090365020228E-3</v>
      </c>
      <c r="P14" s="8">
        <f t="shared" si="8"/>
        <v>5.0336214310382581E-4</v>
      </c>
    </row>
    <row r="15" spans="1:16" x14ac:dyDescent="0.3">
      <c r="B15" s="10" t="s">
        <v>62</v>
      </c>
      <c r="C15" s="10">
        <f t="shared" si="2"/>
        <v>-6.8344460977111388E-3</v>
      </c>
      <c r="D15" s="10">
        <f t="shared" si="3"/>
        <v>-1.8607407270329258E-2</v>
      </c>
      <c r="E15" s="10">
        <f t="shared" si="4"/>
        <v>-3.513633289016397E-2</v>
      </c>
      <c r="F15" s="10">
        <f t="shared" si="5"/>
        <v>2.736366710983603E-2</v>
      </c>
      <c r="G15" s="10">
        <f t="shared" si="6"/>
        <v>1.7709195565120586E-2</v>
      </c>
      <c r="H15" s="10">
        <f t="shared" si="7"/>
        <v>9.218505819513452E-3</v>
      </c>
      <c r="J15" s="10" t="s">
        <v>62</v>
      </c>
      <c r="K15" s="8">
        <f t="shared" ref="K15:P21" si="9">($J4-$J3) * ((K4+K3))</f>
        <v>1.6573741929322627E-3</v>
      </c>
      <c r="L15" s="8">
        <f t="shared" si="9"/>
        <v>2.3230633315810888E-3</v>
      </c>
      <c r="M15" s="8">
        <f t="shared" si="9"/>
        <v>2.7666403850522812E-3</v>
      </c>
      <c r="N15" s="8">
        <f t="shared" si="9"/>
        <v>5.9123637074795145E-3</v>
      </c>
      <c r="O15" s="8">
        <f t="shared" si="9"/>
        <v>4.1420880236372158E-3</v>
      </c>
      <c r="P15" s="8">
        <f t="shared" si="9"/>
        <v>2.9752539947316262E-3</v>
      </c>
    </row>
    <row r="16" spans="1:16" x14ac:dyDescent="0.3">
      <c r="B16" s="10" t="s">
        <v>61</v>
      </c>
      <c r="C16" s="10">
        <f t="shared" si="2"/>
        <v>-1.6310392827609762E-2</v>
      </c>
      <c r="D16" s="10">
        <f t="shared" si="3"/>
        <v>-2.6913854545994292E-2</v>
      </c>
      <c r="E16" s="10">
        <f t="shared" si="4"/>
        <v>-1.155627011181716E-2</v>
      </c>
      <c r="F16" s="10">
        <f t="shared" si="5"/>
        <v>8.0909134133191202E-3</v>
      </c>
      <c r="G16" s="10">
        <f t="shared" si="6"/>
        <v>-2.657992152659612E-3</v>
      </c>
      <c r="H16" s="10">
        <f t="shared" si="7"/>
        <v>3.740232780537868E-2</v>
      </c>
      <c r="J16" s="10" t="s">
        <v>61</v>
      </c>
      <c r="K16" s="8">
        <f t="shared" si="9"/>
        <v>3.318709184519967E-3</v>
      </c>
      <c r="L16" s="8">
        <f t="shared" si="9"/>
        <v>3.1980288505374225E-3</v>
      </c>
      <c r="M16" s="8">
        <f t="shared" si="9"/>
        <v>3.6009301230460742E-3</v>
      </c>
      <c r="N16" s="8">
        <f t="shared" si="9"/>
        <v>9.6402119677257894E-3</v>
      </c>
      <c r="O16" s="8">
        <f t="shared" si="9"/>
        <v>7.1500645032340744E-3</v>
      </c>
      <c r="P16" s="8">
        <f t="shared" si="9"/>
        <v>7.0924026927241222E-3</v>
      </c>
    </row>
    <row r="17" spans="2:16" x14ac:dyDescent="0.3">
      <c r="B17" s="10" t="s">
        <v>59</v>
      </c>
      <c r="C17" s="10">
        <f t="shared" si="2"/>
        <v>-5.7105298712432376E-2</v>
      </c>
      <c r="D17" s="10">
        <f t="shared" si="3"/>
        <v>-6.7708760430816903E-2</v>
      </c>
      <c r="E17" s="10">
        <f t="shared" si="4"/>
        <v>-6.8099207492702762E-2</v>
      </c>
      <c r="F17" s="10">
        <f t="shared" si="5"/>
        <v>-8.6655309330419539E-3</v>
      </c>
      <c r="G17" s="10">
        <f t="shared" si="6"/>
        <v>-6.867532183823688E-3</v>
      </c>
      <c r="H17" s="10">
        <f t="shared" si="7"/>
        <v>-2.3553868402024579E-2</v>
      </c>
      <c r="J17" s="10" t="s">
        <v>59</v>
      </c>
      <c r="K17" s="8">
        <f t="shared" si="9"/>
        <v>1.0034199295946036E-2</v>
      </c>
      <c r="L17" s="8">
        <f t="shared" si="9"/>
        <v>8.1624124142937651E-3</v>
      </c>
      <c r="M17" s="8">
        <f t="shared" si="9"/>
        <v>1.0169644055846319E-2</v>
      </c>
      <c r="N17" s="8">
        <f t="shared" si="9"/>
        <v>2.9220470477205485E-2</v>
      </c>
      <c r="O17" s="8">
        <f t="shared" si="9"/>
        <v>2.3162568061199477E-2</v>
      </c>
      <c r="P17" s="8">
        <f t="shared" si="9"/>
        <v>2.4813835010078531E-2</v>
      </c>
    </row>
    <row r="18" spans="2:16" x14ac:dyDescent="0.3">
      <c r="B18" s="10" t="s">
        <v>60</v>
      </c>
      <c r="C18" s="10">
        <f t="shared" si="2"/>
        <v>-3.1840288275727921E-2</v>
      </c>
      <c r="D18" s="10">
        <f t="shared" si="3"/>
        <v>3.6345285026909147E-3</v>
      </c>
      <c r="E18" s="10">
        <f t="shared" si="4"/>
        <v>-3.1766005108293666E-2</v>
      </c>
      <c r="F18" s="10">
        <f t="shared" si="5"/>
        <v>7.528361941978895E-3</v>
      </c>
      <c r="G18" s="10">
        <f t="shared" si="6"/>
        <v>-4.2424733742824107E-2</v>
      </c>
      <c r="H18" s="10">
        <f t="shared" si="7"/>
        <v>-3.0623002822289094E-2</v>
      </c>
      <c r="J18" s="10" t="s">
        <v>60</v>
      </c>
      <c r="K18" s="8">
        <f t="shared" si="9"/>
        <v>1.5652944259680526E-2</v>
      </c>
      <c r="L18" s="8">
        <f t="shared" si="9"/>
        <v>1.5671424713351929E-2</v>
      </c>
      <c r="M18" s="8">
        <f t="shared" si="9"/>
        <v>1.493104244342979E-2</v>
      </c>
      <c r="N18" s="8">
        <f t="shared" si="9"/>
        <v>4.2543899782721419E-2</v>
      </c>
      <c r="O18" s="8">
        <f t="shared" si="9"/>
        <v>3.2439105931889221E-2</v>
      </c>
      <c r="P18" s="8">
        <f t="shared" si="9"/>
        <v>3.3770445795270804E-2</v>
      </c>
    </row>
    <row r="19" spans="2:16" x14ac:dyDescent="0.3">
      <c r="B19" s="10" t="s">
        <v>55</v>
      </c>
      <c r="C19" s="10">
        <f t="shared" si="2"/>
        <v>-6.5272157477833825E-2</v>
      </c>
      <c r="D19" s="10">
        <f t="shared" si="3"/>
        <v>-8.5309581460369308E-2</v>
      </c>
      <c r="E19" s="10">
        <f t="shared" si="4"/>
        <v>-5.4203965530129183E-2</v>
      </c>
      <c r="F19" s="10">
        <f t="shared" si="5"/>
        <v>1.7002878806636409E-2</v>
      </c>
      <c r="G19" s="10">
        <f t="shared" si="6"/>
        <v>-4.1431499613435729E-3</v>
      </c>
      <c r="H19" s="10">
        <f t="shared" si="7"/>
        <v>3.2001492781004309E-3</v>
      </c>
      <c r="J19" s="10" t="s">
        <v>55</v>
      </c>
      <c r="K19" s="8">
        <f t="shared" si="9"/>
        <v>2.5600446073946348E-2</v>
      </c>
      <c r="L19" s="8">
        <f t="shared" si="9"/>
        <v>2.7066872309587049E-2</v>
      </c>
      <c r="M19" s="8">
        <f t="shared" si="9"/>
        <v>2.5788122436693171E-2</v>
      </c>
      <c r="N19" s="8">
        <f t="shared" si="9"/>
        <v>6.8830907564201238E-2</v>
      </c>
      <c r="O19" s="8">
        <f t="shared" si="9"/>
        <v>5.0210462779178205E-2</v>
      </c>
      <c r="P19" s="8">
        <f t="shared" si="9"/>
        <v>5.3578686638631877E-2</v>
      </c>
    </row>
    <row r="20" spans="2:16" x14ac:dyDescent="0.3">
      <c r="B20" s="10" t="s">
        <v>57</v>
      </c>
      <c r="C20" s="10">
        <f t="shared" si="2"/>
        <v>0.3251184168775792</v>
      </c>
      <c r="D20" s="10">
        <f t="shared" si="3"/>
        <v>0.37166449515607597</v>
      </c>
      <c r="E20" s="10">
        <f t="shared" si="4"/>
        <v>0.30216491814039304</v>
      </c>
      <c r="F20" s="10">
        <f t="shared" si="5"/>
        <v>0.18424396114463287</v>
      </c>
      <c r="G20" s="10">
        <f t="shared" si="6"/>
        <v>0.16888279791761601</v>
      </c>
      <c r="H20" s="10">
        <f t="shared" si="7"/>
        <v>3.3654631119818992E-2</v>
      </c>
      <c r="J20" s="10" t="s">
        <v>57</v>
      </c>
      <c r="K20" s="8">
        <f t="shared" si="9"/>
        <v>7.2212840997258693E-2</v>
      </c>
      <c r="L20" s="8">
        <f t="shared" si="9"/>
        <v>7.6405944676502746E-2</v>
      </c>
      <c r="M20" s="8">
        <f t="shared" si="9"/>
        <v>7.1230705006601641E-2</v>
      </c>
      <c r="N20" s="8">
        <f t="shared" si="9"/>
        <v>0.11231405277483231</v>
      </c>
      <c r="O20" s="8">
        <f t="shared" si="9"/>
        <v>8.8903149195231373E-2</v>
      </c>
      <c r="P20" s="8">
        <f t="shared" si="9"/>
        <v>7.9768415793683239E-2</v>
      </c>
    </row>
    <row r="21" spans="2:16" x14ac:dyDescent="0.3">
      <c r="B21" s="10" t="s">
        <v>54</v>
      </c>
      <c r="C21" s="10">
        <f t="shared" si="2"/>
        <v>-0.11646486397517197</v>
      </c>
      <c r="D21" s="10">
        <f t="shared" si="3"/>
        <v>-0.16082787660576608</v>
      </c>
      <c r="E21" s="10">
        <f t="shared" si="4"/>
        <v>-0.10004828397220067</v>
      </c>
      <c r="F21" s="10">
        <f t="shared" si="5"/>
        <v>-0.24772393509273366</v>
      </c>
      <c r="G21" s="10">
        <f t="shared" si="6"/>
        <v>-0.12229397887009452</v>
      </c>
      <c r="H21" s="10">
        <f t="shared" si="7"/>
        <v>-8.7351013458354387E-3</v>
      </c>
      <c r="J21" s="10" t="s">
        <v>54</v>
      </c>
      <c r="K21" s="8">
        <f t="shared" si="9"/>
        <v>0.8523194216881893</v>
      </c>
      <c r="L21" s="8">
        <f t="shared" si="9"/>
        <v>0.87631950833838868</v>
      </c>
      <c r="M21" s="8">
        <f t="shared" si="9"/>
        <v>0.84343816409975558</v>
      </c>
      <c r="N21" s="8">
        <f t="shared" si="9"/>
        <v>0.92332968212017963</v>
      </c>
      <c r="O21" s="8">
        <f t="shared" si="9"/>
        <v>0.85547293300936655</v>
      </c>
      <c r="P21" s="8">
        <f t="shared" si="9"/>
        <v>0.79403835634578657</v>
      </c>
    </row>
    <row r="22" spans="2:16" x14ac:dyDescent="0.3">
      <c r="J22" s="12" t="s">
        <v>174</v>
      </c>
      <c r="K22" s="11">
        <f>SUM(K13:K21)</f>
        <v>0.98137641273986498</v>
      </c>
      <c r="L22" s="11">
        <f t="shared" ref="L22:P22" si="10">SUM(L13:L21)</f>
        <v>1.0096630968304814</v>
      </c>
      <c r="M22" s="11">
        <f t="shared" si="10"/>
        <v>0.97274436804838915</v>
      </c>
      <c r="N22" s="11">
        <f t="shared" si="10"/>
        <v>1.1934792652359651</v>
      </c>
      <c r="O22" s="11">
        <f t="shared" si="10"/>
        <v>1.0628191715406765</v>
      </c>
      <c r="P22" s="11">
        <f t="shared" si="10"/>
        <v>0.99662107815807088</v>
      </c>
    </row>
    <row r="23" spans="2:16" x14ac:dyDescent="0.3">
      <c r="J23" s="13" t="s">
        <v>175</v>
      </c>
      <c r="K23" s="14">
        <f>1-K22</f>
        <v>1.8623587260135022E-2</v>
      </c>
      <c r="L23" s="14">
        <f t="shared" ref="L23:P23" si="11">1-L22</f>
        <v>-9.663096830481388E-3</v>
      </c>
      <c r="M23" s="14">
        <f t="shared" si="11"/>
        <v>2.7255631951610848E-2</v>
      </c>
      <c r="N23" s="14">
        <f t="shared" si="11"/>
        <v>-0.19347926523596515</v>
      </c>
      <c r="O23" s="14">
        <f t="shared" si="11"/>
        <v>-6.2819171540676511E-2</v>
      </c>
      <c r="P23" s="14">
        <f t="shared" si="11"/>
        <v>3.3789218419291167E-3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D6BD-0110-4217-ACBB-8C1D11FBA90F}">
  <dimension ref="A1:P19"/>
  <sheetViews>
    <sheetView topLeftCell="A2" workbookViewId="0">
      <selection activeCell="A24" sqref="A24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65</v>
      </c>
      <c r="B2" s="17">
        <v>1.9833496571988248E-2</v>
      </c>
      <c r="C2" s="17">
        <v>1.2987012987012988E-2</v>
      </c>
      <c r="D2" s="17">
        <v>0</v>
      </c>
      <c r="E2" s="17">
        <v>5.2631578947368418E-2</v>
      </c>
      <c r="F2" s="17">
        <v>0</v>
      </c>
      <c r="G2" s="17">
        <v>0</v>
      </c>
      <c r="H2" s="17">
        <v>0</v>
      </c>
      <c r="I2" s="10">
        <v>1.9833496571988248E-2</v>
      </c>
      <c r="J2" s="18">
        <v>1.9833496571988248E-2</v>
      </c>
      <c r="K2" s="18">
        <v>1.2987012987012988E-2</v>
      </c>
      <c r="L2" s="18">
        <v>0</v>
      </c>
      <c r="M2" s="18">
        <v>5.2631578947368418E-2</v>
      </c>
      <c r="N2" s="18">
        <v>0</v>
      </c>
      <c r="O2" s="18">
        <v>0</v>
      </c>
      <c r="P2" s="18">
        <v>0</v>
      </c>
    </row>
    <row r="3" spans="1:16" x14ac:dyDescent="0.3">
      <c r="A3" s="10" t="s">
        <v>69</v>
      </c>
      <c r="B3" s="17">
        <v>2.7617402958915408E-2</v>
      </c>
      <c r="C3" s="17">
        <v>1.2987012987012988E-2</v>
      </c>
      <c r="D3" s="17">
        <v>0</v>
      </c>
      <c r="E3" s="17">
        <v>0</v>
      </c>
      <c r="F3" s="17">
        <v>1.7543859649122806E-2</v>
      </c>
      <c r="G3" s="17">
        <v>3.3333333333333333E-2</v>
      </c>
      <c r="H3" s="17">
        <v>0</v>
      </c>
      <c r="I3" s="10">
        <v>4.7450899530903659E-2</v>
      </c>
      <c r="J3" s="10">
        <f>J2+B3</f>
        <v>4.7450899530903659E-2</v>
      </c>
      <c r="K3" s="10">
        <f t="shared" ref="K3:P8" si="0">K2+C3</f>
        <v>2.5974025974025976E-2</v>
      </c>
      <c r="L3" s="10">
        <f t="shared" si="0"/>
        <v>0</v>
      </c>
      <c r="M3" s="10">
        <f t="shared" si="0"/>
        <v>5.2631578947368418E-2</v>
      </c>
      <c r="N3" s="10">
        <f t="shared" si="0"/>
        <v>1.7543859649122806E-2</v>
      </c>
      <c r="O3" s="10">
        <f t="shared" si="0"/>
        <v>3.3333333333333333E-2</v>
      </c>
      <c r="P3" s="10">
        <f t="shared" si="0"/>
        <v>0</v>
      </c>
    </row>
    <row r="4" spans="1:16" ht="15.6" customHeight="1" x14ac:dyDescent="0.3">
      <c r="A4" s="10" t="s">
        <v>68</v>
      </c>
      <c r="B4" s="17">
        <v>9.1499561833084178E-2</v>
      </c>
      <c r="C4" s="17">
        <v>0.1038961038961039</v>
      </c>
      <c r="D4" s="17">
        <v>4.7619047619047616E-2</v>
      </c>
      <c r="E4" s="17">
        <v>5.2631578947368418E-2</v>
      </c>
      <c r="F4" s="17">
        <v>5.2631578947368418E-2</v>
      </c>
      <c r="G4" s="17">
        <v>3.3333333333333333E-2</v>
      </c>
      <c r="H4" s="17">
        <v>0.13043478260869565</v>
      </c>
      <c r="I4" s="10">
        <v>0.13895046136398784</v>
      </c>
      <c r="J4" s="10">
        <f t="shared" ref="J4:J8" si="1">J3+B4</f>
        <v>0.13895046136398784</v>
      </c>
      <c r="K4" s="10">
        <f t="shared" si="0"/>
        <v>0.12987012987012989</v>
      </c>
      <c r="L4" s="10">
        <f t="shared" si="0"/>
        <v>4.7619047619047616E-2</v>
      </c>
      <c r="M4" s="10">
        <f t="shared" si="0"/>
        <v>0.10526315789473684</v>
      </c>
      <c r="N4" s="10">
        <f t="shared" si="0"/>
        <v>7.0175438596491224E-2</v>
      </c>
      <c r="O4" s="10">
        <f t="shared" si="0"/>
        <v>6.6666666666666666E-2</v>
      </c>
      <c r="P4" s="10">
        <f t="shared" si="0"/>
        <v>0.13043478260869565</v>
      </c>
    </row>
    <row r="5" spans="1:16" x14ac:dyDescent="0.3">
      <c r="A5" s="10" t="s">
        <v>64</v>
      </c>
      <c r="B5" s="17">
        <v>0.11202897056549306</v>
      </c>
      <c r="C5" s="17">
        <v>0.11688311688311688</v>
      </c>
      <c r="D5" s="17">
        <v>0.19047619047619047</v>
      </c>
      <c r="E5" s="17">
        <v>5.2631578947368418E-2</v>
      </c>
      <c r="F5" s="17">
        <v>0.10526315789473684</v>
      </c>
      <c r="G5" s="17">
        <v>0.16666666666666666</v>
      </c>
      <c r="H5" s="17">
        <v>0.21739130434782608</v>
      </c>
      <c r="I5" s="10">
        <v>0.25097943192948091</v>
      </c>
      <c r="J5" s="10">
        <f t="shared" si="1"/>
        <v>0.25097943192948091</v>
      </c>
      <c r="K5" s="10">
        <f t="shared" si="0"/>
        <v>0.24675324675324678</v>
      </c>
      <c r="L5" s="10">
        <f t="shared" si="0"/>
        <v>0.23809523809523808</v>
      </c>
      <c r="M5" s="10">
        <f t="shared" si="0"/>
        <v>0.15789473684210525</v>
      </c>
      <c r="N5" s="10">
        <f t="shared" si="0"/>
        <v>0.17543859649122806</v>
      </c>
      <c r="O5" s="10">
        <f t="shared" si="0"/>
        <v>0.23333333333333334</v>
      </c>
      <c r="P5" s="10">
        <f t="shared" si="0"/>
        <v>0.34782608695652173</v>
      </c>
    </row>
    <row r="6" spans="1:16" x14ac:dyDescent="0.3">
      <c r="A6" s="10" t="s">
        <v>67</v>
      </c>
      <c r="B6" s="17">
        <v>0.11231249033455333</v>
      </c>
      <c r="C6" s="17">
        <v>7.792207792207792E-2</v>
      </c>
      <c r="D6" s="17">
        <v>4.7619047619047616E-2</v>
      </c>
      <c r="E6" s="17">
        <v>5.2631578947368418E-2</v>
      </c>
      <c r="F6" s="17">
        <v>0.14035087719298245</v>
      </c>
      <c r="G6" s="17">
        <v>0.16666666666666666</v>
      </c>
      <c r="H6" s="17">
        <v>8.6956521739130432E-2</v>
      </c>
      <c r="I6" s="10">
        <v>0.36329192226403423</v>
      </c>
      <c r="J6" s="10">
        <f t="shared" si="1"/>
        <v>0.36329192226403423</v>
      </c>
      <c r="K6" s="10">
        <f t="shared" si="0"/>
        <v>0.32467532467532467</v>
      </c>
      <c r="L6" s="10">
        <f t="shared" si="0"/>
        <v>0.2857142857142857</v>
      </c>
      <c r="M6" s="10">
        <f t="shared" si="0"/>
        <v>0.21052631578947367</v>
      </c>
      <c r="N6" s="10">
        <f t="shared" si="0"/>
        <v>0.31578947368421051</v>
      </c>
      <c r="O6" s="10">
        <f t="shared" si="0"/>
        <v>0.4</v>
      </c>
      <c r="P6" s="10">
        <f t="shared" si="0"/>
        <v>0.43478260869565216</v>
      </c>
    </row>
    <row r="7" spans="1:16" x14ac:dyDescent="0.3">
      <c r="A7" s="10" t="s">
        <v>66</v>
      </c>
      <c r="B7" s="17">
        <v>0.18388834476003918</v>
      </c>
      <c r="C7" s="17">
        <v>0.1038961038961039</v>
      </c>
      <c r="D7" s="17">
        <v>9.5238095238095233E-2</v>
      </c>
      <c r="E7" s="17">
        <v>5.2631578947368418E-2</v>
      </c>
      <c r="F7" s="17">
        <v>8.771929824561403E-2</v>
      </c>
      <c r="G7" s="17">
        <v>0.16666666666666666</v>
      </c>
      <c r="H7" s="17">
        <v>8.6956521739130432E-2</v>
      </c>
      <c r="I7" s="10">
        <v>0.54718026702407341</v>
      </c>
      <c r="J7" s="10">
        <f t="shared" si="1"/>
        <v>0.54718026702407341</v>
      </c>
      <c r="K7" s="10">
        <f t="shared" si="0"/>
        <v>0.4285714285714286</v>
      </c>
      <c r="L7" s="10">
        <f t="shared" si="0"/>
        <v>0.38095238095238093</v>
      </c>
      <c r="M7" s="10">
        <f t="shared" si="0"/>
        <v>0.26315789473684209</v>
      </c>
      <c r="N7" s="10">
        <f t="shared" si="0"/>
        <v>0.40350877192982454</v>
      </c>
      <c r="O7" s="10">
        <f t="shared" si="0"/>
        <v>0.56666666666666665</v>
      </c>
      <c r="P7" s="10">
        <f t="shared" si="0"/>
        <v>0.52173913043478259</v>
      </c>
    </row>
    <row r="8" spans="1:16" x14ac:dyDescent="0.3">
      <c r="A8" s="10" t="s">
        <v>63</v>
      </c>
      <c r="B8" s="17">
        <v>0.45281973297592659</v>
      </c>
      <c r="C8" s="17">
        <v>0.5714285714285714</v>
      </c>
      <c r="D8" s="17">
        <v>0.61904761904761907</v>
      </c>
      <c r="E8" s="17">
        <v>0.73684210526315785</v>
      </c>
      <c r="F8" s="17">
        <v>0.59649122807017541</v>
      </c>
      <c r="G8" s="17">
        <v>0.43333333333333335</v>
      </c>
      <c r="H8" s="17">
        <v>0.47826086956521741</v>
      </c>
      <c r="I8" s="10">
        <v>1</v>
      </c>
      <c r="J8" s="10">
        <f t="shared" si="1"/>
        <v>1</v>
      </c>
      <c r="K8" s="10">
        <f t="shared" si="0"/>
        <v>1</v>
      </c>
      <c r="L8" s="10">
        <f t="shared" si="0"/>
        <v>1</v>
      </c>
      <c r="M8" s="10">
        <f t="shared" si="0"/>
        <v>1</v>
      </c>
      <c r="N8" s="10">
        <f t="shared" si="0"/>
        <v>1</v>
      </c>
      <c r="O8" s="10">
        <f t="shared" si="0"/>
        <v>1</v>
      </c>
      <c r="P8" s="10">
        <f t="shared" si="0"/>
        <v>1</v>
      </c>
    </row>
    <row r="10" spans="1:16" ht="28.8" x14ac:dyDescent="0.3">
      <c r="B10" s="1" t="s">
        <v>154</v>
      </c>
      <c r="C10" s="3" t="s">
        <v>162</v>
      </c>
      <c r="D10" s="3" t="s">
        <v>163</v>
      </c>
      <c r="E10" s="3" t="s">
        <v>164</v>
      </c>
      <c r="F10" s="3" t="s">
        <v>165</v>
      </c>
      <c r="G10" s="3" t="s">
        <v>166</v>
      </c>
      <c r="H10" s="3" t="s">
        <v>167</v>
      </c>
      <c r="J10" s="8"/>
      <c r="K10" s="11" t="s">
        <v>168</v>
      </c>
      <c r="L10" s="11" t="s">
        <v>169</v>
      </c>
      <c r="M10" s="11" t="s">
        <v>170</v>
      </c>
      <c r="N10" s="11" t="s">
        <v>171</v>
      </c>
      <c r="O10" s="11" t="s">
        <v>172</v>
      </c>
      <c r="P10" s="11" t="s">
        <v>173</v>
      </c>
    </row>
    <row r="11" spans="1:16" x14ac:dyDescent="0.3">
      <c r="B11" s="10" t="s">
        <v>65</v>
      </c>
      <c r="C11" s="10">
        <f>C2-B2</f>
        <v>-6.8464835849752596E-3</v>
      </c>
      <c r="D11" s="10">
        <f>D2-B2</f>
        <v>-1.9833496571988248E-2</v>
      </c>
      <c r="E11" s="10">
        <f>E2-B2</f>
        <v>3.2798082375380171E-2</v>
      </c>
      <c r="F11" s="10">
        <f>F2-B2</f>
        <v>-1.9833496571988248E-2</v>
      </c>
      <c r="G11" s="10">
        <f>G2-B2</f>
        <v>-1.9833496571988248E-2</v>
      </c>
      <c r="H11" s="10">
        <f>H2-B2</f>
        <v>-1.9833496571988248E-2</v>
      </c>
      <c r="J11" s="10" t="s">
        <v>65</v>
      </c>
      <c r="K11" s="8">
        <f>(J2-0) * ((K2+0))</f>
        <v>2.5757787755828894E-4</v>
      </c>
      <c r="L11" s="8">
        <f>(J2-0) * ((L2+0))</f>
        <v>0</v>
      </c>
      <c r="M11" s="8">
        <f>(J2-0) * ((M2+0))</f>
        <v>1.0438682406309603E-3</v>
      </c>
      <c r="N11" s="8">
        <f>(J2-0) * ((N2+0))</f>
        <v>0</v>
      </c>
      <c r="O11" s="8">
        <f>(J2-0) * ((O2+0))</f>
        <v>0</v>
      </c>
      <c r="P11" s="8">
        <f>(J2-0) * ((P2+0))</f>
        <v>0</v>
      </c>
    </row>
    <row r="12" spans="1:16" x14ac:dyDescent="0.3">
      <c r="B12" s="10" t="s">
        <v>69</v>
      </c>
      <c r="C12" s="10">
        <f t="shared" ref="C12:C17" si="2">C3-B3</f>
        <v>-1.463038997190242E-2</v>
      </c>
      <c r="D12" s="10">
        <f t="shared" ref="D12:D17" si="3">D3-B3</f>
        <v>-2.7617402958915408E-2</v>
      </c>
      <c r="E12" s="10">
        <f t="shared" ref="E12:E17" si="4">E3-B3</f>
        <v>-2.7617402958915408E-2</v>
      </c>
      <c r="F12" s="10">
        <f t="shared" ref="F12:F17" si="5">F3-B3</f>
        <v>-1.0073543309792602E-2</v>
      </c>
      <c r="G12" s="10">
        <f t="shared" ref="G12:G17" si="6">G3-B3</f>
        <v>5.7159303744179248E-3</v>
      </c>
      <c r="H12" s="10">
        <f t="shared" ref="H12:H17" si="7">H3-B3</f>
        <v>-2.7617402958915408E-2</v>
      </c>
      <c r="J12" s="10" t="s">
        <v>69</v>
      </c>
      <c r="K12" s="8">
        <f>(J3-J2) * ((K3+K2))</f>
        <v>1.076002712685016E-3</v>
      </c>
      <c r="L12" s="8">
        <f>(J3-J2) * ((L3+L2))</f>
        <v>0</v>
      </c>
      <c r="M12" s="8">
        <f>(J3-J2) * ((M3+M2))</f>
        <v>2.9070950483068851E-3</v>
      </c>
      <c r="N12" s="8">
        <f>(J3-J2) * ((N3+N2))</f>
        <v>4.8451584138448089E-4</v>
      </c>
      <c r="O12" s="8">
        <f>(J3-J2) * ((O3+O2))</f>
        <v>9.2058009863051375E-4</v>
      </c>
      <c r="P12" s="8">
        <f>(J3-J2) * ((P3+P2))</f>
        <v>0</v>
      </c>
    </row>
    <row r="13" spans="1:16" x14ac:dyDescent="0.3">
      <c r="B13" s="10" t="s">
        <v>68</v>
      </c>
      <c r="C13" s="10">
        <f t="shared" si="2"/>
        <v>1.2396542063019725E-2</v>
      </c>
      <c r="D13" s="10">
        <f t="shared" si="3"/>
        <v>-4.3880514214036562E-2</v>
      </c>
      <c r="E13" s="10">
        <f t="shared" si="4"/>
        <v>-3.886798288571576E-2</v>
      </c>
      <c r="F13" s="10">
        <f t="shared" si="5"/>
        <v>-3.886798288571576E-2</v>
      </c>
      <c r="G13" s="10">
        <f t="shared" si="6"/>
        <v>-5.8166228499750845E-2</v>
      </c>
      <c r="H13" s="10">
        <f t="shared" si="7"/>
        <v>3.893522077561147E-2</v>
      </c>
      <c r="J13" s="10" t="s">
        <v>68</v>
      </c>
      <c r="K13" s="8">
        <f t="shared" ref="K13:K17" si="8">(J4-J3) * ((K4+K3))</f>
        <v>1.4259671973987148E-2</v>
      </c>
      <c r="L13" s="8">
        <f t="shared" ref="L13:L17" si="9">(J4-J3) * ((L4+L3))</f>
        <v>4.3571219920516269E-3</v>
      </c>
      <c r="M13" s="8">
        <f t="shared" ref="M13:M17" si="10">(J4-J3) * ((M4+M3))</f>
        <v>1.4447299236802763E-2</v>
      </c>
      <c r="N13" s="8">
        <f t="shared" ref="N13:N17" si="11">(J4-J3) * ((N4+N3))</f>
        <v>8.0262773537793132E-3</v>
      </c>
      <c r="O13" s="8">
        <f t="shared" ref="O13:O17" si="12">(J4-J3) * ((O4+O3))</f>
        <v>9.1499561833084178E-3</v>
      </c>
      <c r="P13" s="8">
        <f t="shared" ref="P13:P17" si="13">(J4-J3) * ((P4+P3))</f>
        <v>1.1934725456489241E-2</v>
      </c>
    </row>
    <row r="14" spans="1:16" x14ac:dyDescent="0.3">
      <c r="B14" s="10" t="s">
        <v>64</v>
      </c>
      <c r="C14" s="10">
        <f t="shared" si="2"/>
        <v>4.8541463176238198E-3</v>
      </c>
      <c r="D14" s="10">
        <f t="shared" si="3"/>
        <v>7.8447219910697405E-2</v>
      </c>
      <c r="E14" s="10">
        <f t="shared" si="4"/>
        <v>-5.9397391618124643E-2</v>
      </c>
      <c r="F14" s="10">
        <f t="shared" si="5"/>
        <v>-6.7658126707562244E-3</v>
      </c>
      <c r="G14" s="10">
        <f t="shared" si="6"/>
        <v>5.4637696101173597E-2</v>
      </c>
      <c r="H14" s="10">
        <f t="shared" si="7"/>
        <v>0.10536233378233302</v>
      </c>
      <c r="J14" s="10" t="s">
        <v>64</v>
      </c>
      <c r="K14" s="8">
        <f t="shared" si="8"/>
        <v>4.2192729174016876E-2</v>
      </c>
      <c r="L14" s="8">
        <f t="shared" si="9"/>
        <v>3.200827730442659E-2</v>
      </c>
      <c r="M14" s="8">
        <f t="shared" si="10"/>
        <v>2.9481308043550807E-2</v>
      </c>
      <c r="N14" s="8">
        <f t="shared" si="11"/>
        <v>2.7515887507314086E-2</v>
      </c>
      <c r="O14" s="8">
        <f t="shared" si="12"/>
        <v>3.3608691169647924E-2</v>
      </c>
      <c r="P14" s="8">
        <f t="shared" si="13"/>
        <v>5.3579072879148863E-2</v>
      </c>
    </row>
    <row r="15" spans="1:16" x14ac:dyDescent="0.3">
      <c r="B15" s="10" t="s">
        <v>67</v>
      </c>
      <c r="C15" s="10">
        <f t="shared" si="2"/>
        <v>-3.439041241247541E-2</v>
      </c>
      <c r="D15" s="10">
        <f t="shared" si="3"/>
        <v>-6.4693442715505714E-2</v>
      </c>
      <c r="E15" s="10">
        <f t="shared" si="4"/>
        <v>-5.9680911387184912E-2</v>
      </c>
      <c r="F15" s="10">
        <f t="shared" si="5"/>
        <v>2.8038386858429118E-2</v>
      </c>
      <c r="G15" s="10">
        <f t="shared" si="6"/>
        <v>5.4354176332113327E-2</v>
      </c>
      <c r="H15" s="10">
        <f t="shared" si="7"/>
        <v>-2.5355968595422898E-2</v>
      </c>
      <c r="J15" s="10" t="s">
        <v>67</v>
      </c>
      <c r="K15" s="8">
        <f t="shared" si="8"/>
        <v>6.4178565905459034E-2</v>
      </c>
      <c r="L15" s="8">
        <f t="shared" si="9"/>
        <v>5.883035208000411E-2</v>
      </c>
      <c r="M15" s="8">
        <f t="shared" si="10"/>
        <v>4.137828591273017E-2</v>
      </c>
      <c r="N15" s="8">
        <f t="shared" si="11"/>
        <v>5.5171047883640224E-2</v>
      </c>
      <c r="O15" s="8">
        <f t="shared" si="12"/>
        <v>7.1131243878550424E-2</v>
      </c>
      <c r="P15" s="8">
        <f t="shared" si="13"/>
        <v>8.7896731566172157E-2</v>
      </c>
    </row>
    <row r="16" spans="1:16" x14ac:dyDescent="0.3">
      <c r="B16" s="10" t="s">
        <v>66</v>
      </c>
      <c r="C16" s="10">
        <f t="shared" si="2"/>
        <v>-7.9992240863935277E-2</v>
      </c>
      <c r="D16" s="10">
        <f t="shared" si="3"/>
        <v>-8.8650249521943947E-2</v>
      </c>
      <c r="E16" s="10">
        <f t="shared" si="4"/>
        <v>-0.13125676581267076</v>
      </c>
      <c r="F16" s="10">
        <f t="shared" si="5"/>
        <v>-9.6169046514425149E-2</v>
      </c>
      <c r="G16" s="10">
        <f t="shared" si="6"/>
        <v>-1.7221678093372522E-2</v>
      </c>
      <c r="H16" s="10">
        <f t="shared" si="7"/>
        <v>-9.6931823020908747E-2</v>
      </c>
      <c r="J16" s="10" t="s">
        <v>66</v>
      </c>
      <c r="K16" s="8">
        <f t="shared" si="8"/>
        <v>0.13851329865041911</v>
      </c>
      <c r="L16" s="8">
        <f t="shared" si="9"/>
        <v>0.12259222984002612</v>
      </c>
      <c r="M16" s="8">
        <f t="shared" si="10"/>
        <v>8.7105005412650136E-2</v>
      </c>
      <c r="N16" s="8">
        <f t="shared" si="11"/>
        <v>0.13227056377476504</v>
      </c>
      <c r="O16" s="8">
        <f t="shared" si="12"/>
        <v>0.17775873326803787</v>
      </c>
      <c r="P16" s="8">
        <f t="shared" si="13"/>
        <v>0.17589319933568964</v>
      </c>
    </row>
    <row r="17" spans="2:16" x14ac:dyDescent="0.3">
      <c r="B17" s="10" t="s">
        <v>63</v>
      </c>
      <c r="C17" s="10">
        <f t="shared" si="2"/>
        <v>0.1186088384526448</v>
      </c>
      <c r="D17" s="10">
        <f t="shared" si="3"/>
        <v>0.16622788607169248</v>
      </c>
      <c r="E17" s="10">
        <f t="shared" si="4"/>
        <v>0.28402237228723126</v>
      </c>
      <c r="F17" s="10">
        <f t="shared" si="5"/>
        <v>0.14367149509424881</v>
      </c>
      <c r="G17" s="10">
        <f t="shared" si="6"/>
        <v>-1.9486399642593244E-2</v>
      </c>
      <c r="H17" s="10">
        <f t="shared" si="7"/>
        <v>2.5441136589290814E-2</v>
      </c>
      <c r="J17" s="10" t="s">
        <v>63</v>
      </c>
      <c r="K17" s="8">
        <f t="shared" si="8"/>
        <v>0.64688533282275229</v>
      </c>
      <c r="L17" s="8">
        <f t="shared" si="9"/>
        <v>0.62532248839532723</v>
      </c>
      <c r="M17" s="8">
        <f t="shared" si="10"/>
        <v>0.57198282060117045</v>
      </c>
      <c r="N17" s="8">
        <f t="shared" si="11"/>
        <v>0.63553646733463376</v>
      </c>
      <c r="O17" s="8">
        <f t="shared" si="12"/>
        <v>0.70941758166228497</v>
      </c>
      <c r="P17" s="8">
        <f t="shared" si="13"/>
        <v>0.68907350670249701</v>
      </c>
    </row>
    <row r="18" spans="2:16" x14ac:dyDescent="0.3">
      <c r="J18" s="12" t="s">
        <v>174</v>
      </c>
      <c r="K18" s="11">
        <f>SUM(K11:K17)</f>
        <v>0.90736317911687769</v>
      </c>
      <c r="L18" s="11">
        <f t="shared" ref="L18:P18" si="14">SUM(L11:L17)</f>
        <v>0.84311046961183567</v>
      </c>
      <c r="M18" s="11">
        <f t="shared" si="14"/>
        <v>0.7483456824958421</v>
      </c>
      <c r="N18" s="11">
        <f t="shared" si="14"/>
        <v>0.85900475969551693</v>
      </c>
      <c r="O18" s="11">
        <f t="shared" si="14"/>
        <v>1.0019867862604601</v>
      </c>
      <c r="P18" s="11">
        <f t="shared" si="14"/>
        <v>1.018377235939997</v>
      </c>
    </row>
    <row r="19" spans="2:16" x14ac:dyDescent="0.3">
      <c r="J19" s="13" t="s">
        <v>175</v>
      </c>
      <c r="K19" s="14">
        <f>1-K18</f>
        <v>9.2636820883122306E-2</v>
      </c>
      <c r="L19" s="14">
        <f t="shared" ref="L19:P19" si="15">1-L18</f>
        <v>0.15688953038816433</v>
      </c>
      <c r="M19" s="14">
        <f t="shared" si="15"/>
        <v>0.2516543175041579</v>
      </c>
      <c r="N19" s="14">
        <f t="shared" si="15"/>
        <v>0.14099524030448307</v>
      </c>
      <c r="O19" s="14">
        <f t="shared" si="15"/>
        <v>-1.9867862604601161E-3</v>
      </c>
      <c r="P19" s="14">
        <f t="shared" si="15"/>
        <v>-1.8377235939996961E-2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0B41-D32C-449E-94DA-72DB2FD9FF30}">
  <dimension ref="A1:P17"/>
  <sheetViews>
    <sheetView workbookViewId="0">
      <selection activeCell="A9" sqref="A9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71</v>
      </c>
      <c r="B2" s="17">
        <v>1.2481681114781788E-2</v>
      </c>
      <c r="C2" s="17">
        <v>0</v>
      </c>
      <c r="D2" s="17">
        <v>0</v>
      </c>
      <c r="E2" s="17">
        <v>0</v>
      </c>
      <c r="F2" s="17">
        <v>2.5210084033613446E-2</v>
      </c>
      <c r="G2" s="17">
        <v>1.5873015873015872E-2</v>
      </c>
      <c r="H2" s="17">
        <v>3.7735849056603772E-2</v>
      </c>
      <c r="I2" s="10">
        <v>1.2481681114781788E-2</v>
      </c>
      <c r="J2" s="18">
        <v>1.2481681114781788E-2</v>
      </c>
      <c r="K2" s="18">
        <v>0</v>
      </c>
      <c r="L2" s="18">
        <v>0</v>
      </c>
      <c r="M2" s="18">
        <v>0</v>
      </c>
      <c r="N2" s="18">
        <v>2.5210084033613446E-2</v>
      </c>
      <c r="O2" s="18">
        <v>1.5873015873015872E-2</v>
      </c>
      <c r="P2" s="18">
        <v>3.7735849056603772E-2</v>
      </c>
    </row>
    <row r="3" spans="1:16" x14ac:dyDescent="0.3">
      <c r="A3" s="10" t="s">
        <v>74</v>
      </c>
      <c r="B3" s="17">
        <v>1.4477094148720369E-2</v>
      </c>
      <c r="C3" s="17">
        <v>1.9230769230769232E-2</v>
      </c>
      <c r="D3" s="17">
        <v>8.9285714285714281E-3</v>
      </c>
      <c r="E3" s="17">
        <v>3.2967032967032968E-2</v>
      </c>
      <c r="F3" s="17">
        <v>2.5210084033613446E-2</v>
      </c>
      <c r="G3" s="17">
        <v>0</v>
      </c>
      <c r="H3" s="17">
        <v>0</v>
      </c>
      <c r="I3" s="10">
        <v>2.6958775263502155E-2</v>
      </c>
      <c r="J3" s="10">
        <f>J2+B3</f>
        <v>2.6958775263502155E-2</v>
      </c>
      <c r="K3" s="10">
        <f t="shared" ref="K3:P7" si="0">K2+C3</f>
        <v>1.9230769230769232E-2</v>
      </c>
      <c r="L3" s="10">
        <f t="shared" si="0"/>
        <v>8.9285714285714281E-3</v>
      </c>
      <c r="M3" s="10">
        <f t="shared" si="0"/>
        <v>3.2967032967032968E-2</v>
      </c>
      <c r="N3" s="10">
        <f t="shared" si="0"/>
        <v>5.0420168067226892E-2</v>
      </c>
      <c r="O3" s="10">
        <f t="shared" si="0"/>
        <v>1.5873015873015872E-2</v>
      </c>
      <c r="P3" s="10">
        <f t="shared" si="0"/>
        <v>3.7735849056603772E-2</v>
      </c>
    </row>
    <row r="4" spans="1:16" x14ac:dyDescent="0.3">
      <c r="A4" s="10" t="s">
        <v>75</v>
      </c>
      <c r="B4" s="17">
        <v>3.6844763489737281E-2</v>
      </c>
      <c r="C4" s="17">
        <v>1.9230769230769232E-2</v>
      </c>
      <c r="D4" s="17">
        <v>0</v>
      </c>
      <c r="E4" s="17">
        <v>3.2967032967032968E-2</v>
      </c>
      <c r="F4" s="17">
        <v>3.3613445378151259E-2</v>
      </c>
      <c r="G4" s="17">
        <v>3.968253968253968E-2</v>
      </c>
      <c r="H4" s="17">
        <v>3.7735849056603772E-2</v>
      </c>
      <c r="I4" s="10">
        <v>6.3803538753239436E-2</v>
      </c>
      <c r="J4" s="10">
        <f t="shared" ref="J4:J7" si="1">J3+B4</f>
        <v>6.3803538753239436E-2</v>
      </c>
      <c r="K4" s="10">
        <f t="shared" si="0"/>
        <v>3.8461538461538464E-2</v>
      </c>
      <c r="L4" s="10">
        <f t="shared" si="0"/>
        <v>8.9285714285714281E-3</v>
      </c>
      <c r="M4" s="10">
        <f t="shared" si="0"/>
        <v>6.5934065934065936E-2</v>
      </c>
      <c r="N4" s="10">
        <f t="shared" si="0"/>
        <v>8.4033613445378158E-2</v>
      </c>
      <c r="O4" s="10">
        <f t="shared" si="0"/>
        <v>5.5555555555555552E-2</v>
      </c>
      <c r="P4" s="10">
        <f t="shared" si="0"/>
        <v>7.5471698113207544E-2</v>
      </c>
    </row>
    <row r="5" spans="1:16" x14ac:dyDescent="0.3">
      <c r="A5" s="10" t="s">
        <v>73</v>
      </c>
      <c r="B5" s="17">
        <v>6.0441971567434194E-2</v>
      </c>
      <c r="C5" s="17">
        <v>3.2051282051282048E-2</v>
      </c>
      <c r="D5" s="17">
        <v>4.4642857142857144E-2</v>
      </c>
      <c r="E5" s="17">
        <v>4.3956043956043959E-2</v>
      </c>
      <c r="F5" s="17">
        <v>8.4033613445378158E-2</v>
      </c>
      <c r="G5" s="17">
        <v>4.7619047619047616E-2</v>
      </c>
      <c r="H5" s="17">
        <v>5.6603773584905662E-2</v>
      </c>
      <c r="I5" s="10">
        <v>0.12424551032067363</v>
      </c>
      <c r="J5" s="10">
        <f t="shared" si="1"/>
        <v>0.12424551032067363</v>
      </c>
      <c r="K5" s="10">
        <f t="shared" si="0"/>
        <v>7.0512820512820512E-2</v>
      </c>
      <c r="L5" s="10">
        <f t="shared" si="0"/>
        <v>5.3571428571428575E-2</v>
      </c>
      <c r="M5" s="10">
        <f t="shared" si="0"/>
        <v>0.10989010989010989</v>
      </c>
      <c r="N5" s="10">
        <f t="shared" si="0"/>
        <v>0.16806722689075632</v>
      </c>
      <c r="O5" s="10">
        <f t="shared" si="0"/>
        <v>0.10317460317460317</v>
      </c>
      <c r="P5" s="10">
        <f t="shared" si="0"/>
        <v>0.13207547169811321</v>
      </c>
    </row>
    <row r="6" spans="1:16" x14ac:dyDescent="0.3">
      <c r="A6" s="10" t="s">
        <v>72</v>
      </c>
      <c r="B6" s="17">
        <v>0.17264876590741615</v>
      </c>
      <c r="C6" s="17">
        <v>0.14102564102564102</v>
      </c>
      <c r="D6" s="17">
        <v>7.1428571428571425E-2</v>
      </c>
      <c r="E6" s="17">
        <v>0.15384615384615385</v>
      </c>
      <c r="F6" s="17">
        <v>0.33613445378151263</v>
      </c>
      <c r="G6" s="17">
        <v>0.17460317460317459</v>
      </c>
      <c r="H6" s="17">
        <v>0.11320754716981132</v>
      </c>
      <c r="I6" s="10">
        <v>0.29689427622808978</v>
      </c>
      <c r="J6" s="10">
        <f t="shared" si="1"/>
        <v>0.29689427622808978</v>
      </c>
      <c r="K6" s="10">
        <f t="shared" si="0"/>
        <v>0.21153846153846154</v>
      </c>
      <c r="L6" s="10">
        <f t="shared" si="0"/>
        <v>0.125</v>
      </c>
      <c r="M6" s="10">
        <f t="shared" si="0"/>
        <v>0.26373626373626374</v>
      </c>
      <c r="N6" s="10">
        <f t="shared" si="0"/>
        <v>0.50420168067226889</v>
      </c>
      <c r="O6" s="10">
        <f t="shared" si="0"/>
        <v>0.27777777777777779</v>
      </c>
      <c r="P6" s="10">
        <f t="shared" si="0"/>
        <v>0.24528301886792453</v>
      </c>
    </row>
    <row r="7" spans="1:16" x14ac:dyDescent="0.3">
      <c r="A7" s="10" t="s">
        <v>70</v>
      </c>
      <c r="B7" s="17">
        <v>0.70310572377191016</v>
      </c>
      <c r="C7" s="17">
        <v>0.78846153846153844</v>
      </c>
      <c r="D7" s="17">
        <v>0.875</v>
      </c>
      <c r="E7" s="17">
        <v>0.73626373626373631</v>
      </c>
      <c r="F7" s="17">
        <v>0.49579831932773111</v>
      </c>
      <c r="G7" s="17">
        <v>0.72222222222222221</v>
      </c>
      <c r="H7" s="17">
        <v>0.75471698113207553</v>
      </c>
      <c r="I7" s="10">
        <v>1</v>
      </c>
      <c r="J7" s="10">
        <f t="shared" si="1"/>
        <v>1</v>
      </c>
      <c r="K7" s="10">
        <f t="shared" si="0"/>
        <v>1</v>
      </c>
      <c r="L7" s="10">
        <f t="shared" si="0"/>
        <v>1</v>
      </c>
      <c r="M7" s="10">
        <f t="shared" si="0"/>
        <v>1</v>
      </c>
      <c r="N7" s="10">
        <f t="shared" si="0"/>
        <v>1</v>
      </c>
      <c r="O7" s="10">
        <f t="shared" si="0"/>
        <v>1</v>
      </c>
      <c r="P7" s="10">
        <f t="shared" si="0"/>
        <v>1</v>
      </c>
    </row>
    <row r="9" spans="1:16" ht="28.8" x14ac:dyDescent="0.3">
      <c r="B9" s="1" t="s">
        <v>154</v>
      </c>
      <c r="C9" s="3" t="s">
        <v>162</v>
      </c>
      <c r="D9" s="3" t="s">
        <v>163</v>
      </c>
      <c r="E9" s="3" t="s">
        <v>164</v>
      </c>
      <c r="F9" s="3" t="s">
        <v>165</v>
      </c>
      <c r="G9" s="3" t="s">
        <v>166</v>
      </c>
      <c r="H9" s="3" t="s">
        <v>167</v>
      </c>
      <c r="J9" s="8"/>
      <c r="K9" s="11" t="s">
        <v>168</v>
      </c>
      <c r="L9" s="11" t="s">
        <v>169</v>
      </c>
      <c r="M9" s="11" t="s">
        <v>170</v>
      </c>
      <c r="N9" s="11" t="s">
        <v>171</v>
      </c>
      <c r="O9" s="11" t="s">
        <v>172</v>
      </c>
      <c r="P9" s="11" t="s">
        <v>173</v>
      </c>
    </row>
    <row r="10" spans="1:16" x14ac:dyDescent="0.3">
      <c r="B10" s="10" t="s">
        <v>71</v>
      </c>
      <c r="C10" s="10">
        <f>C2-B2</f>
        <v>-1.2481681114781788E-2</v>
      </c>
      <c r="D10" s="10">
        <f>D2-B2</f>
        <v>-1.2481681114781788E-2</v>
      </c>
      <c r="E10" s="10">
        <f>E2-B2</f>
        <v>-1.2481681114781788E-2</v>
      </c>
      <c r="F10" s="10">
        <f>F2-B2</f>
        <v>1.2728402918831658E-2</v>
      </c>
      <c r="G10" s="10">
        <f>G2-B2</f>
        <v>3.3913347582340842E-3</v>
      </c>
      <c r="H10" s="10">
        <f>H2-B2</f>
        <v>2.5254167941821982E-2</v>
      </c>
      <c r="J10" s="10" t="s">
        <v>71</v>
      </c>
      <c r="K10" s="8">
        <f>(J2-0) * ((K2+0))</f>
        <v>0</v>
      </c>
      <c r="L10" s="8">
        <f>(J2-0) * ((L2+0))</f>
        <v>0</v>
      </c>
      <c r="M10" s="8">
        <f>(J2-0) * ((M2+0))</f>
        <v>0</v>
      </c>
      <c r="N10" s="8">
        <f>(J2-0) * ((N2+0))</f>
        <v>3.1466422978441484E-4</v>
      </c>
      <c r="O10" s="8">
        <f>(J2-0) * ((O2+0))</f>
        <v>1.9812192245685376E-4</v>
      </c>
      <c r="P10" s="8">
        <f>(J2-0) * ((P2+0))</f>
        <v>4.7100683452006747E-4</v>
      </c>
    </row>
    <row r="11" spans="1:16" x14ac:dyDescent="0.3">
      <c r="B11" s="10" t="s">
        <v>74</v>
      </c>
      <c r="C11" s="10">
        <f t="shared" ref="C11:C15" si="2">C3-B3</f>
        <v>4.7536750820488631E-3</v>
      </c>
      <c r="D11" s="10">
        <f t="shared" ref="D11:D15" si="3">D3-B3</f>
        <v>-5.5485227201489407E-3</v>
      </c>
      <c r="E11" s="10">
        <f t="shared" ref="E11:E15" si="4">E3-B3</f>
        <v>1.8489938818312599E-2</v>
      </c>
      <c r="F11" s="10">
        <f t="shared" ref="F11:F15" si="5">F3-B3</f>
        <v>1.0732989884893077E-2</v>
      </c>
      <c r="G11" s="10">
        <f t="shared" ref="G11:G15" si="6">G3-B3</f>
        <v>-1.4477094148720369E-2</v>
      </c>
      <c r="H11" s="10">
        <f t="shared" ref="H11:H15" si="7">H3-B3</f>
        <v>-1.4477094148720369E-2</v>
      </c>
      <c r="J11" s="10" t="s">
        <v>74</v>
      </c>
      <c r="K11" s="8">
        <f>(J3-J2) * ((K3+K2))</f>
        <v>2.7840565670616093E-4</v>
      </c>
      <c r="L11" s="8">
        <f>(J3-J2) * ((L3+L2))</f>
        <v>1.2925976918500327E-4</v>
      </c>
      <c r="M11" s="8">
        <f>(J3-J2) * ((M3+M2))</f>
        <v>4.7726684006770443E-4</v>
      </c>
      <c r="N11" s="8">
        <f>(J3-J2) * ((N3+N2))</f>
        <v>1.094906280155322E-3</v>
      </c>
      <c r="O11" s="8">
        <f>(J3-J2) * ((O3+O2))</f>
        <v>4.5959029043556721E-4</v>
      </c>
      <c r="P11" s="8">
        <f>(J3-J2) * ((P3+P2))</f>
        <v>1.0926108791487069E-3</v>
      </c>
    </row>
    <row r="12" spans="1:16" x14ac:dyDescent="0.3">
      <c r="B12" s="10" t="s">
        <v>75</v>
      </c>
      <c r="C12" s="10">
        <f t="shared" si="2"/>
        <v>-1.7613994258968049E-2</v>
      </c>
      <c r="D12" s="10">
        <f t="shared" si="3"/>
        <v>-3.6844763489737281E-2</v>
      </c>
      <c r="E12" s="10">
        <f t="shared" si="4"/>
        <v>-3.8777305227043132E-3</v>
      </c>
      <c r="F12" s="10">
        <f t="shared" si="5"/>
        <v>-3.2313181115860221E-3</v>
      </c>
      <c r="G12" s="10">
        <f t="shared" si="6"/>
        <v>2.8377761928023992E-3</v>
      </c>
      <c r="H12" s="10">
        <f t="shared" si="7"/>
        <v>8.9108556686649104E-4</v>
      </c>
      <c r="J12" s="10" t="s">
        <v>75</v>
      </c>
      <c r="K12" s="8">
        <f t="shared" ref="K12:K15" si="8">(J4-J3) * ((K4+K3))</f>
        <v>2.1256594321002278E-3</v>
      </c>
      <c r="L12" s="8">
        <f t="shared" ref="L12:L15" si="9">(J4-J3) * ((L4+L3))</f>
        <v>6.5794220517387996E-4</v>
      </c>
      <c r="M12" s="8">
        <f t="shared" ref="M12:M15" si="10">(J4-J3) * ((M4+M3))</f>
        <v>3.6439875978861052E-3</v>
      </c>
      <c r="N12" s="8">
        <f t="shared" ref="N12:N15" si="11">(J4-J3) * ((N4+N3))</f>
        <v>4.9539177801327444E-3</v>
      </c>
      <c r="O12" s="8">
        <f t="shared" ref="O12:O15" si="12">(J4-J3) * ((O4+O3))</f>
        <v>2.6317688206955198E-3</v>
      </c>
      <c r="P12" s="8">
        <f t="shared" ref="P12:P15" si="13">(J4-J3) * ((P4+P3))</f>
        <v>4.1711053007249749E-3</v>
      </c>
    </row>
    <row r="13" spans="1:16" x14ac:dyDescent="0.3">
      <c r="B13" s="10" t="s">
        <v>73</v>
      </c>
      <c r="C13" s="10">
        <f t="shared" si="2"/>
        <v>-2.8390689516152146E-2</v>
      </c>
      <c r="D13" s="10">
        <f t="shared" si="3"/>
        <v>-1.579911442457705E-2</v>
      </c>
      <c r="E13" s="10">
        <f t="shared" si="4"/>
        <v>-1.6485927611390234E-2</v>
      </c>
      <c r="F13" s="10">
        <f t="shared" si="5"/>
        <v>2.3591641877943964E-2</v>
      </c>
      <c r="G13" s="10">
        <f t="shared" si="6"/>
        <v>-1.2822923948386578E-2</v>
      </c>
      <c r="H13" s="10">
        <f t="shared" si="7"/>
        <v>-3.8381979825285323E-3</v>
      </c>
      <c r="J13" s="10" t="s">
        <v>73</v>
      </c>
      <c r="K13" s="8">
        <f t="shared" si="8"/>
        <v>6.5866251067075729E-3</v>
      </c>
      <c r="L13" s="8">
        <f t="shared" si="9"/>
        <v>3.7776232229646371E-3</v>
      </c>
      <c r="M13" s="8">
        <f t="shared" si="10"/>
        <v>1.0627159836032385E-2</v>
      </c>
      <c r="N13" s="8">
        <f t="shared" si="11"/>
        <v>1.5237471823722905E-2</v>
      </c>
      <c r="O13" s="8">
        <f t="shared" si="12"/>
        <v>9.5939637408625697E-3</v>
      </c>
      <c r="P13" s="8">
        <f t="shared" si="13"/>
        <v>1.2544560136637286E-2</v>
      </c>
    </row>
    <row r="14" spans="1:16" x14ac:dyDescent="0.3">
      <c r="B14" s="10" t="s">
        <v>72</v>
      </c>
      <c r="C14" s="10">
        <f t="shared" si="2"/>
        <v>-3.1623124881775128E-2</v>
      </c>
      <c r="D14" s="10">
        <f t="shared" si="3"/>
        <v>-0.10122019447884473</v>
      </c>
      <c r="E14" s="10">
        <f t="shared" si="4"/>
        <v>-1.8802612061262297E-2</v>
      </c>
      <c r="F14" s="10">
        <f t="shared" si="5"/>
        <v>0.16348568787409648</v>
      </c>
      <c r="G14" s="10">
        <f t="shared" si="6"/>
        <v>1.9544086957584417E-3</v>
      </c>
      <c r="H14" s="10">
        <f t="shared" si="7"/>
        <v>-5.9441218737604828E-2</v>
      </c>
      <c r="J14" s="10" t="s">
        <v>72</v>
      </c>
      <c r="K14" s="8">
        <f t="shared" si="8"/>
        <v>4.8695805768758399E-2</v>
      </c>
      <c r="L14" s="8">
        <f t="shared" si="9"/>
        <v>3.0830136769181456E-2</v>
      </c>
      <c r="M14" s="8">
        <f t="shared" si="10"/>
        <v>6.4506132317056583E-2</v>
      </c>
      <c r="N14" s="8">
        <f t="shared" si="11"/>
        <v>0.11606639724868313</v>
      </c>
      <c r="O14" s="8">
        <f t="shared" si="12"/>
        <v>6.577095844092043E-2</v>
      </c>
      <c r="P14" s="8">
        <f t="shared" si="13"/>
        <v>6.5150477700911757E-2</v>
      </c>
    </row>
    <row r="15" spans="1:16" x14ac:dyDescent="0.3">
      <c r="B15" s="10" t="s">
        <v>70</v>
      </c>
      <c r="C15" s="10">
        <f t="shared" si="2"/>
        <v>8.5355814689628273E-2</v>
      </c>
      <c r="D15" s="10">
        <f t="shared" si="3"/>
        <v>0.17189427622808984</v>
      </c>
      <c r="E15" s="10">
        <f t="shared" si="4"/>
        <v>3.315801249182615E-2</v>
      </c>
      <c r="F15" s="10">
        <f t="shared" si="5"/>
        <v>-0.20730740444417906</v>
      </c>
      <c r="G15" s="10">
        <f t="shared" si="6"/>
        <v>1.9116498450312047E-2</v>
      </c>
      <c r="H15" s="10">
        <f t="shared" si="7"/>
        <v>5.1611257360165363E-2</v>
      </c>
      <c r="J15" s="10" t="s">
        <v>70</v>
      </c>
      <c r="K15" s="8">
        <f t="shared" si="8"/>
        <v>0.85183962687750658</v>
      </c>
      <c r="L15" s="8">
        <f t="shared" si="9"/>
        <v>0.79099393924339911</v>
      </c>
      <c r="M15" s="8">
        <f t="shared" si="10"/>
        <v>0.88854020037109538</v>
      </c>
      <c r="N15" s="8">
        <f t="shared" si="11"/>
        <v>1.0576128113879995</v>
      </c>
      <c r="O15" s="8">
        <f t="shared" si="12"/>
        <v>0.89841286926410746</v>
      </c>
      <c r="P15" s="8">
        <f t="shared" si="13"/>
        <v>0.87556561828200141</v>
      </c>
    </row>
    <row r="16" spans="1:16" x14ac:dyDescent="0.3">
      <c r="J16" s="12" t="s">
        <v>174</v>
      </c>
      <c r="K16" s="11">
        <f t="shared" ref="K16:P16" si="14">SUM(K10:K15)</f>
        <v>0.90952612284177892</v>
      </c>
      <c r="L16" s="11">
        <f t="shared" si="14"/>
        <v>0.82638890120990405</v>
      </c>
      <c r="M16" s="11">
        <f t="shared" si="14"/>
        <v>0.96779474696213819</v>
      </c>
      <c r="N16" s="11">
        <f t="shared" si="14"/>
        <v>1.1952801687504779</v>
      </c>
      <c r="O16" s="11">
        <f t="shared" si="14"/>
        <v>0.97706727247947844</v>
      </c>
      <c r="P16" s="11">
        <f t="shared" si="14"/>
        <v>0.95899537913394417</v>
      </c>
    </row>
    <row r="17" spans="10:16" x14ac:dyDescent="0.3">
      <c r="J17" s="13" t="s">
        <v>175</v>
      </c>
      <c r="K17" s="14">
        <f>1-K16</f>
        <v>9.0473877158221083E-2</v>
      </c>
      <c r="L17" s="14">
        <f t="shared" ref="L17:P17" si="15">1-L16</f>
        <v>0.17361109879009595</v>
      </c>
      <c r="M17" s="14">
        <f t="shared" si="15"/>
        <v>3.2205253037861814E-2</v>
      </c>
      <c r="N17" s="14">
        <f t="shared" si="15"/>
        <v>-0.19528016875047793</v>
      </c>
      <c r="O17" s="14">
        <f t="shared" si="15"/>
        <v>2.2932727520521556E-2</v>
      </c>
      <c r="P17" s="14">
        <f t="shared" si="15"/>
        <v>4.100462086605583E-2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94A7-A479-4808-9940-DD0818B6178B}">
  <dimension ref="A1:P69"/>
  <sheetViews>
    <sheetView zoomScale="91" workbookViewId="0">
      <selection activeCell="C13" sqref="C13"/>
    </sheetView>
  </sheetViews>
  <sheetFormatPr defaultRowHeight="14.4" x14ac:dyDescent="0.3"/>
  <cols>
    <col min="11" max="16" width="12" bestFit="1" customWidth="1"/>
  </cols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103</v>
      </c>
      <c r="B2" s="17">
        <v>2.5474740236474383E-3</v>
      </c>
      <c r="C2" s="17">
        <v>0</v>
      </c>
      <c r="D2" s="17">
        <v>0</v>
      </c>
      <c r="E2" s="17">
        <v>0</v>
      </c>
      <c r="F2" s="17">
        <v>0</v>
      </c>
      <c r="G2" s="17">
        <v>1.4869888475836431E-2</v>
      </c>
      <c r="H2" s="17">
        <v>8.771929824561403E-3</v>
      </c>
      <c r="I2" s="10">
        <v>2.5474740236474383E-3</v>
      </c>
      <c r="J2" s="18">
        <v>2.5474740236474383E-3</v>
      </c>
      <c r="K2" s="18">
        <v>0</v>
      </c>
      <c r="L2" s="18">
        <v>0</v>
      </c>
      <c r="M2" s="18">
        <v>0</v>
      </c>
      <c r="N2" s="18">
        <v>0</v>
      </c>
      <c r="O2" s="18">
        <v>1.4869888475836431E-2</v>
      </c>
      <c r="P2" s="18">
        <v>8.771929824561403E-3</v>
      </c>
    </row>
    <row r="3" spans="1:16" x14ac:dyDescent="0.3">
      <c r="A3" s="10" t="s">
        <v>100</v>
      </c>
      <c r="B3" s="17">
        <v>4.9140093156574702E-3</v>
      </c>
      <c r="C3" s="17">
        <v>3.4013605442176869E-3</v>
      </c>
      <c r="D3" s="17">
        <v>6.024096385542169E-3</v>
      </c>
      <c r="E3" s="17">
        <v>0</v>
      </c>
      <c r="F3" s="17">
        <v>1.2861736334405145E-2</v>
      </c>
      <c r="G3" s="17">
        <v>1.1152416356877323E-2</v>
      </c>
      <c r="H3" s="17">
        <v>0</v>
      </c>
      <c r="I3" s="10">
        <v>7.4614833393049085E-3</v>
      </c>
      <c r="J3" s="10">
        <f>J2+B3</f>
        <v>7.4614833393049085E-3</v>
      </c>
      <c r="K3" s="10">
        <f t="shared" ref="K3:P7" si="0">K2+C3</f>
        <v>3.4013605442176869E-3</v>
      </c>
      <c r="L3" s="10">
        <f t="shared" si="0"/>
        <v>6.024096385542169E-3</v>
      </c>
      <c r="M3" s="10">
        <f t="shared" si="0"/>
        <v>0</v>
      </c>
      <c r="N3" s="10">
        <f t="shared" si="0"/>
        <v>1.2861736334405145E-2</v>
      </c>
      <c r="O3" s="10">
        <f t="shared" si="0"/>
        <v>2.6022304832713755E-2</v>
      </c>
      <c r="P3" s="10">
        <f t="shared" si="0"/>
        <v>8.771929824561403E-3</v>
      </c>
    </row>
    <row r="4" spans="1:16" x14ac:dyDescent="0.3">
      <c r="A4" s="10" t="s">
        <v>86</v>
      </c>
      <c r="B4" s="17">
        <v>6.601576495879613E-3</v>
      </c>
      <c r="C4" s="17">
        <v>1.020408163265306E-2</v>
      </c>
      <c r="D4" s="17">
        <v>0</v>
      </c>
      <c r="E4" s="17">
        <v>7.5187969924812026E-3</v>
      </c>
      <c r="F4" s="17">
        <v>1.2861736334405145E-2</v>
      </c>
      <c r="G4" s="17">
        <v>3.7174721189591076E-3</v>
      </c>
      <c r="H4" s="17">
        <v>4.3859649122807015E-3</v>
      </c>
      <c r="I4" s="10">
        <v>1.4063059835184522E-2</v>
      </c>
      <c r="J4" s="10">
        <f t="shared" ref="J4:J7" si="1">J3+B4</f>
        <v>1.4063059835184522E-2</v>
      </c>
      <c r="K4" s="10">
        <f t="shared" si="0"/>
        <v>1.3605442176870748E-2</v>
      </c>
      <c r="L4" s="10">
        <f t="shared" si="0"/>
        <v>6.024096385542169E-3</v>
      </c>
      <c r="M4" s="10">
        <f t="shared" si="0"/>
        <v>7.5187969924812026E-3</v>
      </c>
      <c r="N4" s="10">
        <f t="shared" si="0"/>
        <v>2.5723472668810289E-2</v>
      </c>
      <c r="O4" s="10">
        <f t="shared" si="0"/>
        <v>2.9739776951672861E-2</v>
      </c>
      <c r="P4" s="10">
        <f t="shared" si="0"/>
        <v>1.3157894736842105E-2</v>
      </c>
    </row>
    <row r="5" spans="1:16" x14ac:dyDescent="0.3">
      <c r="A5" s="10" t="s">
        <v>105</v>
      </c>
      <c r="B5" s="17">
        <v>7.3754926549623795E-3</v>
      </c>
      <c r="C5" s="17">
        <v>3.4013605442176869E-3</v>
      </c>
      <c r="D5" s="17">
        <v>6.024096385542169E-3</v>
      </c>
      <c r="E5" s="17">
        <v>2.2556390977443608E-2</v>
      </c>
      <c r="F5" s="17">
        <v>6.4308681672025723E-3</v>
      </c>
      <c r="G5" s="17">
        <v>3.7174721189591076E-3</v>
      </c>
      <c r="H5" s="17">
        <v>8.771929824561403E-3</v>
      </c>
      <c r="I5" s="10">
        <v>2.1438552490146902E-2</v>
      </c>
      <c r="J5" s="10">
        <f t="shared" si="1"/>
        <v>2.1438552490146902E-2</v>
      </c>
      <c r="K5" s="10">
        <f t="shared" si="0"/>
        <v>1.7006802721088433E-2</v>
      </c>
      <c r="L5" s="10">
        <f t="shared" si="0"/>
        <v>1.2048192771084338E-2</v>
      </c>
      <c r="M5" s="10">
        <f t="shared" si="0"/>
        <v>3.007518796992481E-2</v>
      </c>
      <c r="N5" s="10">
        <f t="shared" si="0"/>
        <v>3.215434083601286E-2</v>
      </c>
      <c r="O5" s="10">
        <f t="shared" si="0"/>
        <v>3.3457249070631967E-2</v>
      </c>
      <c r="P5" s="10">
        <f t="shared" si="0"/>
        <v>2.1929824561403508E-2</v>
      </c>
    </row>
    <row r="6" spans="1:16" x14ac:dyDescent="0.3">
      <c r="A6" s="10" t="s">
        <v>97</v>
      </c>
      <c r="B6" s="17">
        <v>8.4682909351486927E-3</v>
      </c>
      <c r="C6" s="17">
        <v>2.3809523809523808E-2</v>
      </c>
      <c r="D6" s="17">
        <v>1.2048192771084338E-2</v>
      </c>
      <c r="E6" s="17">
        <v>3.007518796992481E-2</v>
      </c>
      <c r="F6" s="17">
        <v>9.6463022508038593E-3</v>
      </c>
      <c r="G6" s="17">
        <v>1.858736059479554E-2</v>
      </c>
      <c r="H6" s="17">
        <v>8.771929824561403E-3</v>
      </c>
      <c r="I6" s="10">
        <v>2.9906843425295593E-2</v>
      </c>
      <c r="J6" s="10">
        <f t="shared" si="1"/>
        <v>2.9906843425295593E-2</v>
      </c>
      <c r="K6" s="10">
        <f t="shared" si="0"/>
        <v>4.0816326530612242E-2</v>
      </c>
      <c r="L6" s="10">
        <f t="shared" si="0"/>
        <v>2.4096385542168676E-2</v>
      </c>
      <c r="M6" s="10">
        <f t="shared" si="0"/>
        <v>6.0150375939849621E-2</v>
      </c>
      <c r="N6" s="10">
        <f t="shared" si="0"/>
        <v>4.1800643086816719E-2</v>
      </c>
      <c r="O6" s="10">
        <f t="shared" si="0"/>
        <v>5.204460966542751E-2</v>
      </c>
      <c r="P6" s="10">
        <f t="shared" si="0"/>
        <v>3.0701754385964911E-2</v>
      </c>
    </row>
    <row r="7" spans="1:16" x14ac:dyDescent="0.3">
      <c r="A7" s="10" t="s">
        <v>87</v>
      </c>
      <c r="B7" s="17">
        <v>8.4700824077391622E-3</v>
      </c>
      <c r="C7" s="17">
        <v>1.3605442176870748E-2</v>
      </c>
      <c r="D7" s="17">
        <v>0</v>
      </c>
      <c r="E7" s="17">
        <v>0</v>
      </c>
      <c r="F7" s="17">
        <v>6.4308681672025723E-3</v>
      </c>
      <c r="G7" s="17">
        <v>3.7174721189591076E-3</v>
      </c>
      <c r="H7" s="17">
        <v>4.3859649122807015E-3</v>
      </c>
      <c r="I7" s="10">
        <v>3.8376925833034758E-2</v>
      </c>
      <c r="J7" s="10">
        <f t="shared" si="1"/>
        <v>3.8376925833034758E-2</v>
      </c>
      <c r="K7" s="10">
        <f t="shared" si="0"/>
        <v>5.4421768707482991E-2</v>
      </c>
      <c r="L7" s="10">
        <f t="shared" si="0"/>
        <v>2.4096385542168676E-2</v>
      </c>
      <c r="M7" s="10">
        <f t="shared" si="0"/>
        <v>6.0150375939849621E-2</v>
      </c>
      <c r="N7" s="10">
        <f t="shared" si="0"/>
        <v>4.8231511254019289E-2</v>
      </c>
      <c r="O7" s="10">
        <f t="shared" si="0"/>
        <v>5.5762081784386616E-2</v>
      </c>
      <c r="P7" s="10">
        <f t="shared" si="0"/>
        <v>3.5087719298245612E-2</v>
      </c>
    </row>
    <row r="8" spans="1:16" x14ac:dyDescent="0.3">
      <c r="A8" s="10" t="s">
        <v>107</v>
      </c>
      <c r="B8" s="17">
        <v>9.1347187388032963E-3</v>
      </c>
      <c r="C8" s="17">
        <v>6.8027210884353739E-3</v>
      </c>
      <c r="D8" s="17">
        <v>0</v>
      </c>
      <c r="E8" s="17">
        <v>1.5037593984962405E-2</v>
      </c>
      <c r="F8" s="17">
        <v>1.607717041800643E-2</v>
      </c>
      <c r="G8" s="17">
        <v>1.4869888475836431E-2</v>
      </c>
      <c r="H8" s="17">
        <v>1.7543859649122806E-2</v>
      </c>
      <c r="I8" s="10">
        <v>4.7511644571838055E-2</v>
      </c>
      <c r="J8" s="10">
        <f t="shared" ref="J8:J33" si="2">J7+B8</f>
        <v>4.7511644571838055E-2</v>
      </c>
      <c r="K8" s="10">
        <f t="shared" ref="K8:K33" si="3">K7+C8</f>
        <v>6.1224489795918366E-2</v>
      </c>
      <c r="L8" s="10">
        <f t="shared" ref="L8:L33" si="4">L7+D8</f>
        <v>2.4096385542168676E-2</v>
      </c>
      <c r="M8" s="10">
        <f t="shared" ref="M8:M33" si="5">M7+E8</f>
        <v>7.5187969924812026E-2</v>
      </c>
      <c r="N8" s="10">
        <f t="shared" ref="N8:N33" si="6">N7+F8</f>
        <v>6.4308681672025719E-2</v>
      </c>
      <c r="O8" s="10">
        <f t="shared" ref="O8:O33" si="7">O7+G8</f>
        <v>7.0631970260223054E-2</v>
      </c>
      <c r="P8" s="10">
        <f t="shared" ref="P8:P33" si="8">P7+H8</f>
        <v>5.2631578947368418E-2</v>
      </c>
    </row>
    <row r="9" spans="1:16" x14ac:dyDescent="0.3">
      <c r="A9" s="10" t="s">
        <v>102</v>
      </c>
      <c r="B9" s="17">
        <v>9.6112504478681471E-3</v>
      </c>
      <c r="C9" s="17">
        <v>1.020408163265306E-2</v>
      </c>
      <c r="D9" s="17">
        <v>6.024096385542169E-3</v>
      </c>
      <c r="E9" s="17">
        <v>0</v>
      </c>
      <c r="F9" s="17">
        <v>6.4308681672025723E-3</v>
      </c>
      <c r="G9" s="17">
        <v>1.1152416356877323E-2</v>
      </c>
      <c r="H9" s="17">
        <v>1.7543859649122806E-2</v>
      </c>
      <c r="I9" s="10">
        <v>5.7122895019706202E-2</v>
      </c>
      <c r="J9" s="10">
        <f t="shared" si="2"/>
        <v>5.7122895019706202E-2</v>
      </c>
      <c r="K9" s="10">
        <f t="shared" si="3"/>
        <v>7.1428571428571425E-2</v>
      </c>
      <c r="L9" s="10">
        <f t="shared" si="4"/>
        <v>3.0120481927710843E-2</v>
      </c>
      <c r="M9" s="10">
        <f t="shared" si="5"/>
        <v>7.5187969924812026E-2</v>
      </c>
      <c r="N9" s="10">
        <f t="shared" si="6"/>
        <v>7.0739549839228297E-2</v>
      </c>
      <c r="O9" s="10">
        <f t="shared" si="7"/>
        <v>8.1784386617100371E-2</v>
      </c>
      <c r="P9" s="10">
        <f t="shared" si="8"/>
        <v>7.0175438596491224E-2</v>
      </c>
    </row>
    <row r="10" spans="1:16" x14ac:dyDescent="0.3">
      <c r="A10" s="10" t="s">
        <v>101</v>
      </c>
      <c r="B10" s="17">
        <v>1.002866356144751E-2</v>
      </c>
      <c r="C10" s="17">
        <v>0</v>
      </c>
      <c r="D10" s="17">
        <v>0</v>
      </c>
      <c r="E10" s="17">
        <v>7.5187969924812026E-3</v>
      </c>
      <c r="F10" s="17">
        <v>9.6463022508038593E-3</v>
      </c>
      <c r="G10" s="17">
        <v>1.858736059479554E-2</v>
      </c>
      <c r="H10" s="17">
        <v>1.3157894736842105E-2</v>
      </c>
      <c r="I10" s="10">
        <v>6.7151558581153709E-2</v>
      </c>
      <c r="J10" s="10">
        <f t="shared" si="2"/>
        <v>6.7151558581153709E-2</v>
      </c>
      <c r="K10" s="10">
        <f t="shared" si="3"/>
        <v>7.1428571428571425E-2</v>
      </c>
      <c r="L10" s="10">
        <f t="shared" si="4"/>
        <v>3.0120481927710843E-2</v>
      </c>
      <c r="M10" s="10">
        <f t="shared" si="5"/>
        <v>8.2706766917293228E-2</v>
      </c>
      <c r="N10" s="10">
        <f t="shared" si="6"/>
        <v>8.0385852090032156E-2</v>
      </c>
      <c r="O10" s="10">
        <f t="shared" si="7"/>
        <v>0.10037174721189591</v>
      </c>
      <c r="P10" s="10">
        <f t="shared" si="8"/>
        <v>8.3333333333333329E-2</v>
      </c>
    </row>
    <row r="11" spans="1:16" x14ac:dyDescent="0.3">
      <c r="A11" s="10" t="s">
        <v>96</v>
      </c>
      <c r="B11" s="17">
        <v>1.0677176639197421E-2</v>
      </c>
      <c r="C11" s="17">
        <v>6.8027210884353739E-3</v>
      </c>
      <c r="D11" s="17">
        <v>6.024096385542169E-3</v>
      </c>
      <c r="E11" s="17">
        <v>1.5037593984962405E-2</v>
      </c>
      <c r="F11" s="17">
        <v>3.2154340836012861E-3</v>
      </c>
      <c r="G11" s="17">
        <v>3.7174721189591076E-3</v>
      </c>
      <c r="H11" s="17">
        <v>4.3859649122807015E-3</v>
      </c>
      <c r="I11" s="10">
        <v>7.7828735220351136E-2</v>
      </c>
      <c r="J11" s="10">
        <f t="shared" si="2"/>
        <v>7.7828735220351136E-2</v>
      </c>
      <c r="K11" s="10">
        <f t="shared" si="3"/>
        <v>7.8231292517006792E-2</v>
      </c>
      <c r="L11" s="10">
        <f t="shared" si="4"/>
        <v>3.614457831325301E-2</v>
      </c>
      <c r="M11" s="10">
        <f t="shared" si="5"/>
        <v>9.7744360902255634E-2</v>
      </c>
      <c r="N11" s="10">
        <f t="shared" si="6"/>
        <v>8.3601286173633438E-2</v>
      </c>
      <c r="O11" s="10">
        <f t="shared" si="7"/>
        <v>0.10408921933085502</v>
      </c>
      <c r="P11" s="10">
        <f t="shared" si="8"/>
        <v>8.771929824561403E-2</v>
      </c>
    </row>
    <row r="12" spans="1:16" x14ac:dyDescent="0.3">
      <c r="A12" s="10" t="s">
        <v>104</v>
      </c>
      <c r="B12" s="17">
        <v>1.1211035471157291E-2</v>
      </c>
      <c r="C12" s="17">
        <v>6.8027210884353739E-3</v>
      </c>
      <c r="D12" s="17">
        <v>6.024096385542169E-3</v>
      </c>
      <c r="E12" s="17">
        <v>1.5037593984962405E-2</v>
      </c>
      <c r="F12" s="17">
        <v>9.6463022508038593E-3</v>
      </c>
      <c r="G12" s="17">
        <v>1.1152416356877323E-2</v>
      </c>
      <c r="H12" s="17">
        <v>2.6315789473684209E-2</v>
      </c>
      <c r="I12" s="10">
        <v>8.9039770691508424E-2</v>
      </c>
      <c r="J12" s="10">
        <f t="shared" si="2"/>
        <v>8.9039770691508424E-2</v>
      </c>
      <c r="K12" s="10">
        <f t="shared" si="3"/>
        <v>8.503401360544216E-2</v>
      </c>
      <c r="L12" s="10">
        <f t="shared" si="4"/>
        <v>4.2168674698795178E-2</v>
      </c>
      <c r="M12" s="10">
        <f t="shared" si="5"/>
        <v>0.11278195488721804</v>
      </c>
      <c r="N12" s="10">
        <f t="shared" si="6"/>
        <v>9.3247588424437297E-2</v>
      </c>
      <c r="O12" s="10">
        <f t="shared" si="7"/>
        <v>0.11524163568773234</v>
      </c>
      <c r="P12" s="10">
        <f t="shared" si="8"/>
        <v>0.11403508771929824</v>
      </c>
    </row>
    <row r="13" spans="1:16" x14ac:dyDescent="0.3">
      <c r="A13" s="10" t="s">
        <v>106</v>
      </c>
      <c r="B13" s="17">
        <v>1.1350770333213902E-2</v>
      </c>
      <c r="C13" s="17">
        <v>6.8027210884353739E-3</v>
      </c>
      <c r="D13" s="17">
        <v>6.024096385542169E-3</v>
      </c>
      <c r="E13" s="17">
        <v>0</v>
      </c>
      <c r="F13" s="17">
        <v>1.2861736334405145E-2</v>
      </c>
      <c r="G13" s="17">
        <v>0</v>
      </c>
      <c r="H13" s="17">
        <v>1.3157894736842105E-2</v>
      </c>
      <c r="I13" s="10">
        <v>0.10039054102472232</v>
      </c>
      <c r="J13" s="10">
        <f t="shared" si="2"/>
        <v>0.10039054102472232</v>
      </c>
      <c r="K13" s="10">
        <f t="shared" si="3"/>
        <v>9.1836734693877528E-2</v>
      </c>
      <c r="L13" s="10">
        <f t="shared" si="4"/>
        <v>4.8192771084337345E-2</v>
      </c>
      <c r="M13" s="10">
        <f t="shared" si="5"/>
        <v>0.11278195488721804</v>
      </c>
      <c r="N13" s="10">
        <f t="shared" si="6"/>
        <v>0.10610932475884244</v>
      </c>
      <c r="O13" s="10">
        <f t="shared" si="7"/>
        <v>0.11524163568773234</v>
      </c>
      <c r="P13" s="10">
        <f t="shared" si="8"/>
        <v>0.12719298245614036</v>
      </c>
    </row>
    <row r="14" spans="1:16" x14ac:dyDescent="0.3">
      <c r="A14" s="10" t="s">
        <v>90</v>
      </c>
      <c r="B14" s="17">
        <v>1.186492296667861E-2</v>
      </c>
      <c r="C14" s="17">
        <v>1.3605442176870748E-2</v>
      </c>
      <c r="D14" s="17">
        <v>1.2048192771084338E-2</v>
      </c>
      <c r="E14" s="17">
        <v>3.007518796992481E-2</v>
      </c>
      <c r="F14" s="17">
        <v>3.2154340836012861E-3</v>
      </c>
      <c r="G14" s="17">
        <v>3.7174721189591076E-3</v>
      </c>
      <c r="H14" s="17">
        <v>1.3157894736842105E-2</v>
      </c>
      <c r="I14" s="10">
        <v>0.11225546399140093</v>
      </c>
      <c r="J14" s="10">
        <f t="shared" si="2"/>
        <v>0.11225546399140093</v>
      </c>
      <c r="K14" s="10">
        <f t="shared" si="3"/>
        <v>0.10544217687074828</v>
      </c>
      <c r="L14" s="10">
        <f t="shared" si="4"/>
        <v>6.0240963855421686E-2</v>
      </c>
      <c r="M14" s="10">
        <f t="shared" si="5"/>
        <v>0.14285714285714285</v>
      </c>
      <c r="N14" s="10">
        <f t="shared" si="6"/>
        <v>0.10932475884244372</v>
      </c>
      <c r="O14" s="10">
        <f t="shared" si="7"/>
        <v>0.11895910780669144</v>
      </c>
      <c r="P14" s="10">
        <f t="shared" si="8"/>
        <v>0.14035087719298245</v>
      </c>
    </row>
    <row r="15" spans="1:16" x14ac:dyDescent="0.3">
      <c r="A15" s="10" t="s">
        <v>83</v>
      </c>
      <c r="B15" s="17">
        <v>1.2228591902543891E-2</v>
      </c>
      <c r="C15" s="17">
        <v>6.8027210884353739E-3</v>
      </c>
      <c r="D15" s="17">
        <v>6.024096385542169E-3</v>
      </c>
      <c r="E15" s="17">
        <v>0</v>
      </c>
      <c r="F15" s="17">
        <v>0</v>
      </c>
      <c r="G15" s="17">
        <v>1.4869888475836431E-2</v>
      </c>
      <c r="H15" s="17">
        <v>8.771929824561403E-3</v>
      </c>
      <c r="I15" s="10">
        <v>0.12448405589394482</v>
      </c>
      <c r="J15" s="10">
        <f t="shared" si="2"/>
        <v>0.12448405589394482</v>
      </c>
      <c r="K15" s="10">
        <f t="shared" si="3"/>
        <v>0.11224489795918365</v>
      </c>
      <c r="L15" s="10">
        <f t="shared" si="4"/>
        <v>6.6265060240963861E-2</v>
      </c>
      <c r="M15" s="10">
        <f t="shared" si="5"/>
        <v>0.14285714285714285</v>
      </c>
      <c r="N15" s="10">
        <f t="shared" si="6"/>
        <v>0.10932475884244372</v>
      </c>
      <c r="O15" s="10">
        <f t="shared" si="7"/>
        <v>0.13382899628252787</v>
      </c>
      <c r="P15" s="10">
        <f t="shared" si="8"/>
        <v>0.14912280701754385</v>
      </c>
    </row>
    <row r="16" spans="1:16" x14ac:dyDescent="0.3">
      <c r="A16" s="10" t="s">
        <v>91</v>
      </c>
      <c r="B16" s="17">
        <v>1.3233608025797206E-2</v>
      </c>
      <c r="C16" s="17">
        <v>1.7006802721088437E-2</v>
      </c>
      <c r="D16" s="17">
        <v>1.8072289156626505E-2</v>
      </c>
      <c r="E16" s="17">
        <v>3.007518796992481E-2</v>
      </c>
      <c r="F16" s="17">
        <v>1.607717041800643E-2</v>
      </c>
      <c r="G16" s="17">
        <v>1.1152416356877323E-2</v>
      </c>
      <c r="H16" s="17">
        <v>8.771929824561403E-3</v>
      </c>
      <c r="I16" s="10">
        <v>0.13771766391974202</v>
      </c>
      <c r="J16" s="10">
        <f t="shared" si="2"/>
        <v>0.13771766391974202</v>
      </c>
      <c r="K16" s="10">
        <f t="shared" si="3"/>
        <v>0.12925170068027209</v>
      </c>
      <c r="L16" s="10">
        <f t="shared" si="4"/>
        <v>8.4337349397590369E-2</v>
      </c>
      <c r="M16" s="10">
        <f t="shared" si="5"/>
        <v>0.17293233082706766</v>
      </c>
      <c r="N16" s="10">
        <f t="shared" si="6"/>
        <v>0.12540192926045016</v>
      </c>
      <c r="O16" s="10">
        <f t="shared" si="7"/>
        <v>0.1449814126394052</v>
      </c>
      <c r="P16" s="10">
        <f t="shared" si="8"/>
        <v>0.15789473684210525</v>
      </c>
    </row>
    <row r="17" spans="1:16" x14ac:dyDescent="0.3">
      <c r="A17" s="10" t="s">
        <v>93</v>
      </c>
      <c r="B17" s="17">
        <v>1.7871730562522392E-2</v>
      </c>
      <c r="C17" s="17">
        <v>6.8027210884353739E-3</v>
      </c>
      <c r="D17" s="17">
        <v>1.8072289156626505E-2</v>
      </c>
      <c r="E17" s="17">
        <v>1.5037593984962405E-2</v>
      </c>
      <c r="F17" s="17">
        <v>6.4308681672025723E-3</v>
      </c>
      <c r="G17" s="17">
        <v>1.4869888475836431E-2</v>
      </c>
      <c r="H17" s="17">
        <v>1.7543859649122806E-2</v>
      </c>
      <c r="I17" s="10">
        <v>0.15558939448226441</v>
      </c>
      <c r="J17" s="10">
        <f t="shared" si="2"/>
        <v>0.15558939448226441</v>
      </c>
      <c r="K17" s="10">
        <f t="shared" si="3"/>
        <v>0.13605442176870747</v>
      </c>
      <c r="L17" s="10">
        <f t="shared" si="4"/>
        <v>0.10240963855421688</v>
      </c>
      <c r="M17" s="10">
        <f t="shared" si="5"/>
        <v>0.18796992481203006</v>
      </c>
      <c r="N17" s="10">
        <f t="shared" si="6"/>
        <v>0.13183279742765272</v>
      </c>
      <c r="O17" s="10">
        <f t="shared" si="7"/>
        <v>0.15985130111524162</v>
      </c>
      <c r="P17" s="10">
        <f t="shared" si="8"/>
        <v>0.17543859649122806</v>
      </c>
    </row>
    <row r="18" spans="1:16" x14ac:dyDescent="0.3">
      <c r="A18" s="10" t="s">
        <v>92</v>
      </c>
      <c r="B18" s="17">
        <v>1.8194195628806878E-2</v>
      </c>
      <c r="C18" s="17">
        <v>6.8027210884353739E-3</v>
      </c>
      <c r="D18" s="17">
        <v>1.2048192771084338E-2</v>
      </c>
      <c r="E18" s="17">
        <v>2.2556390977443608E-2</v>
      </c>
      <c r="F18" s="17">
        <v>9.6463022508038593E-3</v>
      </c>
      <c r="G18" s="17">
        <v>1.4869888475836431E-2</v>
      </c>
      <c r="H18" s="17">
        <v>0</v>
      </c>
      <c r="I18" s="10">
        <v>0.17378359011107131</v>
      </c>
      <c r="J18" s="10">
        <f t="shared" si="2"/>
        <v>0.17378359011107131</v>
      </c>
      <c r="K18" s="10">
        <f t="shared" si="3"/>
        <v>0.14285714285714285</v>
      </c>
      <c r="L18" s="10">
        <f t="shared" si="4"/>
        <v>0.11445783132530121</v>
      </c>
      <c r="M18" s="10">
        <f t="shared" si="5"/>
        <v>0.21052631578947367</v>
      </c>
      <c r="N18" s="10">
        <f t="shared" si="6"/>
        <v>0.14147909967845657</v>
      </c>
      <c r="O18" s="10">
        <f t="shared" si="7"/>
        <v>0.17472118959107805</v>
      </c>
      <c r="P18" s="10">
        <f t="shared" si="8"/>
        <v>0.17543859649122806</v>
      </c>
    </row>
    <row r="19" spans="1:16" x14ac:dyDescent="0.3">
      <c r="A19" s="10" t="s">
        <v>77</v>
      </c>
      <c r="B19" s="17">
        <v>1.8858831959871016E-2</v>
      </c>
      <c r="C19" s="17">
        <v>3.4013605442176869E-3</v>
      </c>
      <c r="D19" s="17">
        <v>6.024096385542169E-3</v>
      </c>
      <c r="E19" s="17">
        <v>0</v>
      </c>
      <c r="F19" s="17">
        <v>1.9292604501607719E-2</v>
      </c>
      <c r="G19" s="17">
        <v>1.1152416356877323E-2</v>
      </c>
      <c r="H19" s="17">
        <v>8.771929824561403E-3</v>
      </c>
      <c r="I19" s="10">
        <v>0.19264242207094232</v>
      </c>
      <c r="J19" s="10">
        <f t="shared" si="2"/>
        <v>0.19264242207094232</v>
      </c>
      <c r="K19" s="10">
        <f t="shared" si="3"/>
        <v>0.14625850340136054</v>
      </c>
      <c r="L19" s="10">
        <f t="shared" si="4"/>
        <v>0.12048192771084339</v>
      </c>
      <c r="M19" s="10">
        <f t="shared" si="5"/>
        <v>0.21052631578947367</v>
      </c>
      <c r="N19" s="10">
        <f t="shared" si="6"/>
        <v>0.16077170418006428</v>
      </c>
      <c r="O19" s="10">
        <f t="shared" si="7"/>
        <v>0.18587360594795538</v>
      </c>
      <c r="P19" s="10">
        <f t="shared" si="8"/>
        <v>0.18421052631578946</v>
      </c>
    </row>
    <row r="20" spans="1:16" x14ac:dyDescent="0.3">
      <c r="A20" s="10" t="s">
        <v>79</v>
      </c>
      <c r="B20" s="17">
        <v>1.9673951988534576E-2</v>
      </c>
      <c r="C20" s="17">
        <v>4.0816326530612242E-2</v>
      </c>
      <c r="D20" s="17">
        <v>2.4096385542168676E-2</v>
      </c>
      <c r="E20" s="17">
        <v>1.5037593984962405E-2</v>
      </c>
      <c r="F20" s="17">
        <v>1.9292604501607719E-2</v>
      </c>
      <c r="G20" s="17">
        <v>1.4869888475836431E-2</v>
      </c>
      <c r="H20" s="17">
        <v>1.7543859649122806E-2</v>
      </c>
      <c r="I20" s="10">
        <v>0.2123163740594769</v>
      </c>
      <c r="J20" s="10">
        <f t="shared" si="2"/>
        <v>0.2123163740594769</v>
      </c>
      <c r="K20" s="10">
        <f t="shared" si="3"/>
        <v>0.18707482993197277</v>
      </c>
      <c r="L20" s="10">
        <f t="shared" si="4"/>
        <v>0.14457831325301207</v>
      </c>
      <c r="M20" s="10">
        <f t="shared" si="5"/>
        <v>0.22556390977443608</v>
      </c>
      <c r="N20" s="10">
        <f t="shared" si="6"/>
        <v>0.180064308681672</v>
      </c>
      <c r="O20" s="10">
        <f t="shared" si="7"/>
        <v>0.2007434944237918</v>
      </c>
      <c r="P20" s="10">
        <f t="shared" si="8"/>
        <v>0.20175438596491227</v>
      </c>
    </row>
    <row r="21" spans="1:16" x14ac:dyDescent="0.3">
      <c r="A21" s="10" t="s">
        <v>88</v>
      </c>
      <c r="B21" s="17">
        <v>2.0451451092798282E-2</v>
      </c>
      <c r="C21" s="17">
        <v>0</v>
      </c>
      <c r="D21" s="17">
        <v>6.024096385542169E-3</v>
      </c>
      <c r="E21" s="17">
        <v>7.5187969924812026E-3</v>
      </c>
      <c r="F21" s="17">
        <v>6.4308681672025723E-3</v>
      </c>
      <c r="G21" s="17">
        <v>1.1152416356877323E-2</v>
      </c>
      <c r="H21" s="17">
        <v>4.3859649122807015E-3</v>
      </c>
      <c r="I21" s="10">
        <v>0.23276782515227518</v>
      </c>
      <c r="J21" s="10">
        <f t="shared" si="2"/>
        <v>0.23276782515227518</v>
      </c>
      <c r="K21" s="10">
        <f t="shared" si="3"/>
        <v>0.18707482993197277</v>
      </c>
      <c r="L21" s="10">
        <f t="shared" si="4"/>
        <v>0.15060240963855423</v>
      </c>
      <c r="M21" s="10">
        <f t="shared" si="5"/>
        <v>0.23308270676691728</v>
      </c>
      <c r="N21" s="10">
        <f t="shared" si="6"/>
        <v>0.18649517684887457</v>
      </c>
      <c r="O21" s="10">
        <f t="shared" si="7"/>
        <v>0.21189591078066913</v>
      </c>
      <c r="P21" s="10">
        <f t="shared" si="8"/>
        <v>0.20614035087719296</v>
      </c>
    </row>
    <row r="22" spans="1:16" x14ac:dyDescent="0.3">
      <c r="A22" s="10" t="s">
        <v>80</v>
      </c>
      <c r="B22" s="17">
        <v>2.0797205302758869E-2</v>
      </c>
      <c r="C22" s="17">
        <v>2.0408163265306121E-2</v>
      </c>
      <c r="D22" s="17">
        <v>6.024096385542169E-3</v>
      </c>
      <c r="E22" s="17">
        <v>3.007518796992481E-2</v>
      </c>
      <c r="F22" s="17">
        <v>1.9292604501607719E-2</v>
      </c>
      <c r="G22" s="17">
        <v>1.4869888475836431E-2</v>
      </c>
      <c r="H22" s="17">
        <v>2.1929824561403508E-2</v>
      </c>
      <c r="I22" s="10">
        <v>0.25356503045503404</v>
      </c>
      <c r="J22" s="10">
        <f t="shared" si="2"/>
        <v>0.25356503045503404</v>
      </c>
      <c r="K22" s="10">
        <f t="shared" si="3"/>
        <v>0.20748299319727889</v>
      </c>
      <c r="L22" s="10">
        <f t="shared" si="4"/>
        <v>0.15662650602409639</v>
      </c>
      <c r="M22" s="10">
        <f t="shared" si="5"/>
        <v>0.26315789473684209</v>
      </c>
      <c r="N22" s="10">
        <f t="shared" si="6"/>
        <v>0.20578778135048229</v>
      </c>
      <c r="O22" s="10">
        <f t="shared" si="7"/>
        <v>0.22676579925650556</v>
      </c>
      <c r="P22" s="10">
        <f t="shared" si="8"/>
        <v>0.22807017543859648</v>
      </c>
    </row>
    <row r="23" spans="1:16" x14ac:dyDescent="0.3">
      <c r="A23" s="10" t="s">
        <v>84</v>
      </c>
      <c r="B23" s="17">
        <v>2.1232533142242924E-2</v>
      </c>
      <c r="C23" s="17">
        <v>1.7006802721088437E-2</v>
      </c>
      <c r="D23" s="17">
        <v>6.024096385542169E-3</v>
      </c>
      <c r="E23" s="17">
        <v>7.5187969924812026E-3</v>
      </c>
      <c r="F23" s="17">
        <v>0</v>
      </c>
      <c r="G23" s="17">
        <v>2.2304832713754646E-2</v>
      </c>
      <c r="H23" s="17">
        <v>1.3157894736842105E-2</v>
      </c>
      <c r="I23" s="10">
        <v>0.27479756359727697</v>
      </c>
      <c r="J23" s="10">
        <f t="shared" si="2"/>
        <v>0.27479756359727697</v>
      </c>
      <c r="K23" s="10">
        <f t="shared" si="3"/>
        <v>0.22448979591836732</v>
      </c>
      <c r="L23" s="10">
        <f t="shared" si="4"/>
        <v>0.16265060240963855</v>
      </c>
      <c r="M23" s="10">
        <f t="shared" si="5"/>
        <v>0.27067669172932329</v>
      </c>
      <c r="N23" s="10">
        <f t="shared" si="6"/>
        <v>0.20578778135048229</v>
      </c>
      <c r="O23" s="10">
        <f t="shared" si="7"/>
        <v>0.24907063197026019</v>
      </c>
      <c r="P23" s="10">
        <f t="shared" si="8"/>
        <v>0.24122807017543857</v>
      </c>
    </row>
    <row r="24" spans="1:16" x14ac:dyDescent="0.3">
      <c r="A24" s="10" t="s">
        <v>85</v>
      </c>
      <c r="B24" s="17">
        <v>2.1872088857040489E-2</v>
      </c>
      <c r="C24" s="17">
        <v>2.7210884353741496E-2</v>
      </c>
      <c r="D24" s="17">
        <v>1.8072289156626505E-2</v>
      </c>
      <c r="E24" s="17">
        <v>1.5037593984962405E-2</v>
      </c>
      <c r="F24" s="17">
        <v>6.4308681672025723E-3</v>
      </c>
      <c r="G24" s="17">
        <v>1.1152416356877323E-2</v>
      </c>
      <c r="H24" s="17">
        <v>2.1929824561403508E-2</v>
      </c>
      <c r="I24" s="10">
        <v>0.29666965245431748</v>
      </c>
      <c r="J24" s="10">
        <f t="shared" si="2"/>
        <v>0.29666965245431748</v>
      </c>
      <c r="K24" s="10">
        <f t="shared" si="3"/>
        <v>0.25170068027210879</v>
      </c>
      <c r="L24" s="10">
        <f t="shared" si="4"/>
        <v>0.18072289156626506</v>
      </c>
      <c r="M24" s="10">
        <f t="shared" si="5"/>
        <v>0.2857142857142857</v>
      </c>
      <c r="N24" s="10">
        <f t="shared" si="6"/>
        <v>0.21221864951768485</v>
      </c>
      <c r="O24" s="10">
        <f t="shared" si="7"/>
        <v>0.2602230483271375</v>
      </c>
      <c r="P24" s="10">
        <f t="shared" si="8"/>
        <v>0.26315789473684209</v>
      </c>
    </row>
    <row r="25" spans="1:16" x14ac:dyDescent="0.3">
      <c r="A25" s="10" t="s">
        <v>78</v>
      </c>
      <c r="B25" s="17">
        <v>3.5487280544607668E-2</v>
      </c>
      <c r="C25" s="17">
        <v>1.7006802721088437E-2</v>
      </c>
      <c r="D25" s="17">
        <v>3.0120481927710843E-2</v>
      </c>
      <c r="E25" s="17">
        <v>1.5037593984962405E-2</v>
      </c>
      <c r="F25" s="17">
        <v>1.607717041800643E-2</v>
      </c>
      <c r="G25" s="17">
        <v>2.2304832713754646E-2</v>
      </c>
      <c r="H25" s="17">
        <v>1.7543859649122806E-2</v>
      </c>
      <c r="I25" s="10">
        <v>0.33215693299892513</v>
      </c>
      <c r="J25" s="10">
        <f t="shared" si="2"/>
        <v>0.33215693299892513</v>
      </c>
      <c r="K25" s="10">
        <f t="shared" si="3"/>
        <v>0.26870748299319724</v>
      </c>
      <c r="L25" s="10">
        <f t="shared" si="4"/>
        <v>0.21084337349397592</v>
      </c>
      <c r="M25" s="10">
        <f t="shared" si="5"/>
        <v>0.3007518796992481</v>
      </c>
      <c r="N25" s="10">
        <f t="shared" si="6"/>
        <v>0.22829581993569129</v>
      </c>
      <c r="O25" s="10">
        <f t="shared" si="7"/>
        <v>0.28252788104089216</v>
      </c>
      <c r="P25" s="10">
        <f t="shared" si="8"/>
        <v>0.2807017543859649</v>
      </c>
    </row>
    <row r="26" spans="1:16" x14ac:dyDescent="0.3">
      <c r="A26" s="10" t="s">
        <v>81</v>
      </c>
      <c r="B26" s="17">
        <v>3.9109638122536726E-2</v>
      </c>
      <c r="C26" s="17">
        <v>2.3809523809523808E-2</v>
      </c>
      <c r="D26" s="17">
        <v>0.10240963855421686</v>
      </c>
      <c r="E26" s="17">
        <v>9.7744360902255634E-2</v>
      </c>
      <c r="F26" s="17">
        <v>3.8585209003215437E-2</v>
      </c>
      <c r="G26" s="17">
        <v>4.4609665427509292E-2</v>
      </c>
      <c r="H26" s="17">
        <v>6.5789473684210523E-2</v>
      </c>
      <c r="I26" s="10">
        <v>0.37126657112146183</v>
      </c>
      <c r="J26" s="10">
        <f t="shared" si="2"/>
        <v>0.37126657112146183</v>
      </c>
      <c r="K26" s="10">
        <f t="shared" si="3"/>
        <v>0.29251700680272108</v>
      </c>
      <c r="L26" s="10">
        <f t="shared" si="4"/>
        <v>0.31325301204819278</v>
      </c>
      <c r="M26" s="10">
        <f t="shared" si="5"/>
        <v>0.39849624060150374</v>
      </c>
      <c r="N26" s="10">
        <f t="shared" si="6"/>
        <v>0.26688102893890675</v>
      </c>
      <c r="O26" s="10">
        <f t="shared" si="7"/>
        <v>0.32713754646840143</v>
      </c>
      <c r="P26" s="10">
        <f t="shared" si="8"/>
        <v>0.34649122807017541</v>
      </c>
    </row>
    <row r="27" spans="1:16" x14ac:dyDescent="0.3">
      <c r="A27" s="10" t="s">
        <v>95</v>
      </c>
      <c r="B27" s="17">
        <v>4.3437835901110715E-2</v>
      </c>
      <c r="C27" s="17">
        <v>0.11224489795918367</v>
      </c>
      <c r="D27" s="17">
        <v>8.4337349397590355E-2</v>
      </c>
      <c r="E27" s="17">
        <v>6.7669172932330823E-2</v>
      </c>
      <c r="F27" s="17">
        <v>4.8231511254019289E-2</v>
      </c>
      <c r="G27" s="17">
        <v>6.3197026022304828E-2</v>
      </c>
      <c r="H27" s="17">
        <v>5.2631578947368418E-2</v>
      </c>
      <c r="I27" s="10">
        <v>0.41470440702257255</v>
      </c>
      <c r="J27" s="10">
        <f t="shared" si="2"/>
        <v>0.41470440702257255</v>
      </c>
      <c r="K27" s="10">
        <f t="shared" si="3"/>
        <v>0.40476190476190477</v>
      </c>
      <c r="L27" s="10">
        <f t="shared" si="4"/>
        <v>0.39759036144578314</v>
      </c>
      <c r="M27" s="10">
        <f t="shared" si="5"/>
        <v>0.46616541353383456</v>
      </c>
      <c r="N27" s="10">
        <f t="shared" si="6"/>
        <v>0.31511254019292606</v>
      </c>
      <c r="O27" s="10">
        <f t="shared" si="7"/>
        <v>0.39033457249070624</v>
      </c>
      <c r="P27" s="10">
        <f t="shared" si="8"/>
        <v>0.39912280701754382</v>
      </c>
    </row>
    <row r="28" spans="1:16" x14ac:dyDescent="0.3">
      <c r="A28" s="10" t="s">
        <v>94</v>
      </c>
      <c r="B28" s="17">
        <v>4.7542099605876027E-2</v>
      </c>
      <c r="C28" s="17">
        <v>6.4625850340136057E-2</v>
      </c>
      <c r="D28" s="17">
        <v>0.15662650602409639</v>
      </c>
      <c r="E28" s="17">
        <v>0.18045112781954886</v>
      </c>
      <c r="F28" s="17">
        <v>0.18006430868167203</v>
      </c>
      <c r="G28" s="17">
        <v>0.13011152416356878</v>
      </c>
      <c r="H28" s="17">
        <v>7.4561403508771926E-2</v>
      </c>
      <c r="I28" s="10">
        <v>0.46224650662844857</v>
      </c>
      <c r="J28" s="10">
        <f t="shared" si="2"/>
        <v>0.46224650662844857</v>
      </c>
      <c r="K28" s="10">
        <f t="shared" si="3"/>
        <v>0.46938775510204084</v>
      </c>
      <c r="L28" s="10">
        <f t="shared" si="4"/>
        <v>0.55421686746987953</v>
      </c>
      <c r="M28" s="10">
        <f t="shared" si="5"/>
        <v>0.64661654135338342</v>
      </c>
      <c r="N28" s="10">
        <f t="shared" si="6"/>
        <v>0.49517684887459812</v>
      </c>
      <c r="O28" s="10">
        <f t="shared" si="7"/>
        <v>0.52044609665427499</v>
      </c>
      <c r="P28" s="10">
        <f t="shared" si="8"/>
        <v>0.47368421052631576</v>
      </c>
    </row>
    <row r="29" spans="1:16" x14ac:dyDescent="0.3">
      <c r="A29" s="10" t="s">
        <v>82</v>
      </c>
      <c r="B29" s="17">
        <v>5.386599785023289E-2</v>
      </c>
      <c r="C29" s="17">
        <v>5.7823129251700682E-2</v>
      </c>
      <c r="D29" s="17">
        <v>4.8192771084337352E-2</v>
      </c>
      <c r="E29" s="17">
        <v>2.2556390977443608E-2</v>
      </c>
      <c r="F29" s="17">
        <v>3.5369774919614148E-2</v>
      </c>
      <c r="G29" s="17">
        <v>7.4349442379182153E-3</v>
      </c>
      <c r="H29" s="17">
        <v>3.5087719298245612E-2</v>
      </c>
      <c r="I29" s="10">
        <v>0.51611250447868151</v>
      </c>
      <c r="J29" s="10">
        <f t="shared" si="2"/>
        <v>0.51611250447868151</v>
      </c>
      <c r="K29" s="10">
        <f t="shared" si="3"/>
        <v>0.52721088435374153</v>
      </c>
      <c r="L29" s="10">
        <f t="shared" si="4"/>
        <v>0.60240963855421692</v>
      </c>
      <c r="M29" s="10">
        <f t="shared" si="5"/>
        <v>0.66917293233082709</v>
      </c>
      <c r="N29" s="10">
        <f t="shared" si="6"/>
        <v>0.53054662379421225</v>
      </c>
      <c r="O29" s="10">
        <f t="shared" si="7"/>
        <v>0.52788104089219323</v>
      </c>
      <c r="P29" s="10">
        <f t="shared" si="8"/>
        <v>0.50877192982456143</v>
      </c>
    </row>
    <row r="30" spans="1:16" x14ac:dyDescent="0.3">
      <c r="A30" s="10" t="s">
        <v>98</v>
      </c>
      <c r="B30" s="17">
        <v>6.0798996775349334E-2</v>
      </c>
      <c r="C30" s="17">
        <v>9.1836734693877556E-2</v>
      </c>
      <c r="D30" s="17">
        <v>7.8313253012048195E-2</v>
      </c>
      <c r="E30" s="17">
        <v>9.0225563909774431E-2</v>
      </c>
      <c r="F30" s="17">
        <v>9.9678456591639875E-2</v>
      </c>
      <c r="G30" s="17">
        <v>0.13754646840148699</v>
      </c>
      <c r="H30" s="17">
        <v>6.1403508771929821E-2</v>
      </c>
      <c r="I30" s="10">
        <v>0.5769115012540309</v>
      </c>
      <c r="J30" s="10">
        <f t="shared" si="2"/>
        <v>0.5769115012540309</v>
      </c>
      <c r="K30" s="10">
        <f t="shared" si="3"/>
        <v>0.61904761904761907</v>
      </c>
      <c r="L30" s="10">
        <f t="shared" si="4"/>
        <v>0.68072289156626509</v>
      </c>
      <c r="M30" s="10">
        <f t="shared" si="5"/>
        <v>0.75939849624060152</v>
      </c>
      <c r="N30" s="10">
        <f t="shared" si="6"/>
        <v>0.63022508038585212</v>
      </c>
      <c r="O30" s="10">
        <f t="shared" si="7"/>
        <v>0.66542750929368022</v>
      </c>
      <c r="P30" s="10">
        <f t="shared" si="8"/>
        <v>0.57017543859649122</v>
      </c>
    </row>
    <row r="31" spans="1:16" x14ac:dyDescent="0.3">
      <c r="A31" s="10" t="s">
        <v>89</v>
      </c>
      <c r="B31" s="17">
        <v>6.744715155858115E-2</v>
      </c>
      <c r="C31" s="17">
        <v>1.3605442176870748E-2</v>
      </c>
      <c r="D31" s="17">
        <v>2.4096385542168676E-2</v>
      </c>
      <c r="E31" s="17">
        <v>1.5037593984962405E-2</v>
      </c>
      <c r="F31" s="17">
        <v>2.8938906752411574E-2</v>
      </c>
      <c r="G31" s="17">
        <v>2.6022304832713755E-2</v>
      </c>
      <c r="H31" s="17">
        <v>6.1403508771929821E-2</v>
      </c>
      <c r="I31" s="10">
        <v>0.64435865281261206</v>
      </c>
      <c r="J31" s="10">
        <f t="shared" si="2"/>
        <v>0.64435865281261206</v>
      </c>
      <c r="K31" s="10">
        <f t="shared" si="3"/>
        <v>0.63265306122448983</v>
      </c>
      <c r="L31" s="10">
        <f t="shared" si="4"/>
        <v>0.70481927710843373</v>
      </c>
      <c r="M31" s="10">
        <f t="shared" si="5"/>
        <v>0.77443609022556392</v>
      </c>
      <c r="N31" s="10">
        <f t="shared" si="6"/>
        <v>0.65916398713826374</v>
      </c>
      <c r="O31" s="10">
        <f t="shared" si="7"/>
        <v>0.69144981412639395</v>
      </c>
      <c r="P31" s="10">
        <f t="shared" si="8"/>
        <v>0.63157894736842102</v>
      </c>
    </row>
    <row r="32" spans="1:16" x14ac:dyDescent="0.3">
      <c r="A32" s="10" t="s">
        <v>99</v>
      </c>
      <c r="B32" s="17">
        <v>7.9229666786098177E-2</v>
      </c>
      <c r="C32" s="17">
        <v>0.18027210884353742</v>
      </c>
      <c r="D32" s="17">
        <v>0.1144578313253012</v>
      </c>
      <c r="E32" s="17">
        <v>0.11278195488721804</v>
      </c>
      <c r="F32" s="17">
        <v>0.17684887459807075</v>
      </c>
      <c r="G32" s="17">
        <v>7.434944237918216E-2</v>
      </c>
      <c r="H32" s="17">
        <v>7.8947368421052627E-2</v>
      </c>
      <c r="I32" s="10">
        <v>0.72358831959871028</v>
      </c>
      <c r="J32" s="10">
        <f t="shared" si="2"/>
        <v>0.72358831959871028</v>
      </c>
      <c r="K32" s="10">
        <f t="shared" si="3"/>
        <v>0.81292517006802723</v>
      </c>
      <c r="L32" s="10">
        <f t="shared" si="4"/>
        <v>0.81927710843373491</v>
      </c>
      <c r="M32" s="10">
        <f t="shared" si="5"/>
        <v>0.88721804511278202</v>
      </c>
      <c r="N32" s="10">
        <f t="shared" si="6"/>
        <v>0.83601286173633449</v>
      </c>
      <c r="O32" s="10">
        <f t="shared" si="7"/>
        <v>0.76579925650557612</v>
      </c>
      <c r="P32" s="10">
        <f t="shared" si="8"/>
        <v>0.71052631578947367</v>
      </c>
    </row>
    <row r="33" spans="1:16" x14ac:dyDescent="0.3">
      <c r="A33" s="10" t="s">
        <v>76</v>
      </c>
      <c r="B33" s="17">
        <v>0.27641168040128988</v>
      </c>
      <c r="C33" s="17">
        <v>0.1870748299319728</v>
      </c>
      <c r="D33" s="17">
        <v>0.18072289156626506</v>
      </c>
      <c r="E33" s="17">
        <v>0.11278195488721804</v>
      </c>
      <c r="F33" s="17">
        <v>0.16398713826366559</v>
      </c>
      <c r="G33" s="17">
        <v>0.2342007434944238</v>
      </c>
      <c r="H33" s="17">
        <v>0.28947368421052633</v>
      </c>
      <c r="I33" s="10">
        <v>1.0000000000000002</v>
      </c>
      <c r="J33" s="10">
        <f t="shared" si="2"/>
        <v>1.0000000000000002</v>
      </c>
      <c r="K33" s="10">
        <f t="shared" si="3"/>
        <v>1</v>
      </c>
      <c r="L33" s="10">
        <f t="shared" si="4"/>
        <v>1</v>
      </c>
      <c r="M33" s="10">
        <f t="shared" si="5"/>
        <v>1</v>
      </c>
      <c r="N33" s="10">
        <f t="shared" si="6"/>
        <v>1</v>
      </c>
      <c r="O33" s="10">
        <f t="shared" si="7"/>
        <v>0.99999999999999989</v>
      </c>
      <c r="P33" s="10">
        <f t="shared" si="8"/>
        <v>1</v>
      </c>
    </row>
    <row r="34" spans="1:16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ht="28.8" x14ac:dyDescent="0.3">
      <c r="B35" s="1" t="s">
        <v>154</v>
      </c>
      <c r="C35" s="3" t="s">
        <v>162</v>
      </c>
      <c r="D35" s="3" t="s">
        <v>163</v>
      </c>
      <c r="E35" s="3" t="s">
        <v>164</v>
      </c>
      <c r="F35" s="3" t="s">
        <v>165</v>
      </c>
      <c r="G35" s="3" t="s">
        <v>166</v>
      </c>
      <c r="H35" s="3" t="s">
        <v>167</v>
      </c>
      <c r="J35" s="8"/>
      <c r="K35" s="11" t="s">
        <v>168</v>
      </c>
      <c r="L35" s="11" t="s">
        <v>169</v>
      </c>
      <c r="M35" s="11" t="s">
        <v>170</v>
      </c>
      <c r="N35" s="11" t="s">
        <v>171</v>
      </c>
      <c r="O35" s="11" t="s">
        <v>172</v>
      </c>
      <c r="P35" s="11" t="s">
        <v>173</v>
      </c>
    </row>
    <row r="36" spans="1:16" x14ac:dyDescent="0.3">
      <c r="B36" s="10" t="s">
        <v>103</v>
      </c>
      <c r="C36" s="10">
        <f>C2-B2</f>
        <v>-2.5474740236474383E-3</v>
      </c>
      <c r="D36" s="10">
        <f>D2-B2</f>
        <v>-2.5474740236474383E-3</v>
      </c>
      <c r="E36" s="10">
        <f>E2-B2</f>
        <v>-2.5474740236474383E-3</v>
      </c>
      <c r="F36" s="10">
        <f>F2-B2</f>
        <v>-2.5474740236474383E-3</v>
      </c>
      <c r="G36" s="10">
        <f>G2-B2</f>
        <v>1.2322414452188991E-2</v>
      </c>
      <c r="H36" s="10">
        <f>H2-B2</f>
        <v>6.2244558009139648E-3</v>
      </c>
      <c r="J36" s="10" t="s">
        <v>103</v>
      </c>
      <c r="K36" s="8">
        <f>(J2-0) * ((K2+0))</f>
        <v>0</v>
      </c>
      <c r="L36" s="8">
        <f>(J2-0) * ((L2+0))</f>
        <v>0</v>
      </c>
      <c r="M36" s="8">
        <f>(J2-0) * ((M2+0))</f>
        <v>0</v>
      </c>
      <c r="N36" s="8">
        <f>(J2-0) * ((N2+0))</f>
        <v>0</v>
      </c>
      <c r="O36" s="8">
        <f>(J2-0) * ((O2+0))</f>
        <v>3.7880654626727706E-5</v>
      </c>
      <c r="P36" s="8">
        <f>(J2-0) * ((P2+0))</f>
        <v>2.2346263365328405E-5</v>
      </c>
    </row>
    <row r="37" spans="1:16" x14ac:dyDescent="0.3">
      <c r="B37" s="10" t="s">
        <v>100</v>
      </c>
      <c r="C37" s="10">
        <f t="shared" ref="C37:C67" si="9">C3-B3</f>
        <v>-1.5126487714397833E-3</v>
      </c>
      <c r="D37" s="10">
        <f t="shared" ref="D37:D67" si="10">D3-B3</f>
        <v>1.1100870698846988E-3</v>
      </c>
      <c r="E37" s="10">
        <f t="shared" ref="E37:E67" si="11">E3-B3</f>
        <v>-4.9140093156574702E-3</v>
      </c>
      <c r="F37" s="10">
        <f t="shared" ref="F37:F67" si="12">F3-B3</f>
        <v>7.9477270187476752E-3</v>
      </c>
      <c r="G37" s="10">
        <f t="shared" ref="G37:G67" si="13">G3-B3</f>
        <v>6.2384070412198527E-3</v>
      </c>
      <c r="H37" s="10">
        <f t="shared" ref="H37:H67" si="14">H3-B3</f>
        <v>-4.9140093156574702E-3</v>
      </c>
      <c r="J37" s="10" t="s">
        <v>100</v>
      </c>
      <c r="K37" s="8">
        <f>(J3-J2) * ((K3+K2))</f>
        <v>1.6714317400195475E-5</v>
      </c>
      <c r="L37" s="8">
        <f>(J3-J2) * ((L3+L2))</f>
        <v>2.9602465756972712E-5</v>
      </c>
      <c r="M37" s="8">
        <f>(J3-J2) * ((M3+M2))</f>
        <v>0</v>
      </c>
      <c r="N37" s="8">
        <f>(J3-J2) * ((N3+N2))</f>
        <v>6.3202692162797044E-5</v>
      </c>
      <c r="O37" s="8">
        <f>(J3-J2) * ((O3+O2))</f>
        <v>2.0094461885588168E-4</v>
      </c>
      <c r="P37" s="8">
        <f>(J3-J2) * ((P3+P2))</f>
        <v>8.6210689748376663E-5</v>
      </c>
    </row>
    <row r="38" spans="1:16" x14ac:dyDescent="0.3">
      <c r="B38" s="10" t="s">
        <v>86</v>
      </c>
      <c r="C38" s="10">
        <f t="shared" si="9"/>
        <v>3.6025051367734474E-3</v>
      </c>
      <c r="D38" s="10">
        <f t="shared" si="10"/>
        <v>-6.601576495879613E-3</v>
      </c>
      <c r="E38" s="10">
        <f t="shared" si="11"/>
        <v>9.1722049660158955E-4</v>
      </c>
      <c r="F38" s="10">
        <f t="shared" si="12"/>
        <v>6.2601598385255315E-3</v>
      </c>
      <c r="G38" s="10">
        <f t="shared" si="13"/>
        <v>-2.8841043769205054E-3</v>
      </c>
      <c r="H38" s="10">
        <f t="shared" si="14"/>
        <v>-2.2156115835989115E-3</v>
      </c>
      <c r="J38" s="10" t="s">
        <v>86</v>
      </c>
      <c r="K38" s="8">
        <f t="shared" ref="K38:K67" si="15">(J4-J3) * ((K4+K3))</f>
        <v>1.1227170911359885E-4</v>
      </c>
      <c r="L38" s="8">
        <f t="shared" ref="L38:L67" si="16">(J4-J3) * ((L4+L3))</f>
        <v>7.9537066215417028E-5</v>
      </c>
      <c r="M38" s="8">
        <f t="shared" ref="M38:M67" si="17">(J4-J3) * ((M4+M3))</f>
        <v>4.9635913502854234E-5</v>
      </c>
      <c r="N38" s="8">
        <f t="shared" ref="N38:N67" si="18">(J4-J3) * ((N4+N3))</f>
        <v>2.5472320884422945E-4</v>
      </c>
      <c r="O38" s="8">
        <f t="shared" ref="O38:O67" si="19">(J4-J3) * ((O4+O3))</f>
        <v>3.681176484691234E-4</v>
      </c>
      <c r="P38" s="8">
        <f t="shared" ref="P38:P67" si="20">(J4-J3) * ((P4+P3))</f>
        <v>1.4477141438332483E-4</v>
      </c>
    </row>
    <row r="39" spans="1:16" x14ac:dyDescent="0.3">
      <c r="B39" s="10" t="s">
        <v>105</v>
      </c>
      <c r="C39" s="10">
        <f t="shared" si="9"/>
        <v>-3.9741321107446929E-3</v>
      </c>
      <c r="D39" s="10">
        <f t="shared" si="10"/>
        <v>-1.3513962694202105E-3</v>
      </c>
      <c r="E39" s="10">
        <f t="shared" si="11"/>
        <v>1.5180898322481227E-2</v>
      </c>
      <c r="F39" s="10">
        <f t="shared" si="12"/>
        <v>-9.4462448775980718E-4</v>
      </c>
      <c r="G39" s="10">
        <f t="shared" si="13"/>
        <v>-3.6580205360032718E-3</v>
      </c>
      <c r="H39" s="10">
        <f t="shared" si="14"/>
        <v>1.3964371695990236E-3</v>
      </c>
      <c r="J39" s="10" t="s">
        <v>105</v>
      </c>
      <c r="K39" s="8">
        <f t="shared" si="15"/>
        <v>2.2578038739680755E-4</v>
      </c>
      <c r="L39" s="8">
        <f t="shared" si="16"/>
        <v>1.3329203593305509E-4</v>
      </c>
      <c r="M39" s="8">
        <f t="shared" si="17"/>
        <v>2.7727415996099171E-4</v>
      </c>
      <c r="N39" s="8">
        <f t="shared" si="18"/>
        <v>4.268773883901056E-4</v>
      </c>
      <c r="O39" s="8">
        <f t="shared" si="19"/>
        <v>4.6610920124297566E-4</v>
      </c>
      <c r="P39" s="8">
        <f t="shared" si="20"/>
        <v>2.5878921596359227E-4</v>
      </c>
    </row>
    <row r="40" spans="1:16" x14ac:dyDescent="0.3">
      <c r="B40" s="10" t="s">
        <v>97</v>
      </c>
      <c r="C40" s="10">
        <f t="shared" si="9"/>
        <v>1.5341232874375115E-2</v>
      </c>
      <c r="D40" s="10">
        <f t="shared" si="10"/>
        <v>3.5799018359356453E-3</v>
      </c>
      <c r="E40" s="10">
        <f t="shared" si="11"/>
        <v>2.1606897034776119E-2</v>
      </c>
      <c r="F40" s="10">
        <f t="shared" si="12"/>
        <v>1.1780113156551666E-3</v>
      </c>
      <c r="G40" s="10">
        <f t="shared" si="13"/>
        <v>1.0119069659646847E-2</v>
      </c>
      <c r="H40" s="10">
        <f t="shared" si="14"/>
        <v>3.0363888941271032E-4</v>
      </c>
      <c r="J40" s="10" t="s">
        <v>97</v>
      </c>
      <c r="K40" s="8">
        <f t="shared" si="15"/>
        <v>4.8966308128410791E-4</v>
      </c>
      <c r="L40" s="8">
        <f t="shared" si="16"/>
        <v>3.0608280488489252E-4</v>
      </c>
      <c r="M40" s="8">
        <f t="shared" si="17"/>
        <v>7.6405632497582169E-4</v>
      </c>
      <c r="N40" s="8">
        <f t="shared" si="18"/>
        <v>6.2627231996276493E-4</v>
      </c>
      <c r="O40" s="8">
        <f t="shared" si="19"/>
        <v>7.2405461527293635E-4</v>
      </c>
      <c r="P40" s="8">
        <f t="shared" si="20"/>
        <v>4.4569952290256264E-4</v>
      </c>
    </row>
    <row r="41" spans="1:16" x14ac:dyDescent="0.3">
      <c r="B41" s="10" t="s">
        <v>87</v>
      </c>
      <c r="C41" s="10">
        <f t="shared" si="9"/>
        <v>5.1353597691315856E-3</v>
      </c>
      <c r="D41" s="10">
        <f t="shared" si="10"/>
        <v>-8.4700824077391622E-3</v>
      </c>
      <c r="E41" s="10">
        <f t="shared" si="11"/>
        <v>-8.4700824077391622E-3</v>
      </c>
      <c r="F41" s="10">
        <f t="shared" si="12"/>
        <v>-2.0392142405365899E-3</v>
      </c>
      <c r="G41" s="10">
        <f t="shared" si="13"/>
        <v>-4.7526102887800546E-3</v>
      </c>
      <c r="H41" s="10">
        <f t="shared" si="14"/>
        <v>-4.0841174954584607E-3</v>
      </c>
      <c r="J41" s="10" t="s">
        <v>87</v>
      </c>
      <c r="K41" s="8">
        <f t="shared" si="15"/>
        <v>8.0667451502277763E-4</v>
      </c>
      <c r="L41" s="8">
        <f t="shared" si="16"/>
        <v>4.0819674254164654E-4</v>
      </c>
      <c r="M41" s="8">
        <f t="shared" si="17"/>
        <v>1.0189572821340349E-3</v>
      </c>
      <c r="N41" s="8">
        <f t="shared" si="18"/>
        <v>7.6257976661317235E-4</v>
      </c>
      <c r="O41" s="8">
        <f t="shared" si="19"/>
        <v>9.1313156068563493E-4</v>
      </c>
      <c r="P41" s="8">
        <f t="shared" si="20"/>
        <v>5.5724226366705033E-4</v>
      </c>
    </row>
    <row r="42" spans="1:16" x14ac:dyDescent="0.3">
      <c r="B42" s="10" t="s">
        <v>107</v>
      </c>
      <c r="C42" s="10">
        <f t="shared" si="9"/>
        <v>-2.3319976503679224E-3</v>
      </c>
      <c r="D42" s="10">
        <f t="shared" si="10"/>
        <v>-9.1347187388032963E-3</v>
      </c>
      <c r="E42" s="10">
        <f t="shared" si="11"/>
        <v>5.9028752461591089E-3</v>
      </c>
      <c r="F42" s="10">
        <f t="shared" si="12"/>
        <v>6.9424516792031335E-3</v>
      </c>
      <c r="G42" s="10">
        <f t="shared" si="13"/>
        <v>5.7351697370331342E-3</v>
      </c>
      <c r="H42" s="10">
        <f t="shared" si="14"/>
        <v>8.4091409103195097E-3</v>
      </c>
      <c r="J42" s="10" t="s">
        <v>107</v>
      </c>
      <c r="K42" s="8">
        <f t="shared" si="15"/>
        <v>1.0563960446235104E-3</v>
      </c>
      <c r="L42" s="8">
        <f t="shared" si="16"/>
        <v>4.4022740909895405E-4</v>
      </c>
      <c r="M42" s="8">
        <f t="shared" si="17"/>
        <v>1.2362777240485664E-3</v>
      </c>
      <c r="N42" s="8">
        <f t="shared" si="18"/>
        <v>1.0280230091900815E-3</v>
      </c>
      <c r="O42" s="8">
        <f t="shared" si="19"/>
        <v>1.1545741156851752E-3</v>
      </c>
      <c r="P42" s="8">
        <f t="shared" si="20"/>
        <v>8.0129111743888564E-4</v>
      </c>
    </row>
    <row r="43" spans="1:16" x14ac:dyDescent="0.3">
      <c r="B43" s="10" t="s">
        <v>102</v>
      </c>
      <c r="C43" s="10">
        <f t="shared" si="9"/>
        <v>5.9283118478491333E-4</v>
      </c>
      <c r="D43" s="10">
        <f t="shared" si="10"/>
        <v>-3.5871540623259781E-3</v>
      </c>
      <c r="E43" s="10">
        <f t="shared" si="11"/>
        <v>-9.6112504478681471E-3</v>
      </c>
      <c r="F43" s="10">
        <f t="shared" si="12"/>
        <v>-3.1803822806655748E-3</v>
      </c>
      <c r="G43" s="10">
        <f t="shared" si="13"/>
        <v>1.5411659090091758E-3</v>
      </c>
      <c r="H43" s="10">
        <f t="shared" si="14"/>
        <v>7.932609201254659E-3</v>
      </c>
      <c r="J43" s="10" t="s">
        <v>102</v>
      </c>
      <c r="K43" s="8">
        <f t="shared" si="15"/>
        <v>1.274961794104958E-3</v>
      </c>
      <c r="L43" s="8">
        <f t="shared" si="16"/>
        <v>5.210918917518875E-4</v>
      </c>
      <c r="M43" s="8">
        <f t="shared" si="17"/>
        <v>1.4453008192282927E-3</v>
      </c>
      <c r="N43" s="8">
        <f t="shared" si="18"/>
        <v>1.2979823755963412E-3</v>
      </c>
      <c r="O43" s="8">
        <f t="shared" si="19"/>
        <v>1.4649117782996059E-3</v>
      </c>
      <c r="P43" s="8">
        <f t="shared" si="20"/>
        <v>1.1803290023697725E-3</v>
      </c>
    </row>
    <row r="44" spans="1:16" x14ac:dyDescent="0.3">
      <c r="B44" s="10" t="s">
        <v>101</v>
      </c>
      <c r="C44" s="10">
        <f t="shared" si="9"/>
        <v>-1.002866356144751E-2</v>
      </c>
      <c r="D44" s="10">
        <f t="shared" si="10"/>
        <v>-1.002866356144751E-2</v>
      </c>
      <c r="E44" s="10">
        <f t="shared" si="11"/>
        <v>-2.5098665689663076E-3</v>
      </c>
      <c r="F44" s="10">
        <f t="shared" si="12"/>
        <v>-3.8236131064365089E-4</v>
      </c>
      <c r="G44" s="10">
        <f t="shared" si="13"/>
        <v>8.5586970333480297E-3</v>
      </c>
      <c r="H44" s="10">
        <f t="shared" si="14"/>
        <v>3.1292311753945944E-3</v>
      </c>
      <c r="J44" s="10" t="s">
        <v>101</v>
      </c>
      <c r="K44" s="8">
        <f t="shared" si="15"/>
        <v>1.4326662230639295E-3</v>
      </c>
      <c r="L44" s="8">
        <f t="shared" si="16"/>
        <v>6.0413635912334382E-4</v>
      </c>
      <c r="M44" s="8">
        <f t="shared" si="17"/>
        <v>1.5834731939127641E-3</v>
      </c>
      <c r="N44" s="8">
        <f t="shared" si="18"/>
        <v>1.5155858115370828E-3</v>
      </c>
      <c r="O44" s="8">
        <f t="shared" si="19"/>
        <v>1.8267825818250106E-3</v>
      </c>
      <c r="P44" s="8">
        <f t="shared" si="20"/>
        <v>1.5394878274151871E-3</v>
      </c>
    </row>
    <row r="45" spans="1:16" x14ac:dyDescent="0.3">
      <c r="B45" s="10" t="s">
        <v>96</v>
      </c>
      <c r="C45" s="10">
        <f t="shared" si="9"/>
        <v>-3.8744555507620468E-3</v>
      </c>
      <c r="D45" s="10">
        <f t="shared" si="10"/>
        <v>-4.6530802536552517E-3</v>
      </c>
      <c r="E45" s="10">
        <f t="shared" si="11"/>
        <v>4.3604173457649845E-3</v>
      </c>
      <c r="F45" s="10">
        <f t="shared" si="12"/>
        <v>-7.4617425555961346E-3</v>
      </c>
      <c r="G45" s="10">
        <f t="shared" si="13"/>
        <v>-6.9597045202383131E-3</v>
      </c>
      <c r="H45" s="10">
        <f t="shared" si="14"/>
        <v>-6.2912117269167192E-3</v>
      </c>
      <c r="J45" s="10" t="s">
        <v>96</v>
      </c>
      <c r="K45" s="8">
        <f t="shared" si="15"/>
        <v>1.5979448031451932E-3</v>
      </c>
      <c r="L45" s="8">
        <f t="shared" si="16"/>
        <v>7.0752375319982949E-4</v>
      </c>
      <c r="M45" s="8">
        <f t="shared" si="17"/>
        <v>1.9267085664717162E-3</v>
      </c>
      <c r="N45" s="8">
        <f t="shared" si="18"/>
        <v>1.750919641797649E-3</v>
      </c>
      <c r="O45" s="8">
        <f t="shared" si="19"/>
        <v>2.1830658555979871E-3</v>
      </c>
      <c r="P45" s="8">
        <f t="shared" si="20"/>
        <v>1.8263591619679807E-3</v>
      </c>
    </row>
    <row r="46" spans="1:16" x14ac:dyDescent="0.3">
      <c r="B46" s="10" t="s">
        <v>104</v>
      </c>
      <c r="C46" s="10">
        <f t="shared" si="9"/>
        <v>-4.4083143827219175E-3</v>
      </c>
      <c r="D46" s="10">
        <f t="shared" si="10"/>
        <v>-5.1869390856151224E-3</v>
      </c>
      <c r="E46" s="10">
        <f t="shared" si="11"/>
        <v>3.8265585138051138E-3</v>
      </c>
      <c r="F46" s="10">
        <f t="shared" si="12"/>
        <v>-1.5647332203534321E-3</v>
      </c>
      <c r="G46" s="10">
        <f t="shared" si="13"/>
        <v>-5.8619114279968507E-5</v>
      </c>
      <c r="H46" s="10">
        <f t="shared" si="14"/>
        <v>1.5104754002526918E-2</v>
      </c>
      <c r="J46" s="10" t="s">
        <v>104</v>
      </c>
      <c r="K46" s="8">
        <f t="shared" si="15"/>
        <v>1.8303731381481283E-3</v>
      </c>
      <c r="L46" s="8">
        <f t="shared" si="16"/>
        <v>8.7797265737978763E-4</v>
      </c>
      <c r="M46" s="8">
        <f t="shared" si="17"/>
        <v>2.3602179939278501E-3</v>
      </c>
      <c r="N46" s="8">
        <f t="shared" si="18"/>
        <v>1.982659006153218E-3</v>
      </c>
      <c r="O46" s="8">
        <f t="shared" si="19"/>
        <v>2.4589259955326392E-3</v>
      </c>
      <c r="P46" s="8">
        <f t="shared" si="20"/>
        <v>2.2618755775141897E-3</v>
      </c>
    </row>
    <row r="47" spans="1:16" x14ac:dyDescent="0.3">
      <c r="B47" s="10" t="s">
        <v>106</v>
      </c>
      <c r="C47" s="10">
        <f t="shared" si="9"/>
        <v>-4.5480492447785284E-3</v>
      </c>
      <c r="D47" s="10">
        <f t="shared" si="10"/>
        <v>-5.3266739476717333E-3</v>
      </c>
      <c r="E47" s="10">
        <f t="shared" si="11"/>
        <v>-1.1350770333213902E-2</v>
      </c>
      <c r="F47" s="10">
        <f t="shared" si="12"/>
        <v>1.5109660011912423E-3</v>
      </c>
      <c r="G47" s="10">
        <f t="shared" si="13"/>
        <v>-1.1350770333213902E-2</v>
      </c>
      <c r="H47" s="10">
        <f t="shared" si="14"/>
        <v>1.8071244036282023E-3</v>
      </c>
      <c r="J47" s="10" t="s">
        <v>106</v>
      </c>
      <c r="K47" s="8">
        <f t="shared" si="15"/>
        <v>2.0076192426092604E-3</v>
      </c>
      <c r="L47" s="8">
        <f t="shared" si="16"/>
        <v>1.0256720180614966E-3</v>
      </c>
      <c r="M47" s="8">
        <f t="shared" si="17"/>
        <v>2.5603241353114054E-3</v>
      </c>
      <c r="N47" s="8">
        <f t="shared" si="18"/>
        <v>2.26285453588187E-3</v>
      </c>
      <c r="O47" s="8">
        <f t="shared" si="19"/>
        <v>2.6161626790307123E-3</v>
      </c>
      <c r="P47" s="8">
        <f t="shared" si="20"/>
        <v>2.7381244224858087E-3</v>
      </c>
    </row>
    <row r="48" spans="1:16" x14ac:dyDescent="0.3">
      <c r="B48" s="10" t="s">
        <v>90</v>
      </c>
      <c r="C48" s="10">
        <f t="shared" si="9"/>
        <v>1.7405192101921374E-3</v>
      </c>
      <c r="D48" s="10">
        <f t="shared" si="10"/>
        <v>1.8326980440572758E-4</v>
      </c>
      <c r="E48" s="10">
        <f t="shared" si="11"/>
        <v>1.8210265003246198E-2</v>
      </c>
      <c r="F48" s="10">
        <f t="shared" si="12"/>
        <v>-8.6494888830773234E-3</v>
      </c>
      <c r="G48" s="10">
        <f t="shared" si="13"/>
        <v>-8.1474508477195028E-3</v>
      </c>
      <c r="H48" s="10">
        <f t="shared" si="14"/>
        <v>1.2929717701634941E-3</v>
      </c>
      <c r="J48" s="10" t="s">
        <v>90</v>
      </c>
      <c r="K48" s="8">
        <f t="shared" si="15"/>
        <v>2.3406990886644875E-3</v>
      </c>
      <c r="L48" s="8">
        <f t="shared" si="16"/>
        <v>1.2865579120494878E-3</v>
      </c>
      <c r="M48" s="8">
        <f t="shared" si="17"/>
        <v>3.033138202008066E-3</v>
      </c>
      <c r="N48" s="8">
        <f t="shared" si="18"/>
        <v>2.5561088063262602E-3</v>
      </c>
      <c r="O48" s="8">
        <f t="shared" si="19"/>
        <v>2.7787737803001951E-3</v>
      </c>
      <c r="P48" s="8">
        <f t="shared" si="20"/>
        <v>3.1743872849447166E-3</v>
      </c>
    </row>
    <row r="49" spans="2:16" x14ac:dyDescent="0.3">
      <c r="B49" s="10" t="s">
        <v>83</v>
      </c>
      <c r="C49" s="10">
        <f t="shared" si="9"/>
        <v>-5.4258708141085169E-3</v>
      </c>
      <c r="D49" s="10">
        <f t="shared" si="10"/>
        <v>-6.2044955170017218E-3</v>
      </c>
      <c r="E49" s="10">
        <f t="shared" si="11"/>
        <v>-1.2228591902543891E-2</v>
      </c>
      <c r="F49" s="10">
        <f t="shared" si="12"/>
        <v>-1.2228591902543891E-2</v>
      </c>
      <c r="G49" s="10">
        <f t="shared" si="13"/>
        <v>2.6412965732925398E-3</v>
      </c>
      <c r="H49" s="10">
        <f t="shared" si="14"/>
        <v>-3.4566620779824878E-3</v>
      </c>
      <c r="J49" s="10" t="s">
        <v>83</v>
      </c>
      <c r="K49" s="8">
        <f t="shared" si="15"/>
        <v>2.66200640055377E-3</v>
      </c>
      <c r="L49" s="8">
        <f t="shared" si="16"/>
        <v>1.546990541888082E-3</v>
      </c>
      <c r="M49" s="8">
        <f t="shared" si="17"/>
        <v>3.4938834007268238E-3</v>
      </c>
      <c r="N49" s="8">
        <f t="shared" si="18"/>
        <v>2.6737757214565401E-3</v>
      </c>
      <c r="O49" s="8">
        <f t="shared" si="19"/>
        <v>3.0912425627248477E-3</v>
      </c>
      <c r="P49" s="8">
        <f t="shared" si="20"/>
        <v>3.5398555507363877E-3</v>
      </c>
    </row>
    <row r="50" spans="2:16" x14ac:dyDescent="0.3">
      <c r="B50" s="10" t="s">
        <v>91</v>
      </c>
      <c r="C50" s="10">
        <f t="shared" si="9"/>
        <v>3.7731946952912314E-3</v>
      </c>
      <c r="D50" s="10">
        <f t="shared" si="10"/>
        <v>4.8386811308292997E-3</v>
      </c>
      <c r="E50" s="10">
        <f t="shared" si="11"/>
        <v>1.6841579944127605E-2</v>
      </c>
      <c r="F50" s="10">
        <f t="shared" si="12"/>
        <v>2.8435623922092243E-3</v>
      </c>
      <c r="G50" s="10">
        <f t="shared" si="13"/>
        <v>-2.0811916689198826E-3</v>
      </c>
      <c r="H50" s="10">
        <f t="shared" si="14"/>
        <v>-4.4616782012358025E-3</v>
      </c>
      <c r="J50" s="10" t="s">
        <v>91</v>
      </c>
      <c r="K50" s="8">
        <f t="shared" si="15"/>
        <v>3.1958713259578279E-3</v>
      </c>
      <c r="L50" s="8">
        <f t="shared" si="16"/>
        <v>1.9930132568971698E-3</v>
      </c>
      <c r="M50" s="8">
        <f t="shared" si="17"/>
        <v>4.1790341134096435E-3</v>
      </c>
      <c r="N50" s="8">
        <f t="shared" si="18"/>
        <v>3.1062809835472539E-3</v>
      </c>
      <c r="O50" s="8">
        <f t="shared" si="19"/>
        <v>3.6896676651850947E-3</v>
      </c>
      <c r="P50" s="8">
        <f t="shared" si="20"/>
        <v>4.0629498324815973E-3</v>
      </c>
    </row>
    <row r="51" spans="2:16" x14ac:dyDescent="0.3">
      <c r="B51" s="10" t="s">
        <v>93</v>
      </c>
      <c r="C51" s="10">
        <f t="shared" si="9"/>
        <v>-1.1069009474087017E-2</v>
      </c>
      <c r="D51" s="10">
        <f t="shared" si="10"/>
        <v>2.0055859410411311E-4</v>
      </c>
      <c r="E51" s="10">
        <f t="shared" si="11"/>
        <v>-2.8341365775599869E-3</v>
      </c>
      <c r="F51" s="10">
        <f t="shared" si="12"/>
        <v>-1.144086239531982E-2</v>
      </c>
      <c r="G51" s="10">
        <f t="shared" si="13"/>
        <v>-3.0018420866859616E-3</v>
      </c>
      <c r="H51" s="10">
        <f t="shared" si="14"/>
        <v>-3.2787091339958607E-4</v>
      </c>
      <c r="J51" s="10" t="s">
        <v>93</v>
      </c>
      <c r="K51" s="8">
        <f t="shared" si="15"/>
        <v>4.7414795369957359E-3</v>
      </c>
      <c r="L51" s="8">
        <f t="shared" si="16"/>
        <v>3.3374918520373146E-3</v>
      </c>
      <c r="M51" s="8">
        <f t="shared" si="17"/>
        <v>6.4499478721885325E-3</v>
      </c>
      <c r="N51" s="8">
        <f t="shared" si="18"/>
        <v>4.5972297266938626E-3</v>
      </c>
      <c r="O51" s="8">
        <f t="shared" si="19"/>
        <v>5.447888126865562E-3</v>
      </c>
      <c r="P51" s="8">
        <f t="shared" si="20"/>
        <v>5.9572435208407968E-3</v>
      </c>
    </row>
    <row r="52" spans="2:16" x14ac:dyDescent="0.3">
      <c r="B52" s="10" t="s">
        <v>92</v>
      </c>
      <c r="C52" s="10">
        <f t="shared" si="9"/>
        <v>-1.1391474540371503E-2</v>
      </c>
      <c r="D52" s="10">
        <f t="shared" si="10"/>
        <v>-6.1460028577225399E-3</v>
      </c>
      <c r="E52" s="10">
        <f t="shared" si="11"/>
        <v>4.3621953486367299E-3</v>
      </c>
      <c r="F52" s="10">
        <f t="shared" si="12"/>
        <v>-8.5478933780030186E-3</v>
      </c>
      <c r="G52" s="10">
        <f t="shared" si="13"/>
        <v>-3.3243071529704474E-3</v>
      </c>
      <c r="H52" s="10">
        <f t="shared" si="14"/>
        <v>-1.8194195628806878E-2</v>
      </c>
      <c r="J52" s="10" t="s">
        <v>92</v>
      </c>
      <c r="K52" s="8">
        <f t="shared" si="15"/>
        <v>5.074571569939337E-3</v>
      </c>
      <c r="L52" s="8">
        <f t="shared" si="16"/>
        <v>3.9457291725123389E-3</v>
      </c>
      <c r="M52" s="8">
        <f t="shared" si="17"/>
        <v>7.250318558847859E-3</v>
      </c>
      <c r="N52" s="8">
        <f t="shared" si="18"/>
        <v>4.9726901236288919E-3</v>
      </c>
      <c r="O52" s="8">
        <f t="shared" si="19"/>
        <v>6.0872773479279559E-3</v>
      </c>
      <c r="P52" s="8">
        <f t="shared" si="20"/>
        <v>6.3839282908094352E-3</v>
      </c>
    </row>
    <row r="53" spans="2:16" x14ac:dyDescent="0.3">
      <c r="B53" s="10" t="s">
        <v>77</v>
      </c>
      <c r="C53" s="10">
        <f t="shared" si="9"/>
        <v>-1.5457471415653328E-2</v>
      </c>
      <c r="D53" s="10">
        <f t="shared" si="10"/>
        <v>-1.2834735574328847E-2</v>
      </c>
      <c r="E53" s="10">
        <f t="shared" si="11"/>
        <v>-1.8858831959871016E-2</v>
      </c>
      <c r="F53" s="10">
        <f t="shared" si="12"/>
        <v>4.3377254173670304E-4</v>
      </c>
      <c r="G53" s="10">
        <f t="shared" si="13"/>
        <v>-7.7064156029936926E-3</v>
      </c>
      <c r="H53" s="10">
        <f t="shared" si="14"/>
        <v>-1.0086902135309612E-2</v>
      </c>
      <c r="J53" s="10" t="s">
        <v>77</v>
      </c>
      <c r="K53" s="8">
        <f t="shared" si="15"/>
        <v>5.4523833897586246E-3</v>
      </c>
      <c r="L53" s="8">
        <f t="shared" si="16"/>
        <v>4.4306894363552373E-3</v>
      </c>
      <c r="M53" s="8">
        <f t="shared" si="17"/>
        <v>7.940560825208845E-3</v>
      </c>
      <c r="N53" s="8">
        <f t="shared" si="18"/>
        <v>5.7000971197037767E-3</v>
      </c>
      <c r="O53" s="8">
        <f t="shared" si="19"/>
        <v>6.8003966546746749E-3</v>
      </c>
      <c r="P53" s="8">
        <f t="shared" si="20"/>
        <v>6.7825623715325562E-3</v>
      </c>
    </row>
    <row r="54" spans="2:16" x14ac:dyDescent="0.3">
      <c r="B54" s="10" t="s">
        <v>79</v>
      </c>
      <c r="C54" s="10">
        <f t="shared" si="9"/>
        <v>2.1142374542077666E-2</v>
      </c>
      <c r="D54" s="10">
        <f t="shared" si="10"/>
        <v>4.4224335536341003E-3</v>
      </c>
      <c r="E54" s="10">
        <f t="shared" si="11"/>
        <v>-4.6363580035721705E-3</v>
      </c>
      <c r="F54" s="10">
        <f t="shared" si="12"/>
        <v>-3.813474869268571E-4</v>
      </c>
      <c r="G54" s="10">
        <f t="shared" si="13"/>
        <v>-4.8040635126981451E-3</v>
      </c>
      <c r="H54" s="10">
        <f t="shared" si="14"/>
        <v>-2.1300923394117696E-3</v>
      </c>
      <c r="J54" s="10" t="s">
        <v>79</v>
      </c>
      <c r="K54" s="8">
        <f t="shared" si="15"/>
        <v>6.5579839961781936E-3</v>
      </c>
      <c r="L54" s="8">
        <f t="shared" si="16"/>
        <v>5.2147824547922996E-3</v>
      </c>
      <c r="M54" s="8">
        <f t="shared" si="17"/>
        <v>8.5796181604135772E-3</v>
      </c>
      <c r="N54" s="8">
        <f t="shared" si="18"/>
        <v>6.7055913530053544E-3</v>
      </c>
      <c r="O54" s="8">
        <f t="shared" si="19"/>
        <v>7.6062862706602098E-3</v>
      </c>
      <c r="P54" s="8">
        <f t="shared" si="20"/>
        <v>7.5934551534694878E-3</v>
      </c>
    </row>
    <row r="55" spans="2:16" x14ac:dyDescent="0.3">
      <c r="B55" s="10" t="s">
        <v>88</v>
      </c>
      <c r="C55" s="10">
        <f t="shared" si="9"/>
        <v>-2.0451451092798282E-2</v>
      </c>
      <c r="D55" s="10">
        <f t="shared" si="10"/>
        <v>-1.4427354707256113E-2</v>
      </c>
      <c r="E55" s="10">
        <f t="shared" si="11"/>
        <v>-1.2932654100317079E-2</v>
      </c>
      <c r="F55" s="10">
        <f t="shared" si="12"/>
        <v>-1.402058292559571E-2</v>
      </c>
      <c r="G55" s="10">
        <f t="shared" si="13"/>
        <v>-9.299034735920959E-3</v>
      </c>
      <c r="H55" s="10">
        <f t="shared" si="14"/>
        <v>-1.606548618051758E-2</v>
      </c>
      <c r="J55" s="10" t="s">
        <v>88</v>
      </c>
      <c r="K55" s="8">
        <f t="shared" si="15"/>
        <v>7.6519034700945933E-3</v>
      </c>
      <c r="L55" s="8">
        <f t="shared" si="16"/>
        <v>6.0368741177537089E-3</v>
      </c>
      <c r="M55" s="8">
        <f t="shared" si="17"/>
        <v>9.3799888470728933E-3</v>
      </c>
      <c r="N55" s="8">
        <f t="shared" si="18"/>
        <v>7.4966733909292713E-3</v>
      </c>
      <c r="O55" s="8">
        <f t="shared" si="19"/>
        <v>8.439074614500405E-3</v>
      </c>
      <c r="P55" s="8">
        <f t="shared" si="20"/>
        <v>8.342039261536139E-3</v>
      </c>
    </row>
    <row r="56" spans="2:16" x14ac:dyDescent="0.3">
      <c r="B56" s="10" t="s">
        <v>80</v>
      </c>
      <c r="C56" s="10">
        <f t="shared" si="9"/>
        <v>-3.890420374527484E-4</v>
      </c>
      <c r="D56" s="10">
        <f t="shared" si="10"/>
        <v>-1.47731089172167E-2</v>
      </c>
      <c r="E56" s="10">
        <f t="shared" si="11"/>
        <v>9.2779826671659411E-3</v>
      </c>
      <c r="F56" s="10">
        <f t="shared" si="12"/>
        <v>-1.5046008011511507E-3</v>
      </c>
      <c r="G56" s="10">
        <f t="shared" si="13"/>
        <v>-5.9273168269224387E-3</v>
      </c>
      <c r="H56" s="10">
        <f t="shared" si="14"/>
        <v>1.1326192586446383E-3</v>
      </c>
      <c r="J56" s="10" t="s">
        <v>80</v>
      </c>
      <c r="K56" s="8">
        <f t="shared" si="15"/>
        <v>8.2057000514286649E-3</v>
      </c>
      <c r="L56" s="8">
        <f t="shared" si="16"/>
        <v>6.3895028339801324E-3</v>
      </c>
      <c r="M56" s="8">
        <f t="shared" si="17"/>
        <v>1.0320417669038229E-2</v>
      </c>
      <c r="N56" s="8">
        <f t="shared" si="18"/>
        <v>8.1583892184455969E-3</v>
      </c>
      <c r="O56" s="8">
        <f t="shared" si="19"/>
        <v>9.1229376421023984E-3</v>
      </c>
      <c r="P56" s="8">
        <f t="shared" si="20"/>
        <v>9.0303654604084512E-3</v>
      </c>
    </row>
    <row r="57" spans="2:16" x14ac:dyDescent="0.3">
      <c r="B57" s="10" t="s">
        <v>84</v>
      </c>
      <c r="C57" s="10">
        <f t="shared" si="9"/>
        <v>-4.2257304211544867E-3</v>
      </c>
      <c r="D57" s="10">
        <f t="shared" si="10"/>
        <v>-1.5208436756700755E-2</v>
      </c>
      <c r="E57" s="10">
        <f t="shared" si="11"/>
        <v>-1.3713736149761721E-2</v>
      </c>
      <c r="F57" s="10">
        <f t="shared" si="12"/>
        <v>-2.1232533142242924E-2</v>
      </c>
      <c r="G57" s="10">
        <f t="shared" si="13"/>
        <v>1.0722995715117221E-3</v>
      </c>
      <c r="H57" s="10">
        <f t="shared" si="14"/>
        <v>-8.0746384054008191E-3</v>
      </c>
      <c r="J57" s="10" t="s">
        <v>84</v>
      </c>
      <c r="K57" s="8">
        <f t="shared" si="15"/>
        <v>9.1718765614450769E-3</v>
      </c>
      <c r="L57" s="8">
        <f t="shared" si="16"/>
        <v>6.7790617863787688E-3</v>
      </c>
      <c r="M57" s="8">
        <f t="shared" si="17"/>
        <v>1.1334660549618408E-2</v>
      </c>
      <c r="N57" s="8">
        <f t="shared" si="18"/>
        <v>8.7387917755855169E-3</v>
      </c>
      <c r="O57" s="8">
        <f t="shared" si="19"/>
        <v>1.0103212796308906E-2</v>
      </c>
      <c r="P57" s="8">
        <f t="shared" si="20"/>
        <v>9.9643905535964656E-3</v>
      </c>
    </row>
    <row r="58" spans="2:16" x14ac:dyDescent="0.3">
      <c r="B58" s="10" t="s">
        <v>85</v>
      </c>
      <c r="C58" s="10">
        <f t="shared" si="9"/>
        <v>5.3387954967010071E-3</v>
      </c>
      <c r="D58" s="10">
        <f t="shared" si="10"/>
        <v>-3.7997997004139833E-3</v>
      </c>
      <c r="E58" s="10">
        <f t="shared" si="11"/>
        <v>-6.8344948720780833E-3</v>
      </c>
      <c r="F58" s="10">
        <f t="shared" si="12"/>
        <v>-1.5441220689837916E-2</v>
      </c>
      <c r="G58" s="10">
        <f t="shared" si="13"/>
        <v>-1.0719672500163166E-2</v>
      </c>
      <c r="H58" s="10">
        <f t="shared" si="14"/>
        <v>5.773570436301903E-5</v>
      </c>
      <c r="J58" s="10" t="s">
        <v>85</v>
      </c>
      <c r="K58" s="8">
        <f t="shared" si="15"/>
        <v>1.0415280408114526E-2</v>
      </c>
      <c r="L58" s="8">
        <f t="shared" si="16"/>
        <v>7.5102955713934267E-3</v>
      </c>
      <c r="M58" s="8">
        <f t="shared" si="17"/>
        <v>1.2169432897902236E-2</v>
      </c>
      <c r="N58" s="8">
        <f t="shared" si="18"/>
        <v>9.1426737987629104E-3</v>
      </c>
      <c r="O58" s="8">
        <f t="shared" si="19"/>
        <v>1.1139316629793863E-2</v>
      </c>
      <c r="P58" s="8">
        <f t="shared" si="20"/>
        <v>1.1031974642805515E-2</v>
      </c>
    </row>
    <row r="59" spans="2:16" x14ac:dyDescent="0.3">
      <c r="B59" s="10" t="s">
        <v>78</v>
      </c>
      <c r="C59" s="10">
        <f t="shared" si="9"/>
        <v>-1.8480477823519231E-2</v>
      </c>
      <c r="D59" s="10">
        <f t="shared" si="10"/>
        <v>-5.3667986168968243E-3</v>
      </c>
      <c r="E59" s="10">
        <f t="shared" si="11"/>
        <v>-2.0449686559645262E-2</v>
      </c>
      <c r="F59" s="10">
        <f t="shared" si="12"/>
        <v>-1.9410110126601238E-2</v>
      </c>
      <c r="G59" s="10">
        <f t="shared" si="13"/>
        <v>-1.3182447830853022E-2</v>
      </c>
      <c r="H59" s="10">
        <f t="shared" si="14"/>
        <v>-1.7943420895484861E-2</v>
      </c>
      <c r="J59" s="10" t="s">
        <v>78</v>
      </c>
      <c r="K59" s="8">
        <f t="shared" si="15"/>
        <v>1.8467870487499895E-2</v>
      </c>
      <c r="L59" s="8">
        <f t="shared" si="16"/>
        <v>1.389562189999697E-2</v>
      </c>
      <c r="M59" s="8">
        <f t="shared" si="17"/>
        <v>2.0812089341950349E-2</v>
      </c>
      <c r="N59" s="8">
        <f t="shared" si="18"/>
        <v>1.5632660561450955E-2</v>
      </c>
      <c r="O59" s="8">
        <f t="shared" si="19"/>
        <v>1.9260754496329798E-2</v>
      </c>
      <c r="P59" s="8">
        <f t="shared" si="20"/>
        <v>1.9300099945312926E-2</v>
      </c>
    </row>
    <row r="60" spans="2:16" x14ac:dyDescent="0.3">
      <c r="B60" s="10" t="s">
        <v>81</v>
      </c>
      <c r="C60" s="10">
        <f t="shared" si="9"/>
        <v>-1.5300114313012918E-2</v>
      </c>
      <c r="D60" s="10">
        <f t="shared" si="10"/>
        <v>6.3300000431680131E-2</v>
      </c>
      <c r="E60" s="10">
        <f t="shared" si="11"/>
        <v>5.8634722779718908E-2</v>
      </c>
      <c r="F60" s="10">
        <f t="shared" si="12"/>
        <v>-5.2442911932128883E-4</v>
      </c>
      <c r="G60" s="10">
        <f t="shared" si="13"/>
        <v>5.5000273049725656E-3</v>
      </c>
      <c r="H60" s="10">
        <f t="shared" si="14"/>
        <v>2.6679835561673797E-2</v>
      </c>
      <c r="J60" s="10" t="s">
        <v>81</v>
      </c>
      <c r="K60" s="8">
        <f t="shared" si="15"/>
        <v>2.1949286701423661E-2</v>
      </c>
      <c r="L60" s="8">
        <f t="shared" si="16"/>
        <v>2.0497219979883699E-2</v>
      </c>
      <c r="M60" s="8">
        <f t="shared" si="17"/>
        <v>2.7347340942826419E-2</v>
      </c>
      <c r="N60" s="8">
        <f t="shared" si="18"/>
        <v>1.9366187366143574E-2</v>
      </c>
      <c r="O60" s="8">
        <f t="shared" si="19"/>
        <v>2.384379424571011E-2</v>
      </c>
      <c r="P60" s="8">
        <f t="shared" si="20"/>
        <v>2.452929057685416E-2</v>
      </c>
    </row>
    <row r="61" spans="2:16" x14ac:dyDescent="0.3">
      <c r="B61" s="10" t="s">
        <v>95</v>
      </c>
      <c r="C61" s="10">
        <f t="shared" si="9"/>
        <v>6.8807062058072965E-2</v>
      </c>
      <c r="D61" s="10">
        <f t="shared" si="10"/>
        <v>4.0899513496479641E-2</v>
      </c>
      <c r="E61" s="10">
        <f t="shared" si="11"/>
        <v>2.4231337031220108E-2</v>
      </c>
      <c r="F61" s="10">
        <f t="shared" si="12"/>
        <v>4.7936753529085746E-3</v>
      </c>
      <c r="G61" s="10">
        <f t="shared" si="13"/>
        <v>1.9759190121194113E-2</v>
      </c>
      <c r="H61" s="10">
        <f t="shared" si="14"/>
        <v>9.1937430462577033E-3</v>
      </c>
      <c r="J61" s="10" t="s">
        <v>95</v>
      </c>
      <c r="K61" s="8">
        <f t="shared" si="15"/>
        <v>3.0288286937849313E-2</v>
      </c>
      <c r="L61" s="8">
        <f t="shared" si="16"/>
        <v>3.0877497809223282E-2</v>
      </c>
      <c r="M61" s="8">
        <f t="shared" si="17"/>
        <v>3.7559031042313777E-2</v>
      </c>
      <c r="N61" s="8">
        <f t="shared" si="18"/>
        <v>2.528054115145029E-2</v>
      </c>
      <c r="O61" s="8">
        <f t="shared" si="19"/>
        <v>3.1165436166967909E-2</v>
      </c>
      <c r="P61" s="8">
        <f t="shared" si="20"/>
        <v>3.2387860101705357E-2</v>
      </c>
    </row>
    <row r="62" spans="2:16" x14ac:dyDescent="0.3">
      <c r="B62" s="10" t="s">
        <v>94</v>
      </c>
      <c r="C62" s="10">
        <f t="shared" si="9"/>
        <v>1.7083750734260029E-2</v>
      </c>
      <c r="D62" s="10">
        <f t="shared" si="10"/>
        <v>0.10908440641822037</v>
      </c>
      <c r="E62" s="10">
        <f t="shared" si="11"/>
        <v>0.13290902821367284</v>
      </c>
      <c r="F62" s="10">
        <f t="shared" si="12"/>
        <v>0.13252220907579601</v>
      </c>
      <c r="G62" s="10">
        <f t="shared" si="13"/>
        <v>8.2569424557692755E-2</v>
      </c>
      <c r="H62" s="10">
        <f t="shared" si="14"/>
        <v>2.7019303902895898E-2</v>
      </c>
      <c r="J62" s="10" t="s">
        <v>94</v>
      </c>
      <c r="K62" s="8">
        <f t="shared" si="15"/>
        <v>4.1558910199694342E-2</v>
      </c>
      <c r="L62" s="8">
        <f t="shared" si="16"/>
        <v>4.5250914082701273E-2</v>
      </c>
      <c r="M62" s="8">
        <f t="shared" si="17"/>
        <v>5.2903990538869551E-2</v>
      </c>
      <c r="N62" s="8">
        <f t="shared" si="18"/>
        <v>3.8522858844632663E-2</v>
      </c>
      <c r="O62" s="8">
        <f t="shared" si="19"/>
        <v>4.3300425291597111E-2</v>
      </c>
      <c r="P62" s="8">
        <f t="shared" si="20"/>
        <v>4.1495078164777752E-2</v>
      </c>
    </row>
    <row r="63" spans="2:16" x14ac:dyDescent="0.3">
      <c r="B63" s="10" t="s">
        <v>82</v>
      </c>
      <c r="C63" s="10">
        <f t="shared" si="9"/>
        <v>3.9571314014677922E-3</v>
      </c>
      <c r="D63" s="10">
        <f t="shared" si="10"/>
        <v>-5.6732267658955379E-3</v>
      </c>
      <c r="E63" s="10">
        <f t="shared" si="11"/>
        <v>-3.1309606872789282E-2</v>
      </c>
      <c r="F63" s="10">
        <f t="shared" si="12"/>
        <v>-1.8496222930618741E-2</v>
      </c>
      <c r="G63" s="10">
        <f t="shared" si="13"/>
        <v>-4.6431053612314671E-2</v>
      </c>
      <c r="H63" s="10">
        <f t="shared" si="14"/>
        <v>-1.8778278551987278E-2</v>
      </c>
      <c r="J63" s="10" t="s">
        <v>82</v>
      </c>
      <c r="K63" s="8">
        <f t="shared" si="15"/>
        <v>5.3682780170470248E-2</v>
      </c>
      <c r="L63" s="8">
        <f t="shared" si="16"/>
        <v>6.2302840887016417E-2</v>
      </c>
      <c r="M63" s="8">
        <f t="shared" si="17"/>
        <v>7.0876312960832813E-2</v>
      </c>
      <c r="N63" s="8">
        <f t="shared" si="18"/>
        <v>5.5251618373711613E-2</v>
      </c>
      <c r="O63" s="8">
        <f t="shared" si="19"/>
        <v>5.6469187337418909E-2</v>
      </c>
      <c r="P63" s="8">
        <f t="shared" si="20"/>
        <v>5.29209803440885E-2</v>
      </c>
    </row>
    <row r="64" spans="2:16" x14ac:dyDescent="0.3">
      <c r="B64" s="10" t="s">
        <v>98</v>
      </c>
      <c r="C64" s="10">
        <f t="shared" si="9"/>
        <v>3.1037737918528222E-2</v>
      </c>
      <c r="D64" s="10">
        <f t="shared" si="10"/>
        <v>1.7514256236698861E-2</v>
      </c>
      <c r="E64" s="10">
        <f t="shared" si="11"/>
        <v>2.9426567134425097E-2</v>
      </c>
      <c r="F64" s="10">
        <f t="shared" si="12"/>
        <v>3.887945981629054E-2</v>
      </c>
      <c r="G64" s="10">
        <f t="shared" si="13"/>
        <v>7.6747471626137653E-2</v>
      </c>
      <c r="H64" s="10">
        <f t="shared" si="14"/>
        <v>6.0451199658048682E-4</v>
      </c>
      <c r="J64" s="10" t="s">
        <v>98</v>
      </c>
      <c r="K64" s="8">
        <f t="shared" si="15"/>
        <v>6.9691367052016145E-2</v>
      </c>
      <c r="L64" s="8">
        <f t="shared" si="16"/>
        <v>7.8013170561141085E-2</v>
      </c>
      <c r="M64" s="8">
        <f t="shared" si="17"/>
        <v>8.6855709679070553E-2</v>
      </c>
      <c r="N64" s="8">
        <f t="shared" si="18"/>
        <v>7.0573755099360549E-2</v>
      </c>
      <c r="O64" s="8">
        <f t="shared" si="19"/>
        <v>7.2551962694747771E-2</v>
      </c>
      <c r="P64" s="8">
        <f t="shared" si="20"/>
        <v>6.559891757340329E-2</v>
      </c>
    </row>
    <row r="65" spans="2:16" x14ac:dyDescent="0.3">
      <c r="B65" s="10" t="s">
        <v>89</v>
      </c>
      <c r="C65" s="10">
        <f t="shared" si="9"/>
        <v>-5.3841709381710401E-2</v>
      </c>
      <c r="D65" s="10">
        <f t="shared" si="10"/>
        <v>-4.3350766016412474E-2</v>
      </c>
      <c r="E65" s="10">
        <f t="shared" si="11"/>
        <v>-5.2409557573618745E-2</v>
      </c>
      <c r="F65" s="10">
        <f t="shared" si="12"/>
        <v>-3.8508244806169573E-2</v>
      </c>
      <c r="G65" s="10">
        <f t="shared" si="13"/>
        <v>-4.1424846725867395E-2</v>
      </c>
      <c r="H65" s="10">
        <f t="shared" si="14"/>
        <v>-6.0436427866513293E-3</v>
      </c>
      <c r="J65" s="10" t="s">
        <v>89</v>
      </c>
      <c r="K65" s="8">
        <f t="shared" si="15"/>
        <v>8.4423645488292079E-2</v>
      </c>
      <c r="L65" s="8">
        <f t="shared" si="16"/>
        <v>9.3450872641407626E-2</v>
      </c>
      <c r="M65" s="8">
        <f t="shared" si="17"/>
        <v>0.10345277381917713</v>
      </c>
      <c r="N65" s="8">
        <f t="shared" si="18"/>
        <v>8.6965619855276691E-2</v>
      </c>
      <c r="O65" s="8">
        <f t="shared" si="19"/>
        <v>9.1517510479115688E-2</v>
      </c>
      <c r="P65" s="8">
        <f t="shared" si="20"/>
        <v>8.1054910206365086E-2</v>
      </c>
    </row>
    <row r="66" spans="2:16" x14ac:dyDescent="0.3">
      <c r="B66" s="10" t="s">
        <v>99</v>
      </c>
      <c r="C66" s="10">
        <f t="shared" si="9"/>
        <v>0.10104244205743924</v>
      </c>
      <c r="D66" s="10">
        <f t="shared" si="10"/>
        <v>3.5228164539203022E-2</v>
      </c>
      <c r="E66" s="10">
        <f t="shared" si="11"/>
        <v>3.3552288101119862E-2</v>
      </c>
      <c r="F66" s="10">
        <f t="shared" si="12"/>
        <v>9.7619207811972572E-2</v>
      </c>
      <c r="G66" s="10">
        <f t="shared" si="13"/>
        <v>-4.8802244069160172E-3</v>
      </c>
      <c r="H66" s="10">
        <f t="shared" si="14"/>
        <v>-2.8229836504554962E-4</v>
      </c>
      <c r="J66" s="10" t="s">
        <v>99</v>
      </c>
      <c r="K66" s="8">
        <f t="shared" si="15"/>
        <v>0.11453268157854334</v>
      </c>
      <c r="L66" s="8">
        <f t="shared" si="16"/>
        <v>0.1207536487764027</v>
      </c>
      <c r="M66" s="8">
        <f t="shared" si="17"/>
        <v>0.13165230345659928</v>
      </c>
      <c r="N66" s="8">
        <f t="shared" si="18"/>
        <v>0.11846236352262275</v>
      </c>
      <c r="O66" s="8">
        <f t="shared" si="19"/>
        <v>0.1154573582905223</v>
      </c>
      <c r="P66" s="8">
        <f t="shared" si="20"/>
        <v>0.10633455279186865</v>
      </c>
    </row>
    <row r="67" spans="2:16" x14ac:dyDescent="0.3">
      <c r="B67" s="10" t="s">
        <v>76</v>
      </c>
      <c r="C67" s="10">
        <f t="shared" si="9"/>
        <v>-8.9336850469317081E-2</v>
      </c>
      <c r="D67" s="10">
        <f t="shared" si="10"/>
        <v>-9.5688788835024824E-2</v>
      </c>
      <c r="E67" s="10">
        <f t="shared" si="11"/>
        <v>-0.16362972551407184</v>
      </c>
      <c r="F67" s="10">
        <f t="shared" si="12"/>
        <v>-0.11242454213762429</v>
      </c>
      <c r="G67" s="10">
        <f t="shared" si="13"/>
        <v>-4.2210936906866087E-2</v>
      </c>
      <c r="H67" s="10">
        <f t="shared" si="14"/>
        <v>1.3062003809236444E-2</v>
      </c>
      <c r="J67" s="10" t="s">
        <v>76</v>
      </c>
      <c r="K67" s="8">
        <f t="shared" si="15"/>
        <v>0.50111369270029771</v>
      </c>
      <c r="L67" s="8">
        <f t="shared" si="16"/>
        <v>0.50286944265776845</v>
      </c>
      <c r="M67" s="8">
        <f t="shared" si="17"/>
        <v>0.52164911113326151</v>
      </c>
      <c r="N67" s="8">
        <f t="shared" si="18"/>
        <v>0.50749540035092144</v>
      </c>
      <c r="O67" s="8">
        <f t="shared" si="19"/>
        <v>0.48808753974205465</v>
      </c>
      <c r="P67" s="8">
        <f t="shared" si="20"/>
        <v>0.47280945331799595</v>
      </c>
    </row>
    <row r="68" spans="2:16" x14ac:dyDescent="0.3">
      <c r="J68" s="12" t="s">
        <v>174</v>
      </c>
      <c r="K68" s="11">
        <f>SUM(K36:K67)</f>
        <v>1.0120293423711302</v>
      </c>
      <c r="L68" s="11">
        <f t="shared" ref="L68:P68" si="21">SUM(L36:L67)</f>
        <v>1.0215155534355267</v>
      </c>
      <c r="M68" s="11">
        <f t="shared" si="21"/>
        <v>1.1504618901248107</v>
      </c>
      <c r="N68" s="11">
        <f t="shared" si="21"/>
        <v>1.0133709868997851</v>
      </c>
      <c r="O68" s="11">
        <f t="shared" si="21"/>
        <v>1.0303747041406328</v>
      </c>
      <c r="P68" s="11">
        <f t="shared" si="21"/>
        <v>0.98415682142475525</v>
      </c>
    </row>
    <row r="69" spans="2:16" x14ac:dyDescent="0.3">
      <c r="J69" s="13" t="s">
        <v>175</v>
      </c>
      <c r="K69" s="14">
        <f>1-K68</f>
        <v>-1.2029342371130181E-2</v>
      </c>
      <c r="L69" s="14">
        <f t="shared" ref="L69:P69" si="22">1-L68</f>
        <v>-2.1515553435526691E-2</v>
      </c>
      <c r="M69" s="14">
        <f t="shared" si="22"/>
        <v>-0.1504618901248107</v>
      </c>
      <c r="N69" s="14">
        <f t="shared" si="22"/>
        <v>-1.3370986899785109E-2</v>
      </c>
      <c r="O69" s="14">
        <f t="shared" si="22"/>
        <v>-3.0374704140632813E-2</v>
      </c>
      <c r="P69" s="14">
        <f t="shared" si="22"/>
        <v>1.5843178575244754E-2</v>
      </c>
    </row>
  </sheetData>
  <sortState xmlns:xlrd2="http://schemas.microsoft.com/office/spreadsheetml/2017/richdata2" ref="A2:P34">
    <sortCondition ref="B1:B34"/>
  </sortState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0834-98C2-4FDF-83AF-C54AF94F0FE3}">
  <dimension ref="A1:P53"/>
  <sheetViews>
    <sheetView workbookViewId="0">
      <selection activeCell="I3" sqref="I3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5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128</v>
      </c>
      <c r="B2" s="17">
        <v>7.007943845878069E-3</v>
      </c>
      <c r="C2" s="17">
        <v>2.4096385542168677E-3</v>
      </c>
      <c r="D2" s="17">
        <v>3.4129692832764505E-3</v>
      </c>
      <c r="E2" s="17">
        <v>1.6194331983805668E-2</v>
      </c>
      <c r="F2" s="17">
        <v>1.0615711252653927E-2</v>
      </c>
      <c r="G2" s="17">
        <v>1.3123359580052493E-2</v>
      </c>
      <c r="H2" s="17">
        <v>1.5748031496062992E-2</v>
      </c>
      <c r="I2" s="9">
        <v>7.007943845878069E-3</v>
      </c>
      <c r="J2" s="18">
        <v>7.007943845878069E-3</v>
      </c>
      <c r="K2" s="18">
        <v>2.4096385542168677E-3</v>
      </c>
      <c r="L2" s="18">
        <v>3.4129692832764505E-3</v>
      </c>
      <c r="M2" s="18">
        <v>1.6194331983805668E-2</v>
      </c>
      <c r="N2" s="18">
        <v>1.0615711252653927E-2</v>
      </c>
      <c r="O2" s="18">
        <v>1.3123359580052493E-2</v>
      </c>
      <c r="P2" s="18">
        <v>1.5748031496062992E-2</v>
      </c>
    </row>
    <row r="3" spans="1:16" x14ac:dyDescent="0.3">
      <c r="A3" s="10" t="s">
        <v>129</v>
      </c>
      <c r="B3" s="17">
        <v>7.3551333094326096E-3</v>
      </c>
      <c r="C3" s="17">
        <v>7.2289156626506026E-3</v>
      </c>
      <c r="D3" s="17">
        <v>3.4129692832764505E-3</v>
      </c>
      <c r="E3" s="17">
        <v>1.6194331983805668E-2</v>
      </c>
      <c r="F3" s="17">
        <v>1.0615711252653927E-2</v>
      </c>
      <c r="G3" s="17">
        <v>1.5748031496062992E-2</v>
      </c>
      <c r="H3" s="17">
        <v>0</v>
      </c>
      <c r="I3" s="10">
        <v>1.4363077155310679E-2</v>
      </c>
      <c r="J3" s="10">
        <f>J2+B3</f>
        <v>1.4363077155310679E-2</v>
      </c>
      <c r="K3" s="10">
        <f t="shared" ref="K3:P18" si="0">K2+C3</f>
        <v>9.6385542168674707E-3</v>
      </c>
      <c r="L3" s="10">
        <f t="shared" si="0"/>
        <v>6.8259385665529011E-3</v>
      </c>
      <c r="M3" s="10">
        <f t="shared" si="0"/>
        <v>3.2388663967611336E-2</v>
      </c>
      <c r="N3" s="10">
        <f t="shared" si="0"/>
        <v>2.1231422505307854E-2</v>
      </c>
      <c r="O3" s="10">
        <f t="shared" si="0"/>
        <v>2.8871391076115485E-2</v>
      </c>
      <c r="P3" s="10">
        <f t="shared" si="0"/>
        <v>1.5748031496062992E-2</v>
      </c>
    </row>
    <row r="4" spans="1:16" x14ac:dyDescent="0.3">
      <c r="A4" s="10" t="s">
        <v>127</v>
      </c>
      <c r="B4" s="17">
        <v>8.5250108496707361E-3</v>
      </c>
      <c r="C4" s="17">
        <v>1.2048192771084338E-2</v>
      </c>
      <c r="D4" s="17">
        <v>1.3651877133105802E-2</v>
      </c>
      <c r="E4" s="17">
        <v>8.0971659919028341E-3</v>
      </c>
      <c r="F4" s="17">
        <v>1.0615711252653927E-2</v>
      </c>
      <c r="G4" s="17">
        <v>1.3123359580052493E-2</v>
      </c>
      <c r="H4" s="17">
        <v>3.937007874015748E-3</v>
      </c>
      <c r="I4" s="10">
        <v>2.2888088004981415E-2</v>
      </c>
      <c r="J4" s="10">
        <f t="shared" ref="J4:P19" si="1">J3+B4</f>
        <v>2.2888088004981415E-2</v>
      </c>
      <c r="K4" s="10">
        <f t="shared" si="0"/>
        <v>2.168674698795181E-2</v>
      </c>
      <c r="L4" s="10">
        <f t="shared" si="0"/>
        <v>2.0477815699658702E-2</v>
      </c>
      <c r="M4" s="10">
        <f t="shared" si="0"/>
        <v>4.048582995951417E-2</v>
      </c>
      <c r="N4" s="10">
        <f t="shared" si="0"/>
        <v>3.1847133757961783E-2</v>
      </c>
      <c r="O4" s="10">
        <f t="shared" si="0"/>
        <v>4.1994750656167978E-2</v>
      </c>
      <c r="P4" s="10">
        <f t="shared" si="0"/>
        <v>1.968503937007874E-2</v>
      </c>
    </row>
    <row r="5" spans="1:16" x14ac:dyDescent="0.3">
      <c r="A5" s="10" t="s">
        <v>110</v>
      </c>
      <c r="B5" s="17">
        <v>1.0026982659395814E-2</v>
      </c>
      <c r="C5" s="17">
        <v>7.2289156626506026E-3</v>
      </c>
      <c r="D5" s="17">
        <v>0</v>
      </c>
      <c r="E5" s="17">
        <v>0</v>
      </c>
      <c r="F5" s="17">
        <v>0</v>
      </c>
      <c r="G5" s="17">
        <v>5.2493438320209973E-3</v>
      </c>
      <c r="H5" s="17">
        <v>3.937007874015748E-3</v>
      </c>
      <c r="I5" s="10">
        <v>3.2915070664377231E-2</v>
      </c>
      <c r="J5" s="10">
        <f t="shared" si="1"/>
        <v>3.2915070664377231E-2</v>
      </c>
      <c r="K5" s="10">
        <f t="shared" si="0"/>
        <v>2.8915662650602414E-2</v>
      </c>
      <c r="L5" s="10">
        <f t="shared" si="0"/>
        <v>2.0477815699658702E-2</v>
      </c>
      <c r="M5" s="10">
        <f t="shared" si="0"/>
        <v>4.048582995951417E-2</v>
      </c>
      <c r="N5" s="10">
        <f t="shared" si="0"/>
        <v>3.1847133757961783E-2</v>
      </c>
      <c r="O5" s="10">
        <f t="shared" si="0"/>
        <v>4.7244094488188976E-2</v>
      </c>
      <c r="P5" s="10">
        <f t="shared" si="0"/>
        <v>2.3622047244094488E-2</v>
      </c>
    </row>
    <row r="6" spans="1:16" x14ac:dyDescent="0.3">
      <c r="A6" s="10" t="s">
        <v>124</v>
      </c>
      <c r="B6" s="17">
        <v>1.0676076004302129E-2</v>
      </c>
      <c r="C6" s="17">
        <v>9.6385542168674707E-3</v>
      </c>
      <c r="D6" s="17">
        <v>3.4129692832764505E-3</v>
      </c>
      <c r="E6" s="17">
        <v>8.0971659919028341E-3</v>
      </c>
      <c r="F6" s="17">
        <v>1.0615711252653927E-2</v>
      </c>
      <c r="G6" s="17">
        <v>1.5748031496062992E-2</v>
      </c>
      <c r="H6" s="17">
        <v>1.1811023622047244E-2</v>
      </c>
      <c r="I6" s="10">
        <v>4.3591146668679359E-2</v>
      </c>
      <c r="J6" s="10">
        <f t="shared" si="1"/>
        <v>4.3591146668679359E-2</v>
      </c>
      <c r="K6" s="10">
        <f t="shared" si="0"/>
        <v>3.8554216867469883E-2</v>
      </c>
      <c r="L6" s="10">
        <f t="shared" si="0"/>
        <v>2.3890784982935152E-2</v>
      </c>
      <c r="M6" s="10">
        <f t="shared" si="0"/>
        <v>4.8582995951417005E-2</v>
      </c>
      <c r="N6" s="10">
        <f t="shared" si="0"/>
        <v>4.2462845010615709E-2</v>
      </c>
      <c r="O6" s="10">
        <f t="shared" si="0"/>
        <v>6.2992125984251968E-2</v>
      </c>
      <c r="P6" s="10">
        <f t="shared" si="0"/>
        <v>3.5433070866141732E-2</v>
      </c>
    </row>
    <row r="7" spans="1:16" x14ac:dyDescent="0.3">
      <c r="A7" s="10" t="s">
        <v>118</v>
      </c>
      <c r="B7" s="17">
        <v>1.1291205162556371E-2</v>
      </c>
      <c r="C7" s="17">
        <v>2.1686746987951807E-2</v>
      </c>
      <c r="D7" s="17">
        <v>1.7064846416382253E-2</v>
      </c>
      <c r="E7" s="17">
        <v>1.6194331983805668E-2</v>
      </c>
      <c r="F7" s="17">
        <v>1.9108280254777069E-2</v>
      </c>
      <c r="G7" s="17">
        <v>3.4120734908136482E-2</v>
      </c>
      <c r="H7" s="17">
        <v>1.968503937007874E-2</v>
      </c>
      <c r="I7" s="10">
        <v>5.4882351831235729E-2</v>
      </c>
      <c r="J7" s="10">
        <f t="shared" si="1"/>
        <v>5.4882351831235729E-2</v>
      </c>
      <c r="K7" s="10">
        <f t="shared" si="0"/>
        <v>6.0240963855421686E-2</v>
      </c>
      <c r="L7" s="10">
        <f t="shared" si="0"/>
        <v>4.0955631399317405E-2</v>
      </c>
      <c r="M7" s="10">
        <f t="shared" si="0"/>
        <v>6.4777327935222673E-2</v>
      </c>
      <c r="N7" s="10">
        <f t="shared" si="0"/>
        <v>6.1571125265392782E-2</v>
      </c>
      <c r="O7" s="10">
        <f t="shared" si="0"/>
        <v>9.711286089238845E-2</v>
      </c>
      <c r="P7" s="10">
        <f t="shared" si="0"/>
        <v>5.5118110236220472E-2</v>
      </c>
    </row>
    <row r="8" spans="1:16" x14ac:dyDescent="0.3">
      <c r="A8" s="10" t="s">
        <v>123</v>
      </c>
      <c r="B8" s="17">
        <v>1.4683850029246938E-2</v>
      </c>
      <c r="C8" s="17">
        <v>1.2048192771084338E-2</v>
      </c>
      <c r="D8" s="17">
        <v>2.0477815699658702E-2</v>
      </c>
      <c r="E8" s="17">
        <v>2.8340080971659919E-2</v>
      </c>
      <c r="F8" s="17">
        <v>2.1231422505307854E-2</v>
      </c>
      <c r="G8" s="17">
        <v>1.8372703412073491E-2</v>
      </c>
      <c r="H8" s="17">
        <v>7.874015748031496E-3</v>
      </c>
      <c r="I8" s="10">
        <v>6.9566201860482665E-2</v>
      </c>
      <c r="J8" s="10">
        <f t="shared" si="1"/>
        <v>6.9566201860482665E-2</v>
      </c>
      <c r="K8" s="10">
        <f t="shared" si="0"/>
        <v>7.2289156626506021E-2</v>
      </c>
      <c r="L8" s="10">
        <f t="shared" si="0"/>
        <v>6.1433447098976107E-2</v>
      </c>
      <c r="M8" s="10">
        <f t="shared" si="0"/>
        <v>9.3117408906882596E-2</v>
      </c>
      <c r="N8" s="10">
        <f t="shared" si="0"/>
        <v>8.2802547770700632E-2</v>
      </c>
      <c r="O8" s="10">
        <f t="shared" si="0"/>
        <v>0.11548556430446194</v>
      </c>
      <c r="P8" s="10">
        <f t="shared" si="0"/>
        <v>6.2992125984251968E-2</v>
      </c>
    </row>
    <row r="9" spans="1:16" x14ac:dyDescent="0.3">
      <c r="A9" s="10" t="s">
        <v>113</v>
      </c>
      <c r="B9" s="17">
        <v>1.6774534407607979E-2</v>
      </c>
      <c r="C9" s="17">
        <v>1.9277108433734941E-2</v>
      </c>
      <c r="D9" s="17">
        <v>1.3651877133105802E-2</v>
      </c>
      <c r="E9" s="17">
        <v>4.048582995951417E-2</v>
      </c>
      <c r="F9" s="17">
        <v>1.2738853503184714E-2</v>
      </c>
      <c r="G9" s="17">
        <v>2.8871391076115485E-2</v>
      </c>
      <c r="H9" s="17">
        <v>3.937007874015748E-3</v>
      </c>
      <c r="I9" s="10">
        <v>8.6340736268090648E-2</v>
      </c>
      <c r="J9" s="10">
        <f t="shared" si="1"/>
        <v>8.6340736268090648E-2</v>
      </c>
      <c r="K9" s="10">
        <f t="shared" si="0"/>
        <v>9.1566265060240959E-2</v>
      </c>
      <c r="L9" s="10">
        <f t="shared" si="0"/>
        <v>7.5085324232081904E-2</v>
      </c>
      <c r="M9" s="10">
        <f t="shared" si="0"/>
        <v>0.13360323886639677</v>
      </c>
      <c r="N9" s="10">
        <f t="shared" si="0"/>
        <v>9.5541401273885343E-2</v>
      </c>
      <c r="O9" s="10">
        <f t="shared" si="0"/>
        <v>0.14435695538057741</v>
      </c>
      <c r="P9" s="10">
        <f t="shared" si="0"/>
        <v>6.6929133858267709E-2</v>
      </c>
    </row>
    <row r="10" spans="1:16" x14ac:dyDescent="0.3">
      <c r="A10" s="10" t="s">
        <v>121</v>
      </c>
      <c r="B10" s="17">
        <v>1.8016114119667151E-2</v>
      </c>
      <c r="C10" s="17">
        <v>2.4096385542168677E-3</v>
      </c>
      <c r="D10" s="17">
        <v>3.4129692832764505E-3</v>
      </c>
      <c r="E10" s="17">
        <v>1.6194331983805668E-2</v>
      </c>
      <c r="F10" s="17">
        <v>1.2738853503184714E-2</v>
      </c>
      <c r="G10" s="17">
        <v>1.3123359580052493E-2</v>
      </c>
      <c r="H10" s="17">
        <v>2.7559055118110236E-2</v>
      </c>
      <c r="I10" s="10">
        <v>0.1043568503877578</v>
      </c>
      <c r="J10" s="10">
        <f t="shared" si="1"/>
        <v>0.1043568503877578</v>
      </c>
      <c r="K10" s="10">
        <f t="shared" si="0"/>
        <v>9.3975903614457831E-2</v>
      </c>
      <c r="L10" s="10">
        <f t="shared" si="0"/>
        <v>7.849829351535835E-2</v>
      </c>
      <c r="M10" s="10">
        <f t="shared" si="0"/>
        <v>0.14979757085020245</v>
      </c>
      <c r="N10" s="10">
        <f t="shared" si="0"/>
        <v>0.10828025477707005</v>
      </c>
      <c r="O10" s="10">
        <f t="shared" si="0"/>
        <v>0.15748031496062992</v>
      </c>
      <c r="P10" s="10">
        <f t="shared" si="0"/>
        <v>9.4488188976377951E-2</v>
      </c>
    </row>
    <row r="11" spans="1:16" x14ac:dyDescent="0.3">
      <c r="A11" s="10" t="s">
        <v>126</v>
      </c>
      <c r="B11" s="17">
        <v>2.2122006906051286E-2</v>
      </c>
      <c r="C11" s="17">
        <v>1.6867469879518072E-2</v>
      </c>
      <c r="D11" s="17">
        <v>2.0477815699658702E-2</v>
      </c>
      <c r="E11" s="17">
        <v>1.6194331983805668E-2</v>
      </c>
      <c r="F11" s="17">
        <v>2.3354564755838639E-2</v>
      </c>
      <c r="G11" s="17">
        <v>1.5748031496062992E-2</v>
      </c>
      <c r="H11" s="17">
        <v>1.5748031496062992E-2</v>
      </c>
      <c r="I11" s="10">
        <v>0.12647885729380909</v>
      </c>
      <c r="J11" s="10">
        <f t="shared" si="1"/>
        <v>0.12647885729380909</v>
      </c>
      <c r="K11" s="10">
        <f t="shared" si="0"/>
        <v>0.11084337349397591</v>
      </c>
      <c r="L11" s="10">
        <f t="shared" si="0"/>
        <v>9.8976109215017052E-2</v>
      </c>
      <c r="M11" s="10">
        <f t="shared" si="0"/>
        <v>0.16599190283400811</v>
      </c>
      <c r="N11" s="10">
        <f t="shared" si="0"/>
        <v>0.1316348195329087</v>
      </c>
      <c r="O11" s="10">
        <f t="shared" si="0"/>
        <v>0.17322834645669291</v>
      </c>
      <c r="P11" s="10">
        <f t="shared" si="0"/>
        <v>0.11023622047244094</v>
      </c>
    </row>
    <row r="12" spans="1:16" x14ac:dyDescent="0.3">
      <c r="A12" s="10" t="s">
        <v>109</v>
      </c>
      <c r="B12" s="17">
        <v>2.245032737702134E-2</v>
      </c>
      <c r="C12" s="17">
        <v>7.2289156626506026E-3</v>
      </c>
      <c r="D12" s="17">
        <v>2.3890784982935155E-2</v>
      </c>
      <c r="E12" s="17">
        <v>2.4291497975708502E-2</v>
      </c>
      <c r="F12" s="17">
        <v>1.0615711252653927E-2</v>
      </c>
      <c r="G12" s="17">
        <v>1.8372703412073491E-2</v>
      </c>
      <c r="H12" s="17">
        <v>1.5748031496062992E-2</v>
      </c>
      <c r="I12" s="10">
        <v>0.14892918467083044</v>
      </c>
      <c r="J12" s="10">
        <f t="shared" si="1"/>
        <v>0.14892918467083044</v>
      </c>
      <c r="K12" s="10">
        <f t="shared" si="0"/>
        <v>0.11807228915662651</v>
      </c>
      <c r="L12" s="10">
        <f t="shared" si="0"/>
        <v>0.12286689419795221</v>
      </c>
      <c r="M12" s="10">
        <f t="shared" si="0"/>
        <v>0.19028340080971662</v>
      </c>
      <c r="N12" s="10">
        <f t="shared" si="0"/>
        <v>0.14225053078556263</v>
      </c>
      <c r="O12" s="10">
        <f t="shared" si="0"/>
        <v>0.19160104986876642</v>
      </c>
      <c r="P12" s="10">
        <f t="shared" si="0"/>
        <v>0.12598425196850394</v>
      </c>
    </row>
    <row r="13" spans="1:16" x14ac:dyDescent="0.3">
      <c r="A13" s="10" t="s">
        <v>130</v>
      </c>
      <c r="B13" s="17">
        <v>2.349566956620186E-2</v>
      </c>
      <c r="C13" s="17">
        <v>4.0963855421686748E-2</v>
      </c>
      <c r="D13" s="17">
        <v>3.4129692832764506E-2</v>
      </c>
      <c r="E13" s="17">
        <v>2.0242914979757085E-2</v>
      </c>
      <c r="F13" s="17">
        <v>3.8216560509554139E-2</v>
      </c>
      <c r="G13" s="17">
        <v>2.3622047244094488E-2</v>
      </c>
      <c r="H13" s="17">
        <v>1.968503937007874E-2</v>
      </c>
      <c r="I13" s="10">
        <v>0.1724248542370323</v>
      </c>
      <c r="J13" s="10">
        <f t="shared" si="1"/>
        <v>0.1724248542370323</v>
      </c>
      <c r="K13" s="10">
        <f t="shared" si="0"/>
        <v>0.15903614457831328</v>
      </c>
      <c r="L13" s="10">
        <f t="shared" si="0"/>
        <v>0.15699658703071673</v>
      </c>
      <c r="M13" s="10">
        <f t="shared" si="0"/>
        <v>0.2105263157894737</v>
      </c>
      <c r="N13" s="10">
        <f t="shared" si="0"/>
        <v>0.18046709129511676</v>
      </c>
      <c r="O13" s="10">
        <f t="shared" si="0"/>
        <v>0.21522309711286092</v>
      </c>
      <c r="P13" s="10">
        <f t="shared" si="0"/>
        <v>0.14566929133858267</v>
      </c>
    </row>
    <row r="14" spans="1:16" x14ac:dyDescent="0.3">
      <c r="A14" s="10" t="s">
        <v>131</v>
      </c>
      <c r="B14" s="17">
        <v>3.2650904768194426E-2</v>
      </c>
      <c r="C14" s="17">
        <v>1.9277108433734941E-2</v>
      </c>
      <c r="D14" s="17">
        <v>2.0477815699658702E-2</v>
      </c>
      <c r="E14" s="17">
        <v>2.4291497975708502E-2</v>
      </c>
      <c r="F14" s="17">
        <v>1.9108280254777069E-2</v>
      </c>
      <c r="G14" s="17">
        <v>2.8871391076115485E-2</v>
      </c>
      <c r="H14" s="17">
        <v>2.7559055118110236E-2</v>
      </c>
      <c r="I14" s="10">
        <v>0.20507575900522673</v>
      </c>
      <c r="J14" s="10">
        <f t="shared" si="1"/>
        <v>0.20507575900522673</v>
      </c>
      <c r="K14" s="10">
        <f t="shared" si="0"/>
        <v>0.17831325301204823</v>
      </c>
      <c r="L14" s="10">
        <f t="shared" si="0"/>
        <v>0.17747440273037543</v>
      </c>
      <c r="M14" s="10">
        <f t="shared" si="0"/>
        <v>0.23481781376518221</v>
      </c>
      <c r="N14" s="10">
        <f t="shared" si="0"/>
        <v>0.19957537154989383</v>
      </c>
      <c r="O14" s="10">
        <f t="shared" si="0"/>
        <v>0.24409448818897639</v>
      </c>
      <c r="P14" s="10">
        <f t="shared" si="0"/>
        <v>0.17322834645669291</v>
      </c>
    </row>
    <row r="15" spans="1:16" x14ac:dyDescent="0.3">
      <c r="A15" s="10" t="s">
        <v>116</v>
      </c>
      <c r="B15" s="17">
        <v>3.8534256656037137E-2</v>
      </c>
      <c r="C15" s="17">
        <v>3.614457831325301E-2</v>
      </c>
      <c r="D15" s="17">
        <v>1.7064846416382253E-2</v>
      </c>
      <c r="E15" s="17">
        <v>2.8340080971659919E-2</v>
      </c>
      <c r="F15" s="17">
        <v>2.5477707006369428E-2</v>
      </c>
      <c r="G15" s="17">
        <v>3.1496062992125984E-2</v>
      </c>
      <c r="H15" s="17">
        <v>3.1496062992125984E-2</v>
      </c>
      <c r="I15" s="10">
        <v>0.24361001566126386</v>
      </c>
      <c r="J15" s="10">
        <f t="shared" si="1"/>
        <v>0.24361001566126386</v>
      </c>
      <c r="K15" s="10">
        <f t="shared" si="0"/>
        <v>0.21445783132530125</v>
      </c>
      <c r="L15" s="10">
        <f t="shared" si="0"/>
        <v>0.19453924914675769</v>
      </c>
      <c r="M15" s="10">
        <f t="shared" si="0"/>
        <v>0.26315789473684215</v>
      </c>
      <c r="N15" s="10">
        <f t="shared" si="0"/>
        <v>0.22505307855626325</v>
      </c>
      <c r="O15" s="10">
        <f t="shared" si="0"/>
        <v>0.27559055118110237</v>
      </c>
      <c r="P15" s="10">
        <f t="shared" si="0"/>
        <v>0.20472440944881889</v>
      </c>
    </row>
    <row r="16" spans="1:16" x14ac:dyDescent="0.3">
      <c r="A16" s="10" t="s">
        <v>115</v>
      </c>
      <c r="B16" s="17">
        <v>5.1810479838481423E-2</v>
      </c>
      <c r="C16" s="17">
        <v>2.891566265060241E-2</v>
      </c>
      <c r="D16" s="17">
        <v>5.8020477815699661E-2</v>
      </c>
      <c r="E16" s="17">
        <v>2.4291497975708502E-2</v>
      </c>
      <c r="F16" s="17">
        <v>2.3354564755838639E-2</v>
      </c>
      <c r="G16" s="17">
        <v>3.4120734908136482E-2</v>
      </c>
      <c r="H16" s="17">
        <v>8.2677165354330714E-2</v>
      </c>
      <c r="I16" s="10">
        <v>0.29542049549974531</v>
      </c>
      <c r="J16" s="10">
        <f t="shared" si="1"/>
        <v>0.29542049549974531</v>
      </c>
      <c r="K16" s="10">
        <f t="shared" si="0"/>
        <v>0.24337349397590366</v>
      </c>
      <c r="L16" s="10">
        <f t="shared" si="0"/>
        <v>0.25255972696245732</v>
      </c>
      <c r="M16" s="10">
        <f t="shared" si="0"/>
        <v>0.28744939271255066</v>
      </c>
      <c r="N16" s="10">
        <f t="shared" si="0"/>
        <v>0.24840764331210188</v>
      </c>
      <c r="O16" s="10">
        <f t="shared" si="0"/>
        <v>0.30971128608923887</v>
      </c>
      <c r="P16" s="10">
        <f t="shared" si="0"/>
        <v>0.2874015748031496</v>
      </c>
    </row>
    <row r="17" spans="1:16" x14ac:dyDescent="0.3">
      <c r="A17" s="10" t="s">
        <v>112</v>
      </c>
      <c r="B17" s="17">
        <v>5.6723965507481558E-2</v>
      </c>
      <c r="C17" s="17">
        <v>6.0240963855421686E-2</v>
      </c>
      <c r="D17" s="17">
        <v>7.5085324232081918E-2</v>
      </c>
      <c r="E17" s="17">
        <v>4.8582995951417005E-2</v>
      </c>
      <c r="F17" s="17">
        <v>6.1571125265392782E-2</v>
      </c>
      <c r="G17" s="17">
        <v>3.6745406824146981E-2</v>
      </c>
      <c r="H17" s="17">
        <v>7.874015748031496E-2</v>
      </c>
      <c r="I17" s="10">
        <v>0.35214446100722685</v>
      </c>
      <c r="J17" s="10">
        <f t="shared" si="1"/>
        <v>0.35214446100722685</v>
      </c>
      <c r="K17" s="10">
        <f t="shared" si="0"/>
        <v>0.30361445783132535</v>
      </c>
      <c r="L17" s="10">
        <f t="shared" si="0"/>
        <v>0.32764505119453924</v>
      </c>
      <c r="M17" s="10">
        <f t="shared" si="0"/>
        <v>0.33603238866396767</v>
      </c>
      <c r="N17" s="10">
        <f t="shared" si="0"/>
        <v>0.30997876857749468</v>
      </c>
      <c r="O17" s="10">
        <f t="shared" si="0"/>
        <v>0.34645669291338588</v>
      </c>
      <c r="P17" s="10">
        <f t="shared" si="0"/>
        <v>0.36614173228346458</v>
      </c>
    </row>
    <row r="18" spans="1:16" x14ac:dyDescent="0.3">
      <c r="A18" s="10" t="s">
        <v>120</v>
      </c>
      <c r="B18" s="17">
        <v>5.8535388795592204E-2</v>
      </c>
      <c r="C18" s="17">
        <v>7.7108433734939766E-2</v>
      </c>
      <c r="D18" s="17">
        <v>5.4607508532423209E-2</v>
      </c>
      <c r="E18" s="17">
        <v>4.048582995951417E-2</v>
      </c>
      <c r="F18" s="17">
        <v>8.4925690021231418E-2</v>
      </c>
      <c r="G18" s="17">
        <v>9.1863517060367453E-2</v>
      </c>
      <c r="H18" s="17">
        <v>6.2992125984251968E-2</v>
      </c>
      <c r="I18" s="10">
        <v>0.41067984980281907</v>
      </c>
      <c r="J18" s="10">
        <f t="shared" si="1"/>
        <v>0.41067984980281907</v>
      </c>
      <c r="K18" s="10">
        <f t="shared" si="0"/>
        <v>0.3807228915662651</v>
      </c>
      <c r="L18" s="10">
        <f t="shared" si="0"/>
        <v>0.38225255972696243</v>
      </c>
      <c r="M18" s="10">
        <f t="shared" si="0"/>
        <v>0.37651821862348184</v>
      </c>
      <c r="N18" s="10">
        <f t="shared" si="0"/>
        <v>0.39490445859872608</v>
      </c>
      <c r="O18" s="10">
        <f t="shared" si="0"/>
        <v>0.43832020997375332</v>
      </c>
      <c r="P18" s="10">
        <f t="shared" si="0"/>
        <v>0.42913385826771655</v>
      </c>
    </row>
    <row r="19" spans="1:16" x14ac:dyDescent="0.3">
      <c r="A19" s="10" t="s">
        <v>117</v>
      </c>
      <c r="B19" s="17">
        <v>5.860331716889635E-2</v>
      </c>
      <c r="C19" s="17">
        <v>0.12771084337349398</v>
      </c>
      <c r="D19" s="17">
        <v>0.17064846416382254</v>
      </c>
      <c r="E19" s="17">
        <v>0.21052631578947367</v>
      </c>
      <c r="F19" s="17">
        <v>0.1316348195329087</v>
      </c>
      <c r="G19" s="17">
        <v>0.11811023622047244</v>
      </c>
      <c r="H19" s="17">
        <v>0.1141732283464567</v>
      </c>
      <c r="I19" s="10">
        <v>0.4692831669717154</v>
      </c>
      <c r="J19" s="10">
        <f t="shared" si="1"/>
        <v>0.4692831669717154</v>
      </c>
      <c r="K19" s="10">
        <f t="shared" si="1"/>
        <v>0.50843373493975907</v>
      </c>
      <c r="L19" s="10">
        <f t="shared" si="1"/>
        <v>0.55290102389078499</v>
      </c>
      <c r="M19" s="10">
        <f t="shared" si="1"/>
        <v>0.58704453441295557</v>
      </c>
      <c r="N19" s="10">
        <f t="shared" si="1"/>
        <v>0.52653927813163481</v>
      </c>
      <c r="O19" s="10">
        <f t="shared" si="1"/>
        <v>0.55643044619422577</v>
      </c>
      <c r="P19" s="10">
        <f t="shared" si="1"/>
        <v>0.54330708661417326</v>
      </c>
    </row>
    <row r="20" spans="1:16" x14ac:dyDescent="0.3">
      <c r="A20" s="10" t="s">
        <v>119</v>
      </c>
      <c r="B20" s="17">
        <v>5.9792063701718967E-2</v>
      </c>
      <c r="C20" s="17">
        <v>4.0963855421686748E-2</v>
      </c>
      <c r="D20" s="17">
        <v>3.4129692832764506E-2</v>
      </c>
      <c r="E20" s="17">
        <v>4.4534412955465584E-2</v>
      </c>
      <c r="F20" s="17">
        <v>4.2462845010615709E-2</v>
      </c>
      <c r="G20" s="17">
        <v>3.6745406824146981E-2</v>
      </c>
      <c r="H20" s="17">
        <v>4.3307086614173228E-2</v>
      </c>
      <c r="I20" s="10">
        <v>0.52907523067343432</v>
      </c>
      <c r="J20" s="10">
        <f t="shared" ref="J20:P25" si="2">J19+B20</f>
        <v>0.52907523067343432</v>
      </c>
      <c r="K20" s="10">
        <f t="shared" si="2"/>
        <v>0.54939759036144586</v>
      </c>
      <c r="L20" s="10">
        <f t="shared" si="2"/>
        <v>0.58703071672354945</v>
      </c>
      <c r="M20" s="10">
        <f t="shared" si="2"/>
        <v>0.63157894736842113</v>
      </c>
      <c r="N20" s="10">
        <f t="shared" si="2"/>
        <v>0.56900212314225052</v>
      </c>
      <c r="O20" s="10">
        <f t="shared" si="2"/>
        <v>0.59317585301837272</v>
      </c>
      <c r="P20" s="10">
        <f t="shared" si="2"/>
        <v>0.58661417322834652</v>
      </c>
    </row>
    <row r="21" spans="1:16" x14ac:dyDescent="0.3">
      <c r="A21" s="10" t="s">
        <v>125</v>
      </c>
      <c r="B21" s="17">
        <v>6.2037473819272791E-2</v>
      </c>
      <c r="C21" s="17">
        <v>4.0963855421686748E-2</v>
      </c>
      <c r="D21" s="17">
        <v>4.778156996587031E-2</v>
      </c>
      <c r="E21" s="17">
        <v>4.8582995951417005E-2</v>
      </c>
      <c r="F21" s="17">
        <v>4.4585987261146494E-2</v>
      </c>
      <c r="G21" s="17">
        <v>5.2493438320209973E-2</v>
      </c>
      <c r="H21" s="17">
        <v>5.1181102362204724E-2</v>
      </c>
      <c r="I21" s="10">
        <v>0.59111270449270714</v>
      </c>
      <c r="J21" s="10">
        <f t="shared" si="2"/>
        <v>0.59111270449270714</v>
      </c>
      <c r="K21" s="10">
        <f t="shared" si="2"/>
        <v>0.59036144578313265</v>
      </c>
      <c r="L21" s="10">
        <f t="shared" si="2"/>
        <v>0.6348122866894198</v>
      </c>
      <c r="M21" s="10">
        <f t="shared" si="2"/>
        <v>0.68016194331983815</v>
      </c>
      <c r="N21" s="10">
        <f t="shared" si="2"/>
        <v>0.613588110403397</v>
      </c>
      <c r="O21" s="10">
        <f t="shared" si="2"/>
        <v>0.64566929133858264</v>
      </c>
      <c r="P21" s="10">
        <f t="shared" si="2"/>
        <v>0.63779527559055127</v>
      </c>
    </row>
    <row r="22" spans="1:16" x14ac:dyDescent="0.3">
      <c r="A22" s="10" t="s">
        <v>111</v>
      </c>
      <c r="B22" s="17">
        <v>7.2641847651753869E-2</v>
      </c>
      <c r="C22" s="17">
        <v>5.3012048192771083E-2</v>
      </c>
      <c r="D22" s="17">
        <v>6.8259385665529013E-2</v>
      </c>
      <c r="E22" s="17">
        <v>0.11740890688259109</v>
      </c>
      <c r="F22" s="17">
        <v>5.7324840764331211E-2</v>
      </c>
      <c r="G22" s="17">
        <v>7.3490813648293962E-2</v>
      </c>
      <c r="H22" s="17">
        <v>1.968503937007874E-2</v>
      </c>
      <c r="I22" s="10">
        <v>0.663754552144461</v>
      </c>
      <c r="J22" s="10">
        <f t="shared" si="2"/>
        <v>0.663754552144461</v>
      </c>
      <c r="K22" s="10">
        <f t="shared" si="2"/>
        <v>0.64337349397590371</v>
      </c>
      <c r="L22" s="10">
        <f t="shared" si="2"/>
        <v>0.70307167235494883</v>
      </c>
      <c r="M22" s="10">
        <f t="shared" si="2"/>
        <v>0.79757085020242924</v>
      </c>
      <c r="N22" s="10">
        <f t="shared" si="2"/>
        <v>0.6709129511677282</v>
      </c>
      <c r="O22" s="10">
        <f t="shared" si="2"/>
        <v>0.71916010498687655</v>
      </c>
      <c r="P22" s="10">
        <f t="shared" si="2"/>
        <v>0.65748031496062997</v>
      </c>
    </row>
    <row r="23" spans="1:16" x14ac:dyDescent="0.3">
      <c r="A23" s="10" t="s">
        <v>122</v>
      </c>
      <c r="B23" s="17">
        <v>7.9230899862256357E-2</v>
      </c>
      <c r="C23" s="17">
        <v>3.8554216867469883E-2</v>
      </c>
      <c r="D23" s="17">
        <v>2.3890784982935155E-2</v>
      </c>
      <c r="E23" s="17">
        <v>8.0971659919028341E-3</v>
      </c>
      <c r="F23" s="17">
        <v>2.5477707006369428E-2</v>
      </c>
      <c r="G23" s="17">
        <v>3.937007874015748E-2</v>
      </c>
      <c r="H23" s="17">
        <v>6.2992125984251968E-2</v>
      </c>
      <c r="I23" s="10">
        <v>0.7429854520067174</v>
      </c>
      <c r="J23" s="10">
        <f t="shared" si="2"/>
        <v>0.7429854520067174</v>
      </c>
      <c r="K23" s="10">
        <f t="shared" si="2"/>
        <v>0.68192771084337356</v>
      </c>
      <c r="L23" s="10">
        <f t="shared" si="2"/>
        <v>0.726962457337884</v>
      </c>
      <c r="M23" s="10">
        <f t="shared" si="2"/>
        <v>0.80566801619433204</v>
      </c>
      <c r="N23" s="10">
        <f t="shared" si="2"/>
        <v>0.69639065817409762</v>
      </c>
      <c r="O23" s="10">
        <f t="shared" si="2"/>
        <v>0.75853018372703407</v>
      </c>
      <c r="P23" s="10">
        <f t="shared" si="2"/>
        <v>0.72047244094488194</v>
      </c>
    </row>
    <row r="24" spans="1:16" x14ac:dyDescent="0.3">
      <c r="A24" s="10" t="s">
        <v>114</v>
      </c>
      <c r="B24" s="17">
        <v>8.1385738815404646E-2</v>
      </c>
      <c r="C24" s="17">
        <v>6.0240963855421686E-2</v>
      </c>
      <c r="D24" s="17">
        <v>4.4368600682593858E-2</v>
      </c>
      <c r="E24" s="17">
        <v>8.0971659919028341E-2</v>
      </c>
      <c r="F24" s="17">
        <v>8.0679405520169847E-2</v>
      </c>
      <c r="G24" s="17">
        <v>7.3490813648293962E-2</v>
      </c>
      <c r="H24" s="17">
        <v>5.905511811023622E-2</v>
      </c>
      <c r="I24" s="16">
        <v>0.82437119082212207</v>
      </c>
      <c r="J24" s="16">
        <f t="shared" si="2"/>
        <v>0.82437119082212207</v>
      </c>
      <c r="K24" s="16">
        <f t="shared" si="2"/>
        <v>0.74216867469879522</v>
      </c>
      <c r="L24" s="16">
        <f t="shared" si="2"/>
        <v>0.77133105802047786</v>
      </c>
      <c r="M24" s="16">
        <f t="shared" si="2"/>
        <v>0.88663967611336036</v>
      </c>
      <c r="N24" s="16">
        <f t="shared" si="2"/>
        <v>0.77707006369426745</v>
      </c>
      <c r="O24" s="16">
        <f t="shared" si="2"/>
        <v>0.83202099737532809</v>
      </c>
      <c r="P24" s="16">
        <f t="shared" si="2"/>
        <v>0.77952755905511817</v>
      </c>
    </row>
    <row r="25" spans="1:16" x14ac:dyDescent="0.3">
      <c r="A25" s="10" t="s">
        <v>108</v>
      </c>
      <c r="B25" s="17">
        <v>0.17562880917787799</v>
      </c>
      <c r="C25" s="17">
        <v>0.25783132530120484</v>
      </c>
      <c r="D25" s="17">
        <v>0.22866894197952217</v>
      </c>
      <c r="E25" s="17">
        <v>0.11336032388663968</v>
      </c>
      <c r="F25" s="17">
        <v>0.22292993630573249</v>
      </c>
      <c r="G25" s="17">
        <v>0.16797900262467191</v>
      </c>
      <c r="H25" s="17">
        <v>0.22047244094488189</v>
      </c>
      <c r="I25" s="10">
        <v>1</v>
      </c>
      <c r="J25" s="10">
        <f t="shared" si="2"/>
        <v>1</v>
      </c>
      <c r="K25" s="10">
        <f t="shared" si="2"/>
        <v>1</v>
      </c>
      <c r="L25" s="10">
        <f t="shared" si="2"/>
        <v>1</v>
      </c>
      <c r="M25" s="10">
        <f t="shared" si="2"/>
        <v>1</v>
      </c>
      <c r="N25" s="10">
        <f t="shared" si="2"/>
        <v>1</v>
      </c>
      <c r="O25" s="10">
        <f t="shared" si="2"/>
        <v>1</v>
      </c>
      <c r="P25" s="10">
        <f t="shared" si="2"/>
        <v>1</v>
      </c>
    </row>
    <row r="27" spans="1:16" ht="28.8" x14ac:dyDescent="0.3">
      <c r="B27" s="1" t="s">
        <v>154</v>
      </c>
      <c r="C27" s="3" t="s">
        <v>162</v>
      </c>
      <c r="D27" s="3" t="s">
        <v>163</v>
      </c>
      <c r="E27" s="3" t="s">
        <v>164</v>
      </c>
      <c r="F27" s="3" t="s">
        <v>165</v>
      </c>
      <c r="G27" s="3" t="s">
        <v>166</v>
      </c>
      <c r="H27" s="3" t="s">
        <v>167</v>
      </c>
      <c r="J27" s="8"/>
      <c r="K27" s="11" t="s">
        <v>168</v>
      </c>
      <c r="L27" s="11" t="s">
        <v>169</v>
      </c>
      <c r="M27" s="11" t="s">
        <v>170</v>
      </c>
      <c r="N27" s="11" t="s">
        <v>171</v>
      </c>
      <c r="O27" s="11" t="s">
        <v>172</v>
      </c>
      <c r="P27" s="11" t="s">
        <v>173</v>
      </c>
    </row>
    <row r="28" spans="1:16" x14ac:dyDescent="0.3">
      <c r="B28" s="10" t="s">
        <v>128</v>
      </c>
      <c r="C28" s="10">
        <f>C2-B2</f>
        <v>-4.5983052916612008E-3</v>
      </c>
      <c r="D28" s="10">
        <f>D2-B2</f>
        <v>-3.5949745626016184E-3</v>
      </c>
      <c r="E28" s="10">
        <f>E2-B2</f>
        <v>9.1863881379276001E-3</v>
      </c>
      <c r="F28" s="10">
        <f>F2-B2</f>
        <v>3.6077674067758582E-3</v>
      </c>
      <c r="G28" s="10">
        <f>G2-B2</f>
        <v>6.1154157341744243E-3</v>
      </c>
      <c r="H28" s="10">
        <f>H2-B2</f>
        <v>8.7400876501849238E-3</v>
      </c>
      <c r="J28" s="10" t="s">
        <v>128</v>
      </c>
      <c r="K28" s="8">
        <f>(J2-0) * ((K2+0))</f>
        <v>1.6886611676814624E-5</v>
      </c>
      <c r="L28" s="8">
        <f>(J2-0) * ((L2+0))</f>
        <v>2.3917897084908086E-5</v>
      </c>
      <c r="M28" s="8">
        <f>(J2-0) * ((M2+0))</f>
        <v>1.1348896916401732E-4</v>
      </c>
      <c r="N28" s="8">
        <f>(J2-0) * ((N2+0))</f>
        <v>7.4394308342654652E-5</v>
      </c>
      <c r="O28" s="8">
        <f>(J2-0) * ((O2+0))</f>
        <v>9.1967767006273865E-5</v>
      </c>
      <c r="P28" s="8">
        <f>(J2-0) * ((P2+0))</f>
        <v>1.1036132040752864E-4</v>
      </c>
    </row>
    <row r="29" spans="1:16" x14ac:dyDescent="0.3">
      <c r="B29" s="10" t="s">
        <v>129</v>
      </c>
      <c r="C29" s="10">
        <f t="shared" ref="C29:C51" si="3">C3-B3</f>
        <v>-1.2621764678200694E-4</v>
      </c>
      <c r="D29" s="10">
        <f t="shared" ref="D29:D51" si="4">D3-B3</f>
        <v>-3.9421640261561586E-3</v>
      </c>
      <c r="E29" s="10">
        <f t="shared" ref="E29:E51" si="5">E3-B3</f>
        <v>8.8391986743730586E-3</v>
      </c>
      <c r="F29" s="10">
        <f t="shared" ref="F29:F51" si="6">F3-B3</f>
        <v>3.2605779432213176E-3</v>
      </c>
      <c r="G29" s="10">
        <f t="shared" ref="G29:G51" si="7">G3-B3</f>
        <v>8.3928981866303824E-3</v>
      </c>
      <c r="H29" s="10">
        <f t="shared" ref="H29:H51" si="8">H3-B3</f>
        <v>-7.3551333094326096E-3</v>
      </c>
      <c r="J29" s="10" t="s">
        <v>129</v>
      </c>
      <c r="K29" s="8">
        <f>(J3-J2) * ((K3+K2))</f>
        <v>8.8616063969067599E-5</v>
      </c>
      <c r="L29" s="8">
        <f>(J3-J2) * ((L3+L2))</f>
        <v>7.5308532178490896E-5</v>
      </c>
      <c r="M29" s="8">
        <f>(J3-J2) * ((M3+M2))</f>
        <v>3.5733441179429685E-4</v>
      </c>
      <c r="N29" s="8">
        <f>(J3-J2) * ((N3+N2))</f>
        <v>2.3423991431314046E-4</v>
      </c>
      <c r="O29" s="8">
        <f>(J3-J2) * ((O3+O2))</f>
        <v>3.0887698937249807E-4</v>
      </c>
      <c r="P29" s="8">
        <f>(J3-J2) * ((P3+P2))</f>
        <v>2.3165774202937354E-4</v>
      </c>
    </row>
    <row r="30" spans="1:16" x14ac:dyDescent="0.3">
      <c r="B30" s="10" t="s">
        <v>127</v>
      </c>
      <c r="C30" s="10">
        <f t="shared" si="3"/>
        <v>3.5231819214136019E-3</v>
      </c>
      <c r="D30" s="10">
        <f t="shared" si="4"/>
        <v>5.1268662834350661E-3</v>
      </c>
      <c r="E30" s="10">
        <f t="shared" si="5"/>
        <v>-4.2784485776790199E-4</v>
      </c>
      <c r="F30" s="10">
        <f t="shared" si="6"/>
        <v>2.0907004029831911E-3</v>
      </c>
      <c r="G30" s="10">
        <f t="shared" si="7"/>
        <v>4.5983487303817572E-3</v>
      </c>
      <c r="H30" s="10">
        <f t="shared" si="8"/>
        <v>-4.5880029756549881E-3</v>
      </c>
      <c r="J30" s="10" t="s">
        <v>127</v>
      </c>
      <c r="K30" s="8">
        <f t="shared" ref="K30:K51" si="9">(J4-J3) * ((K4+K3))</f>
        <v>2.6704853264028814E-4</v>
      </c>
      <c r="L30" s="8">
        <f t="shared" ref="L30:L51" si="10">(J4-J3) * ((L4+L3))</f>
        <v>2.3276480135619757E-4</v>
      </c>
      <c r="M30" s="8">
        <f t="shared" ref="M30:M51" si="11">(J4-J3) * ((M4+M3))</f>
        <v>6.2125585139300907E-4</v>
      </c>
      <c r="N30" s="8">
        <f t="shared" ref="N30:N51" si="12">(J4-J3) * ((N4+N3))</f>
        <v>4.524952680292323E-4</v>
      </c>
      <c r="O30" s="8">
        <f t="shared" ref="O30:O51" si="13">(J4-J3) * ((O4+O3))</f>
        <v>6.041346271420207E-4</v>
      </c>
      <c r="P30" s="8">
        <f t="shared" ref="P30:P51" si="14">(J4-J3) * ((P4+P3))</f>
        <v>3.0206731357101035E-4</v>
      </c>
    </row>
    <row r="31" spans="1:16" x14ac:dyDescent="0.3">
      <c r="B31" s="10" t="s">
        <v>110</v>
      </c>
      <c r="C31" s="10">
        <f t="shared" si="3"/>
        <v>-2.7980669967452116E-3</v>
      </c>
      <c r="D31" s="10">
        <f t="shared" si="4"/>
        <v>-1.0026982659395814E-2</v>
      </c>
      <c r="E31" s="10">
        <f t="shared" si="5"/>
        <v>-1.0026982659395814E-2</v>
      </c>
      <c r="F31" s="10">
        <f t="shared" si="6"/>
        <v>-1.0026982659395814E-2</v>
      </c>
      <c r="G31" s="10">
        <f t="shared" si="7"/>
        <v>-4.7776388273748169E-3</v>
      </c>
      <c r="H31" s="10">
        <f t="shared" si="8"/>
        <v>-6.0899747853800663E-3</v>
      </c>
      <c r="J31" s="10" t="s">
        <v>110</v>
      </c>
      <c r="K31" s="8">
        <f t="shared" si="9"/>
        <v>5.0738948396942694E-4</v>
      </c>
      <c r="L31" s="8">
        <f t="shared" si="10"/>
        <v>4.1066140584556244E-4</v>
      </c>
      <c r="M31" s="8">
        <f t="shared" si="11"/>
        <v>8.1190142991059244E-4</v>
      </c>
      <c r="N31" s="8">
        <f t="shared" si="12"/>
        <v>6.3866131588508383E-4</v>
      </c>
      <c r="O31" s="8">
        <f t="shared" si="13"/>
        <v>8.9479635280697569E-4</v>
      </c>
      <c r="P31" s="8">
        <f t="shared" si="14"/>
        <v>4.342394065092676E-4</v>
      </c>
    </row>
    <row r="32" spans="1:16" x14ac:dyDescent="0.3">
      <c r="B32" s="10" t="s">
        <v>124</v>
      </c>
      <c r="C32" s="10">
        <f t="shared" si="3"/>
        <v>-1.0375217874346587E-3</v>
      </c>
      <c r="D32" s="10">
        <f t="shared" si="4"/>
        <v>-7.2631067210256785E-3</v>
      </c>
      <c r="E32" s="10">
        <f t="shared" si="5"/>
        <v>-2.5789100123992954E-3</v>
      </c>
      <c r="F32" s="10">
        <f t="shared" si="6"/>
        <v>-6.0364751648202264E-5</v>
      </c>
      <c r="G32" s="10">
        <f t="shared" si="7"/>
        <v>5.0719554917608625E-3</v>
      </c>
      <c r="H32" s="10">
        <f t="shared" si="8"/>
        <v>1.1349476177451145E-3</v>
      </c>
      <c r="J32" s="10" t="s">
        <v>124</v>
      </c>
      <c r="K32" s="8">
        <f t="shared" si="9"/>
        <v>7.203135617360472E-4</v>
      </c>
      <c r="L32" s="8">
        <f t="shared" si="10"/>
        <v>4.7368255309190323E-4</v>
      </c>
      <c r="M32" s="8">
        <f t="shared" si="11"/>
        <v>9.5090555503905599E-4</v>
      </c>
      <c r="N32" s="8">
        <f t="shared" si="12"/>
        <v>7.9333898121141072E-4</v>
      </c>
      <c r="O32" s="8">
        <f t="shared" si="13"/>
        <v>1.1768902681907856E-3</v>
      </c>
      <c r="P32" s="8">
        <f t="shared" si="14"/>
        <v>6.3047692938792094E-4</v>
      </c>
    </row>
    <row r="33" spans="2:16" x14ac:dyDescent="0.3">
      <c r="B33" s="10" t="s">
        <v>118</v>
      </c>
      <c r="C33" s="10">
        <f t="shared" si="3"/>
        <v>1.0395541825395435E-2</v>
      </c>
      <c r="D33" s="10">
        <f t="shared" si="4"/>
        <v>5.7736412538258817E-3</v>
      </c>
      <c r="E33" s="10">
        <f t="shared" si="5"/>
        <v>4.9031268212492967E-3</v>
      </c>
      <c r="F33" s="10">
        <f t="shared" si="6"/>
        <v>7.8170750922206978E-3</v>
      </c>
      <c r="G33" s="10">
        <f t="shared" si="7"/>
        <v>2.2829529745580113E-2</v>
      </c>
      <c r="H33" s="10">
        <f t="shared" si="8"/>
        <v>8.3938342075223684E-3</v>
      </c>
      <c r="J33" s="10" t="s">
        <v>118</v>
      </c>
      <c r="K33" s="8">
        <f t="shared" si="9"/>
        <v>1.1155166546140028E-3</v>
      </c>
      <c r="L33" s="8">
        <f t="shared" si="10"/>
        <v>7.3219419142856997E-4</v>
      </c>
      <c r="M33" s="8">
        <f t="shared" si="11"/>
        <v>1.2799746742978881E-3</v>
      </c>
      <c r="N33" s="8">
        <f t="shared" si="12"/>
        <v>1.1746689022617031E-3</v>
      </c>
      <c r="O33" s="8">
        <f t="shared" si="13"/>
        <v>1.8077782543725422E-3</v>
      </c>
      <c r="P33" s="8">
        <f t="shared" si="14"/>
        <v>1.0224319635385689E-3</v>
      </c>
    </row>
    <row r="34" spans="2:16" x14ac:dyDescent="0.3">
      <c r="B34" s="10" t="s">
        <v>123</v>
      </c>
      <c r="C34" s="10">
        <f t="shared" si="3"/>
        <v>-2.6356572581626003E-3</v>
      </c>
      <c r="D34" s="10">
        <f t="shared" si="4"/>
        <v>5.7939656704117642E-3</v>
      </c>
      <c r="E34" s="10">
        <f t="shared" si="5"/>
        <v>1.3656230942412981E-2</v>
      </c>
      <c r="F34" s="10">
        <f t="shared" si="6"/>
        <v>6.5475724760609161E-3</v>
      </c>
      <c r="G34" s="10">
        <f t="shared" si="7"/>
        <v>3.6888533828265523E-3</v>
      </c>
      <c r="H34" s="10">
        <f t="shared" si="8"/>
        <v>-6.8098342812154423E-3</v>
      </c>
      <c r="J34" s="10" t="s">
        <v>123</v>
      </c>
      <c r="K34" s="8">
        <f t="shared" si="9"/>
        <v>1.9460524135146539E-3</v>
      </c>
      <c r="L34" s="8">
        <f t="shared" si="10"/>
        <v>1.5034658733017341E-3</v>
      </c>
      <c r="M34" s="8">
        <f t="shared" si="11"/>
        <v>2.3185026361968847E-3</v>
      </c>
      <c r="N34" s="8">
        <f t="shared" si="12"/>
        <v>2.1199613630335278E-3</v>
      </c>
      <c r="O34" s="8">
        <f t="shared" si="13"/>
        <v>3.1217633920446243E-3</v>
      </c>
      <c r="P34" s="8">
        <f t="shared" si="14"/>
        <v>1.7343129955803469E-3</v>
      </c>
    </row>
    <row r="35" spans="2:16" x14ac:dyDescent="0.3">
      <c r="B35" s="10" t="s">
        <v>113</v>
      </c>
      <c r="C35" s="10">
        <f t="shared" si="3"/>
        <v>2.5025740261269622E-3</v>
      </c>
      <c r="D35" s="10">
        <f t="shared" si="4"/>
        <v>-3.1226572745021771E-3</v>
      </c>
      <c r="E35" s="10">
        <f t="shared" si="5"/>
        <v>2.3711295551906191E-2</v>
      </c>
      <c r="F35" s="10">
        <f t="shared" si="6"/>
        <v>-4.0356809044232653E-3</v>
      </c>
      <c r="G35" s="10">
        <f t="shared" si="7"/>
        <v>1.2096856668507506E-2</v>
      </c>
      <c r="H35" s="10">
        <f t="shared" si="8"/>
        <v>-1.2837526533592231E-2</v>
      </c>
      <c r="J35" s="10" t="s">
        <v>113</v>
      </c>
      <c r="K35" s="8">
        <f t="shared" si="9"/>
        <v>2.7485984089574526E-3</v>
      </c>
      <c r="L35" s="8">
        <f t="shared" si="10"/>
        <v>2.2900388269771988E-3</v>
      </c>
      <c r="M35" s="8">
        <f t="shared" si="11"/>
        <v>3.803133306988045E-3</v>
      </c>
      <c r="N35" s="8">
        <f t="shared" si="12"/>
        <v>2.9916367096370924E-3</v>
      </c>
      <c r="O35" s="8">
        <f t="shared" si="13"/>
        <v>4.3587372870162473E-3</v>
      </c>
      <c r="P35" s="8">
        <f t="shared" si="14"/>
        <v>2.1793686435081236E-3</v>
      </c>
    </row>
    <row r="36" spans="2:16" x14ac:dyDescent="0.3">
      <c r="B36" s="10" t="s">
        <v>121</v>
      </c>
      <c r="C36" s="10">
        <f t="shared" si="3"/>
        <v>-1.5606475565450284E-2</v>
      </c>
      <c r="D36" s="10">
        <f t="shared" si="4"/>
        <v>-1.46031448363907E-2</v>
      </c>
      <c r="E36" s="10">
        <f t="shared" si="5"/>
        <v>-1.8217821358614827E-3</v>
      </c>
      <c r="F36" s="10">
        <f t="shared" si="6"/>
        <v>-5.2772606164824369E-3</v>
      </c>
      <c r="G36" s="10">
        <f t="shared" si="7"/>
        <v>-4.8927545396146577E-3</v>
      </c>
      <c r="H36" s="10">
        <f t="shared" si="8"/>
        <v>9.5429409984430849E-3</v>
      </c>
      <c r="J36" s="10" t="s">
        <v>121</v>
      </c>
      <c r="K36" s="8">
        <f t="shared" si="9"/>
        <v>3.3427488848539054E-3</v>
      </c>
      <c r="L36" s="8">
        <f t="shared" si="10"/>
        <v>2.7669799842492209E-3</v>
      </c>
      <c r="M36" s="8">
        <f t="shared" si="11"/>
        <v>5.1057813294603264E-3</v>
      </c>
      <c r="N36" s="8">
        <f t="shared" si="12"/>
        <v>3.6720742154735591E-3</v>
      </c>
      <c r="O36" s="8">
        <f t="shared" si="13"/>
        <v>5.4379347080360163E-3</v>
      </c>
      <c r="P36" s="8">
        <f t="shared" si="14"/>
        <v>2.9081129090801306E-3</v>
      </c>
    </row>
    <row r="37" spans="2:16" x14ac:dyDescent="0.3">
      <c r="B37" s="10" t="s">
        <v>126</v>
      </c>
      <c r="C37" s="10">
        <f t="shared" si="3"/>
        <v>-5.2545370265332132E-3</v>
      </c>
      <c r="D37" s="10">
        <f t="shared" si="4"/>
        <v>-1.6441912063925833E-3</v>
      </c>
      <c r="E37" s="10">
        <f t="shared" si="5"/>
        <v>-5.9276749222456175E-3</v>
      </c>
      <c r="F37" s="10">
        <f t="shared" si="6"/>
        <v>1.2325578497873538E-3</v>
      </c>
      <c r="G37" s="10">
        <f t="shared" si="7"/>
        <v>-6.3739754099882938E-3</v>
      </c>
      <c r="H37" s="10">
        <f t="shared" si="8"/>
        <v>-6.3739754099882938E-3</v>
      </c>
      <c r="J37" s="10" t="s">
        <v>126</v>
      </c>
      <c r="K37" s="8">
        <f t="shared" si="9"/>
        <v>4.5310134626852039E-3</v>
      </c>
      <c r="L37" s="8">
        <f t="shared" si="10"/>
        <v>3.9260899628486921E-3</v>
      </c>
      <c r="M37" s="8">
        <f t="shared" si="11"/>
        <v>6.985896917700408E-3</v>
      </c>
      <c r="N37" s="8">
        <f t="shared" si="12"/>
        <v>5.3074029307511586E-3</v>
      </c>
      <c r="O37" s="8">
        <f t="shared" si="13"/>
        <v>7.3159392917649928E-3</v>
      </c>
      <c r="P37" s="8">
        <f t="shared" si="14"/>
        <v>4.5289147996640435E-3</v>
      </c>
    </row>
    <row r="38" spans="2:16" x14ac:dyDescent="0.3">
      <c r="B38" s="10" t="s">
        <v>109</v>
      </c>
      <c r="C38" s="10">
        <f t="shared" si="3"/>
        <v>-1.5221411714370737E-2</v>
      </c>
      <c r="D38" s="10">
        <f t="shared" si="4"/>
        <v>1.4404576059138148E-3</v>
      </c>
      <c r="E38" s="10">
        <f t="shared" si="5"/>
        <v>1.841170598687162E-3</v>
      </c>
      <c r="F38" s="10">
        <f t="shared" si="6"/>
        <v>-1.1834616124367413E-2</v>
      </c>
      <c r="G38" s="10">
        <f t="shared" si="7"/>
        <v>-4.0776239649478498E-3</v>
      </c>
      <c r="H38" s="10">
        <f t="shared" si="8"/>
        <v>-6.7022958809583484E-3</v>
      </c>
      <c r="J38" s="10" t="s">
        <v>109</v>
      </c>
      <c r="K38" s="8">
        <f t="shared" si="9"/>
        <v>5.1392315682338039E-3</v>
      </c>
      <c r="L38" s="8">
        <f t="shared" si="10"/>
        <v>4.9804480529228243E-3</v>
      </c>
      <c r="M38" s="8">
        <f t="shared" si="11"/>
        <v>7.9984972031493084E-3</v>
      </c>
      <c r="N38" s="8">
        <f t="shared" si="12"/>
        <v>6.14881577841986E-3</v>
      </c>
      <c r="O38" s="8">
        <f t="shared" si="13"/>
        <v>8.1905393842676318E-3</v>
      </c>
      <c r="P38" s="8">
        <f t="shared" si="14"/>
        <v>5.3032269394538622E-3</v>
      </c>
    </row>
    <row r="39" spans="2:16" x14ac:dyDescent="0.3">
      <c r="B39" s="10" t="s">
        <v>130</v>
      </c>
      <c r="C39" s="10">
        <f t="shared" si="3"/>
        <v>1.7468185855484888E-2</v>
      </c>
      <c r="D39" s="10">
        <f t="shared" si="4"/>
        <v>1.0634023266562646E-2</v>
      </c>
      <c r="E39" s="10">
        <f t="shared" si="5"/>
        <v>-3.2527545864447747E-3</v>
      </c>
      <c r="F39" s="10">
        <f t="shared" si="6"/>
        <v>1.4720890943352279E-2</v>
      </c>
      <c r="G39" s="10">
        <f t="shared" si="7"/>
        <v>1.2637767789262788E-4</v>
      </c>
      <c r="H39" s="10">
        <f t="shared" si="8"/>
        <v>-3.8106301961231201E-3</v>
      </c>
      <c r="J39" s="10" t="s">
        <v>130</v>
      </c>
      <c r="K39" s="8">
        <f t="shared" si="9"/>
        <v>6.5108481930438887E-3</v>
      </c>
      <c r="L39" s="8">
        <f t="shared" si="10"/>
        <v>6.575579878595742E-3</v>
      </c>
      <c r="M39" s="8">
        <f t="shared" si="11"/>
        <v>9.4172926601375877E-3</v>
      </c>
      <c r="N39" s="8">
        <f t="shared" si="12"/>
        <v>7.5824666115980521E-3</v>
      </c>
      <c r="O39" s="8">
        <f t="shared" si="13"/>
        <v>9.5586057290322542E-3</v>
      </c>
      <c r="P39" s="8">
        <f t="shared" si="14"/>
        <v>6.3826818900312131E-3</v>
      </c>
    </row>
    <row r="40" spans="2:16" x14ac:dyDescent="0.3">
      <c r="B40" s="10" t="s">
        <v>131</v>
      </c>
      <c r="C40" s="10">
        <f t="shared" si="3"/>
        <v>-1.3373796334459485E-2</v>
      </c>
      <c r="D40" s="10">
        <f t="shared" si="4"/>
        <v>-1.2173089068535724E-2</v>
      </c>
      <c r="E40" s="10">
        <f t="shared" si="5"/>
        <v>-8.3594067924859239E-3</v>
      </c>
      <c r="F40" s="10">
        <f t="shared" si="6"/>
        <v>-1.3542624513417357E-2</v>
      </c>
      <c r="G40" s="10">
        <f t="shared" si="7"/>
        <v>-3.779513692078941E-3</v>
      </c>
      <c r="H40" s="10">
        <f t="shared" si="8"/>
        <v>-5.0918496500841903E-3</v>
      </c>
      <c r="J40" s="10" t="s">
        <v>131</v>
      </c>
      <c r="K40" s="8">
        <f t="shared" si="9"/>
        <v>1.1014763054330655E-2</v>
      </c>
      <c r="L40" s="8">
        <f t="shared" si="10"/>
        <v>1.0920780434413154E-2</v>
      </c>
      <c r="M40" s="8">
        <f t="shared" si="11"/>
        <v>1.4540888763163513E-2</v>
      </c>
      <c r="N40" s="8">
        <f t="shared" si="12"/>
        <v>1.2408730262222513E-2</v>
      </c>
      <c r="O40" s="8">
        <f t="shared" si="13"/>
        <v>1.4997134736047312E-2</v>
      </c>
      <c r="P40" s="8">
        <f t="shared" si="14"/>
        <v>1.0412296402455704E-2</v>
      </c>
    </row>
    <row r="41" spans="2:16" x14ac:dyDescent="0.3">
      <c r="B41" s="10" t="s">
        <v>116</v>
      </c>
      <c r="C41" s="10">
        <f t="shared" si="3"/>
        <v>-2.3896783427841267E-3</v>
      </c>
      <c r="D41" s="10">
        <f>D15-B15</f>
        <v>-2.1469410239654884E-2</v>
      </c>
      <c r="E41" s="10">
        <f>E15-B15</f>
        <v>-1.0194175684377218E-2</v>
      </c>
      <c r="F41" s="10">
        <f t="shared" si="6"/>
        <v>-1.3056549649667709E-2</v>
      </c>
      <c r="G41" s="10">
        <f t="shared" si="7"/>
        <v>-7.0381936639111534E-3</v>
      </c>
      <c r="H41" s="10">
        <f t="shared" si="8"/>
        <v>-7.0381936639111534E-3</v>
      </c>
      <c r="J41" s="10" t="s">
        <v>116</v>
      </c>
      <c r="K41" s="8">
        <f t="shared" si="9"/>
        <v>1.5135141770925431E-2</v>
      </c>
      <c r="L41" s="8">
        <f t="shared" si="10"/>
        <v>1.4335269540983096E-2</v>
      </c>
      <c r="M41" s="8">
        <f t="shared" si="11"/>
        <v>1.9189123759888935E-2</v>
      </c>
      <c r="N41" s="8">
        <f t="shared" si="12"/>
        <v>1.6362741679845912E-2</v>
      </c>
      <c r="O41" s="8">
        <f t="shared" si="13"/>
        <v>2.0025676687389374E-2</v>
      </c>
      <c r="P41" s="8">
        <f t="shared" si="14"/>
        <v>1.4564128499919546E-2</v>
      </c>
    </row>
    <row r="42" spans="2:16" x14ac:dyDescent="0.3">
      <c r="B42" s="10" t="s">
        <v>115</v>
      </c>
      <c r="C42" s="10">
        <f t="shared" si="3"/>
        <v>-2.2894817187879012E-2</v>
      </c>
      <c r="D42" s="10">
        <f t="shared" si="4"/>
        <v>6.2099979772182387E-3</v>
      </c>
      <c r="E42" s="10">
        <f t="shared" si="5"/>
        <v>-2.751898186277292E-2</v>
      </c>
      <c r="F42" s="10">
        <f t="shared" si="6"/>
        <v>-2.8455915082642783E-2</v>
      </c>
      <c r="G42" s="10">
        <f t="shared" si="7"/>
        <v>-1.768974493034494E-2</v>
      </c>
      <c r="H42" s="10">
        <f t="shared" si="8"/>
        <v>3.0866685515849292E-2</v>
      </c>
      <c r="J42" s="10" t="s">
        <v>115</v>
      </c>
      <c r="K42" s="8">
        <f t="shared" si="9"/>
        <v>2.3720460648943315E-2</v>
      </c>
      <c r="L42" s="8">
        <f t="shared" si="10"/>
        <v>2.3164412487512182E-2</v>
      </c>
      <c r="M42" s="8">
        <f t="shared" si="11"/>
        <v>2.8527227765317721E-2</v>
      </c>
      <c r="N42" s="8">
        <f t="shared" si="12"/>
        <v>2.4530227184673802E-2</v>
      </c>
      <c r="O42" s="8">
        <f t="shared" si="13"/>
        <v>3.0324769039321162E-2</v>
      </c>
      <c r="P42" s="8">
        <f t="shared" si="14"/>
        <v>2.549728338507945E-2</v>
      </c>
    </row>
    <row r="43" spans="2:16" x14ac:dyDescent="0.3">
      <c r="B43" s="10" t="s">
        <v>112</v>
      </c>
      <c r="C43" s="10">
        <f t="shared" si="3"/>
        <v>3.5169983479401284E-3</v>
      </c>
      <c r="D43" s="10">
        <f t="shared" si="4"/>
        <v>1.836135872460036E-2</v>
      </c>
      <c r="E43" s="10">
        <f t="shared" si="5"/>
        <v>-8.1409695560645534E-3</v>
      </c>
      <c r="F43" s="10">
        <f t="shared" si="6"/>
        <v>4.8471597579112236E-3</v>
      </c>
      <c r="G43" s="10">
        <f t="shared" si="7"/>
        <v>-1.9978558683334577E-2</v>
      </c>
      <c r="H43" s="10">
        <f t="shared" si="8"/>
        <v>2.2016191972833402E-2</v>
      </c>
      <c r="J43" s="10" t="s">
        <v>112</v>
      </c>
      <c r="K43" s="8">
        <f t="shared" si="9"/>
        <v>3.1027325711321236E-2</v>
      </c>
      <c r="L43" s="8">
        <f t="shared" si="10"/>
        <v>3.2911515823453454E-2</v>
      </c>
      <c r="M43" s="8">
        <f t="shared" si="11"/>
        <v>3.5366359061344776E-2</v>
      </c>
      <c r="N43" s="8">
        <f t="shared" si="12"/>
        <v>3.1673891567871856E-2</v>
      </c>
      <c r="O43" s="8">
        <f t="shared" si="13"/>
        <v>3.7220449808058755E-2</v>
      </c>
      <c r="P43" s="8">
        <f t="shared" si="14"/>
        <v>3.7071568008826515E-2</v>
      </c>
    </row>
    <row r="44" spans="2:16" x14ac:dyDescent="0.3">
      <c r="B44" s="10" t="s">
        <v>120</v>
      </c>
      <c r="C44" s="10">
        <f t="shared" si="3"/>
        <v>1.8573044939347562E-2</v>
      </c>
      <c r="D44" s="10">
        <f t="shared" si="4"/>
        <v>-3.9278802631689952E-3</v>
      </c>
      <c r="E44" s="10">
        <f t="shared" si="5"/>
        <v>-1.8049558836078033E-2</v>
      </c>
      <c r="F44" s="10">
        <f t="shared" si="6"/>
        <v>2.6390301225639214E-2</v>
      </c>
      <c r="G44" s="10">
        <f t="shared" si="7"/>
        <v>3.3328128264775249E-2</v>
      </c>
      <c r="H44" s="10">
        <f t="shared" si="8"/>
        <v>4.4567371886597637E-3</v>
      </c>
      <c r="J44" s="10" t="s">
        <v>120</v>
      </c>
      <c r="K44" s="8">
        <f t="shared" si="9"/>
        <v>4.0057952814332991E-2</v>
      </c>
      <c r="L44" s="8">
        <f t="shared" si="10"/>
        <v>4.1554132660352155E-2</v>
      </c>
      <c r="M44" s="8">
        <f t="shared" si="11"/>
        <v>4.1709426834106202E-2</v>
      </c>
      <c r="N44" s="8">
        <f t="shared" si="12"/>
        <v>4.1260613758251845E-2</v>
      </c>
      <c r="O44" s="8">
        <f t="shared" si="13"/>
        <v>4.5937221128299413E-2</v>
      </c>
      <c r="P44" s="8">
        <f t="shared" si="14"/>
        <v>4.6551765892557599E-2</v>
      </c>
    </row>
    <row r="45" spans="2:16" x14ac:dyDescent="0.3">
      <c r="B45" s="10" t="s">
        <v>117</v>
      </c>
      <c r="C45" s="10">
        <f t="shared" si="3"/>
        <v>6.9107526204597619E-2</v>
      </c>
      <c r="D45" s="10">
        <f t="shared" si="4"/>
        <v>0.11204514699492618</v>
      </c>
      <c r="E45" s="10">
        <f t="shared" si="5"/>
        <v>0.15192299862057732</v>
      </c>
      <c r="F45" s="10">
        <f t="shared" si="6"/>
        <v>7.3031502364012346E-2</v>
      </c>
      <c r="G45" s="10">
        <f t="shared" si="7"/>
        <v>5.9506919051576089E-2</v>
      </c>
      <c r="H45" s="10">
        <f t="shared" si="8"/>
        <v>5.5569911177560348E-2</v>
      </c>
      <c r="J45" s="10" t="s">
        <v>117</v>
      </c>
      <c r="K45" s="8">
        <f t="shared" si="9"/>
        <v>5.2107527795958432E-2</v>
      </c>
      <c r="L45" s="8">
        <f t="shared" si="10"/>
        <v>5.4803102062380864E-2</v>
      </c>
      <c r="M45" s="8">
        <f t="shared" si="11"/>
        <v>5.6467973628329268E-2</v>
      </c>
      <c r="N45" s="8">
        <f t="shared" si="12"/>
        <v>5.3999659556902349E-2</v>
      </c>
      <c r="O45" s="8">
        <f t="shared" si="13"/>
        <v>5.829568820737982E-2</v>
      </c>
      <c r="P45" s="8">
        <f t="shared" si="14"/>
        <v>5.698826512093462E-2</v>
      </c>
    </row>
    <row r="46" spans="2:16" x14ac:dyDescent="0.3">
      <c r="B46" s="10" t="s">
        <v>119</v>
      </c>
      <c r="C46" s="10">
        <f t="shared" si="3"/>
        <v>-1.8828208280032219E-2</v>
      </c>
      <c r="D46" s="10">
        <f t="shared" si="4"/>
        <v>-2.5662370868954461E-2</v>
      </c>
      <c r="E46" s="10">
        <f t="shared" si="5"/>
        <v>-1.5257650746253383E-2</v>
      </c>
      <c r="F46" s="10">
        <f t="shared" si="6"/>
        <v>-1.7329218691103258E-2</v>
      </c>
      <c r="G46" s="10">
        <f t="shared" si="7"/>
        <v>-2.3046656877571986E-2</v>
      </c>
      <c r="H46" s="10">
        <f t="shared" si="8"/>
        <v>-1.6484977087545739E-2</v>
      </c>
      <c r="J46" s="10" t="s">
        <v>119</v>
      </c>
      <c r="K46" s="8">
        <f t="shared" si="9"/>
        <v>6.3249917988083382E-2</v>
      </c>
      <c r="L46" s="8">
        <f t="shared" si="10"/>
        <v>6.8158871250423608E-2</v>
      </c>
      <c r="M46" s="8">
        <f t="shared" si="11"/>
        <v>7.2864012851082557E-2</v>
      </c>
      <c r="N46" s="8">
        <f t="shared" si="12"/>
        <v>6.5504681252838551E-2</v>
      </c>
      <c r="O46" s="8">
        <f t="shared" si="13"/>
        <v>6.8737333074417026E-2</v>
      </c>
      <c r="P46" s="8">
        <f t="shared" si="14"/>
        <v>6.7560323946430439E-2</v>
      </c>
    </row>
    <row r="47" spans="2:16" x14ac:dyDescent="0.3">
      <c r="B47" s="10" t="s">
        <v>125</v>
      </c>
      <c r="C47" s="10">
        <f t="shared" si="3"/>
        <v>-2.1073618397586043E-2</v>
      </c>
      <c r="D47" s="10">
        <f t="shared" si="4"/>
        <v>-1.4255903853402481E-2</v>
      </c>
      <c r="E47" s="10">
        <f t="shared" si="5"/>
        <v>-1.3454477867855787E-2</v>
      </c>
      <c r="F47" s="10">
        <f t="shared" si="6"/>
        <v>-1.7451486558126297E-2</v>
      </c>
      <c r="G47" s="10">
        <f t="shared" si="7"/>
        <v>-9.5440354990628182E-3</v>
      </c>
      <c r="H47" s="10">
        <f t="shared" si="8"/>
        <v>-1.0856371457068067E-2</v>
      </c>
      <c r="J47" s="10" t="s">
        <v>125</v>
      </c>
      <c r="K47" s="8">
        <f t="shared" si="9"/>
        <v>7.0707771365098926E-2</v>
      </c>
      <c r="L47" s="8">
        <f t="shared" si="10"/>
        <v>7.5800053335493764E-2</v>
      </c>
      <c r="M47" s="8">
        <f t="shared" si="11"/>
        <v>8.1377091163742504E-2</v>
      </c>
      <c r="N47" s="8">
        <f t="shared" si="12"/>
        <v>7.3364910652515838E-2</v>
      </c>
      <c r="O47" s="8">
        <f t="shared" si="13"/>
        <v>7.6854823209177872E-2</v>
      </c>
      <c r="P47" s="8">
        <f t="shared" si="14"/>
        <v>7.5959269125172632E-2</v>
      </c>
    </row>
    <row r="48" spans="2:16" x14ac:dyDescent="0.3">
      <c r="B48" s="10" t="s">
        <v>111</v>
      </c>
      <c r="C48" s="10">
        <f t="shared" si="3"/>
        <v>-1.9629799458982786E-2</v>
      </c>
      <c r="D48" s="10">
        <f t="shared" si="4"/>
        <v>-4.3824619862248559E-3</v>
      </c>
      <c r="E48" s="10">
        <f t="shared" si="5"/>
        <v>4.4767059230837222E-2</v>
      </c>
      <c r="F48" s="10">
        <f t="shared" si="6"/>
        <v>-1.5317006887422657E-2</v>
      </c>
      <c r="G48" s="10">
        <f t="shared" si="7"/>
        <v>8.4896599654009364E-4</v>
      </c>
      <c r="H48" s="10">
        <f t="shared" si="8"/>
        <v>-5.2956808281675129E-2</v>
      </c>
      <c r="J48" s="10" t="s">
        <v>111</v>
      </c>
      <c r="K48" s="8">
        <f t="shared" si="9"/>
        <v>8.9620785536621644E-2</v>
      </c>
      <c r="L48" s="8">
        <f t="shared" si="10"/>
        <v>9.718636272862631E-2</v>
      </c>
      <c r="M48" s="8">
        <f t="shared" si="11"/>
        <v>0.10734524045704519</v>
      </c>
      <c r="N48" s="8">
        <f t="shared" si="12"/>
        <v>9.3308530423165781E-2</v>
      </c>
      <c r="O48" s="8">
        <f t="shared" si="13"/>
        <v>9.9143729078509185E-2</v>
      </c>
      <c r="P48" s="8">
        <f t="shared" si="14"/>
        <v>9.4091212115854417E-2</v>
      </c>
    </row>
    <row r="49" spans="2:16" x14ac:dyDescent="0.3">
      <c r="B49" s="10" t="s">
        <v>122</v>
      </c>
      <c r="C49" s="10">
        <f t="shared" si="3"/>
        <v>-4.0676682994786474E-2</v>
      </c>
      <c r="D49" s="10">
        <f t="shared" si="4"/>
        <v>-5.5340114879321202E-2</v>
      </c>
      <c r="E49" s="10">
        <f t="shared" si="5"/>
        <v>-7.1133733870353516E-2</v>
      </c>
      <c r="F49" s="10">
        <f t="shared" si="6"/>
        <v>-5.3753192855886929E-2</v>
      </c>
      <c r="G49" s="10">
        <f t="shared" si="7"/>
        <v>-3.9860821122098877E-2</v>
      </c>
      <c r="H49" s="10">
        <f t="shared" si="8"/>
        <v>-1.6238773878004389E-2</v>
      </c>
      <c r="J49" s="10" t="s">
        <v>122</v>
      </c>
      <c r="K49" s="8">
        <f t="shared" si="9"/>
        <v>0.1050048070463639</v>
      </c>
      <c r="L49" s="8">
        <f t="shared" si="10"/>
        <v>0.11330289092930183</v>
      </c>
      <c r="M49" s="8">
        <f t="shared" si="11"/>
        <v>0.12702605807875925</v>
      </c>
      <c r="N49" s="8">
        <f t="shared" si="12"/>
        <v>0.10833269535306395</v>
      </c>
      <c r="O49" s="8">
        <f t="shared" si="13"/>
        <v>0.1170787312925206</v>
      </c>
      <c r="P49" s="8">
        <f t="shared" si="14"/>
        <v>0.10917643681806986</v>
      </c>
    </row>
    <row r="50" spans="2:16" x14ac:dyDescent="0.3">
      <c r="B50" s="10" t="s">
        <v>114</v>
      </c>
      <c r="C50" s="10">
        <f t="shared" si="3"/>
        <v>-2.1144774959982959E-2</v>
      </c>
      <c r="D50" s="10">
        <f t="shared" si="4"/>
        <v>-3.7017138132810788E-2</v>
      </c>
      <c r="E50" s="10">
        <f t="shared" si="5"/>
        <v>-4.1407889637630479E-4</v>
      </c>
      <c r="F50" s="10">
        <f t="shared" si="6"/>
        <v>-7.0633329523479838E-4</v>
      </c>
      <c r="G50" s="10">
        <f t="shared" si="7"/>
        <v>-7.8949251671106835E-3</v>
      </c>
      <c r="H50" s="10">
        <f t="shared" si="8"/>
        <v>-2.2330620705168426E-2</v>
      </c>
      <c r="J50" s="10" t="s">
        <v>114</v>
      </c>
      <c r="K50" s="8">
        <f t="shared" si="9"/>
        <v>0.1159011364816968</v>
      </c>
      <c r="L50" s="8">
        <f t="shared" si="10"/>
        <v>0.12193972470977014</v>
      </c>
      <c r="M50" s="8">
        <f t="shared" si="11"/>
        <v>0.13772971184145408</v>
      </c>
      <c r="N50" s="8">
        <f t="shared" si="12"/>
        <v>0.11991868946473638</v>
      </c>
      <c r="O50" s="8">
        <f t="shared" si="13"/>
        <v>0.12944818299773025</v>
      </c>
      <c r="P50" s="8">
        <f t="shared" si="14"/>
        <v>0.12207860822310701</v>
      </c>
    </row>
    <row r="51" spans="2:16" x14ac:dyDescent="0.3">
      <c r="B51" s="10" t="s">
        <v>108</v>
      </c>
      <c r="C51" s="10">
        <f t="shared" si="3"/>
        <v>8.2202516123326852E-2</v>
      </c>
      <c r="D51" s="10">
        <f t="shared" si="4"/>
        <v>5.3040132801644185E-2</v>
      </c>
      <c r="E51" s="10">
        <f t="shared" si="5"/>
        <v>-6.226848529123831E-2</v>
      </c>
      <c r="F51" s="10">
        <f t="shared" si="6"/>
        <v>4.7301127127854503E-2</v>
      </c>
      <c r="G51" s="10">
        <f t="shared" si="7"/>
        <v>-7.6498065532060733E-3</v>
      </c>
      <c r="H51" s="10">
        <f t="shared" si="8"/>
        <v>4.48436317670039E-2</v>
      </c>
      <c r="J51" s="10" t="s">
        <v>108</v>
      </c>
      <c r="K51" s="8">
        <f t="shared" si="9"/>
        <v>0.30597500972435121</v>
      </c>
      <c r="L51" s="8">
        <f t="shared" si="10"/>
        <v>0.31109676437992712</v>
      </c>
      <c r="M51" s="8">
        <f t="shared" si="11"/>
        <v>0.33134827966352681</v>
      </c>
      <c r="N51" s="8">
        <f t="shared" si="12"/>
        <v>0.31210469911227984</v>
      </c>
      <c r="O51" s="8">
        <f t="shared" si="13"/>
        <v>0.32175566615789708</v>
      </c>
      <c r="P51" s="8">
        <f t="shared" si="14"/>
        <v>0.31253630609606625</v>
      </c>
    </row>
    <row r="52" spans="2:16" x14ac:dyDescent="0.3">
      <c r="J52" s="12" t="s">
        <v>174</v>
      </c>
      <c r="K52" s="11">
        <f>SUM(K28:K51)</f>
        <v>0.95045686377792249</v>
      </c>
      <c r="L52" s="11">
        <f t="shared" ref="L52:P52" si="15">SUM(L28:L51)</f>
        <v>0.98916501230251863</v>
      </c>
      <c r="M52" s="11">
        <f t="shared" si="15"/>
        <v>1.0932553588129923</v>
      </c>
      <c r="N52" s="11">
        <f t="shared" si="15"/>
        <v>0.98396022656732507</v>
      </c>
      <c r="O52" s="11">
        <f t="shared" si="15"/>
        <v>1.0626873694678007</v>
      </c>
      <c r="P52" s="11">
        <f t="shared" si="15"/>
        <v>0.99825531648723542</v>
      </c>
    </row>
    <row r="53" spans="2:16" x14ac:dyDescent="0.3">
      <c r="J53" s="13" t="s">
        <v>175</v>
      </c>
      <c r="K53" s="14">
        <f>1-K52</f>
        <v>4.9543136222077511E-2</v>
      </c>
      <c r="L53" s="14">
        <f t="shared" ref="L53:P53" si="16">1-L52</f>
        <v>1.0834987697481369E-2</v>
      </c>
      <c r="M53" s="14">
        <f t="shared" si="16"/>
        <v>-9.3255358812992295E-2</v>
      </c>
      <c r="N53" s="14">
        <f t="shared" si="16"/>
        <v>1.6039773432674931E-2</v>
      </c>
      <c r="O53" s="14">
        <f t="shared" si="16"/>
        <v>-6.2687369467800735E-2</v>
      </c>
      <c r="P53" s="14">
        <f t="shared" si="16"/>
        <v>1.7446835127645777E-3</v>
      </c>
    </row>
  </sheetData>
  <sortState xmlns:xlrd2="http://schemas.microsoft.com/office/spreadsheetml/2017/richdata2" ref="A2:P26">
    <sortCondition ref="B1:B26"/>
  </sortState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6FC9-E7B4-47DB-A584-9D11CFF0C60D}">
  <dimension ref="A1:P17"/>
  <sheetViews>
    <sheetView workbookViewId="0">
      <selection activeCell="P5" sqref="P5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137</v>
      </c>
      <c r="B2" s="17">
        <v>5.507077146418822E-2</v>
      </c>
      <c r="C2" s="17">
        <v>3.2608695652173912E-2</v>
      </c>
      <c r="D2" s="17">
        <v>0</v>
      </c>
      <c r="E2" s="17">
        <v>1.0526315789473684E-2</v>
      </c>
      <c r="F2" s="17">
        <v>8.2568807339449546E-2</v>
      </c>
      <c r="G2" s="17">
        <v>8.0536912751677847E-2</v>
      </c>
      <c r="H2" s="17">
        <v>5.2631578947368418E-2</v>
      </c>
      <c r="I2" s="10">
        <v>5.507077146418822E-2</v>
      </c>
      <c r="J2" s="18">
        <v>5.507077146418822E-2</v>
      </c>
      <c r="K2" s="18">
        <v>3.2608695652173912E-2</v>
      </c>
      <c r="L2" s="18">
        <v>0</v>
      </c>
      <c r="M2" s="18">
        <v>1.0526315789473684E-2</v>
      </c>
      <c r="N2" s="18">
        <v>8.2568807339449546E-2</v>
      </c>
      <c r="O2" s="18">
        <v>8.0536912751677847E-2</v>
      </c>
      <c r="P2" s="18">
        <v>5.2631578947368418E-2</v>
      </c>
    </row>
    <row r="3" spans="1:16" x14ac:dyDescent="0.3">
      <c r="A3" s="10" t="s">
        <v>134</v>
      </c>
      <c r="B3" s="17">
        <v>6.0711975131365094E-2</v>
      </c>
      <c r="C3" s="17">
        <v>5.434782608695652E-2</v>
      </c>
      <c r="D3" s="17">
        <v>4.7619047619047616E-2</v>
      </c>
      <c r="E3" s="17">
        <v>0</v>
      </c>
      <c r="F3" s="17">
        <v>8.2568807339449546E-2</v>
      </c>
      <c r="G3" s="17">
        <v>2.6845637583892617E-2</v>
      </c>
      <c r="H3" s="17">
        <v>5.2631578947368418E-2</v>
      </c>
      <c r="I3" s="10">
        <v>0.11578274659555332</v>
      </c>
      <c r="J3" s="10">
        <f t="shared" ref="J3:P7" si="0">J2+B3</f>
        <v>0.11578274659555332</v>
      </c>
      <c r="K3" s="10">
        <f t="shared" si="0"/>
        <v>8.6956521739130432E-2</v>
      </c>
      <c r="L3" s="10">
        <f t="shared" si="0"/>
        <v>4.7619047619047616E-2</v>
      </c>
      <c r="M3" s="10">
        <f t="shared" si="0"/>
        <v>1.0526315789473684E-2</v>
      </c>
      <c r="N3" s="10">
        <f t="shared" si="0"/>
        <v>0.16513761467889909</v>
      </c>
      <c r="O3" s="10">
        <f t="shared" si="0"/>
        <v>0.10738255033557047</v>
      </c>
      <c r="P3" s="10">
        <f t="shared" si="0"/>
        <v>0.10526315789473684</v>
      </c>
    </row>
    <row r="4" spans="1:16" x14ac:dyDescent="0.3">
      <c r="A4" s="10" t="s">
        <v>136</v>
      </c>
      <c r="B4" s="17">
        <v>6.729995423918704E-2</v>
      </c>
      <c r="C4" s="17">
        <v>1.0869565217391304E-2</v>
      </c>
      <c r="D4" s="17">
        <v>2.3809523809523808E-2</v>
      </c>
      <c r="E4" s="17">
        <v>3.1578947368421054E-2</v>
      </c>
      <c r="F4" s="17">
        <v>5.5045871559633031E-2</v>
      </c>
      <c r="G4" s="17">
        <v>0.11409395973154363</v>
      </c>
      <c r="H4" s="17">
        <v>1.7543859649122806E-2</v>
      </c>
      <c r="I4" s="10">
        <v>0.18308270083474038</v>
      </c>
      <c r="J4" s="10">
        <f t="shared" si="0"/>
        <v>0.18308270083474038</v>
      </c>
      <c r="K4" s="10">
        <f t="shared" si="0"/>
        <v>9.7826086956521729E-2</v>
      </c>
      <c r="L4" s="10">
        <f t="shared" si="0"/>
        <v>7.1428571428571425E-2</v>
      </c>
      <c r="M4" s="10">
        <f t="shared" si="0"/>
        <v>4.2105263157894736E-2</v>
      </c>
      <c r="N4" s="10">
        <f t="shared" si="0"/>
        <v>0.22018348623853212</v>
      </c>
      <c r="O4" s="10">
        <f t="shared" si="0"/>
        <v>0.22147651006711411</v>
      </c>
      <c r="P4" s="10">
        <f t="shared" si="0"/>
        <v>0.12280701754385964</v>
      </c>
    </row>
    <row r="5" spans="1:16" x14ac:dyDescent="0.3">
      <c r="A5" s="10" t="s">
        <v>133</v>
      </c>
      <c r="B5" s="17">
        <v>7.9860508418411622E-2</v>
      </c>
      <c r="C5" s="17">
        <v>0</v>
      </c>
      <c r="D5" s="17">
        <v>2.3809523809523808E-2</v>
      </c>
      <c r="E5" s="17">
        <v>2.1052631578947368E-2</v>
      </c>
      <c r="F5" s="17">
        <v>7.3394495412844041E-2</v>
      </c>
      <c r="G5" s="17">
        <v>8.7248322147651006E-2</v>
      </c>
      <c r="H5" s="17">
        <v>8.771929824561403E-2</v>
      </c>
      <c r="I5" s="10">
        <v>0.26294320925315201</v>
      </c>
      <c r="J5" s="10">
        <f t="shared" si="0"/>
        <v>0.26294320925315201</v>
      </c>
      <c r="K5" s="10">
        <f t="shared" si="0"/>
        <v>9.7826086956521729E-2</v>
      </c>
      <c r="L5" s="10">
        <f t="shared" si="0"/>
        <v>9.5238095238095233E-2</v>
      </c>
      <c r="M5" s="10">
        <f t="shared" si="0"/>
        <v>6.3157894736842107E-2</v>
      </c>
      <c r="N5" s="10">
        <f t="shared" si="0"/>
        <v>0.29357798165137616</v>
      </c>
      <c r="O5" s="10">
        <f t="shared" si="0"/>
        <v>0.3087248322147651</v>
      </c>
      <c r="P5" s="10">
        <f t="shared" si="0"/>
        <v>0.21052631578947367</v>
      </c>
    </row>
    <row r="6" spans="1:16" x14ac:dyDescent="0.3">
      <c r="A6" s="10" t="s">
        <v>135</v>
      </c>
      <c r="B6" s="17">
        <v>0.16966215896359649</v>
      </c>
      <c r="C6" s="17">
        <v>0.27173913043478259</v>
      </c>
      <c r="D6" s="17">
        <v>4.7619047619047616E-2</v>
      </c>
      <c r="E6" s="17">
        <v>0.33684210526315789</v>
      </c>
      <c r="F6" s="17">
        <v>0.13761467889908258</v>
      </c>
      <c r="G6" s="17">
        <v>0.24161073825503357</v>
      </c>
      <c r="H6" s="17">
        <v>0.26315789473684209</v>
      </c>
      <c r="I6" s="10">
        <v>0.4326053682167485</v>
      </c>
      <c r="J6" s="10">
        <f t="shared" si="0"/>
        <v>0.4326053682167485</v>
      </c>
      <c r="K6" s="10">
        <f t="shared" si="0"/>
        <v>0.36956521739130432</v>
      </c>
      <c r="L6" s="10">
        <f t="shared" si="0"/>
        <v>0.14285714285714285</v>
      </c>
      <c r="M6" s="10">
        <f t="shared" si="0"/>
        <v>0.4</v>
      </c>
      <c r="N6" s="10">
        <f t="shared" si="0"/>
        <v>0.43119266055045874</v>
      </c>
      <c r="O6" s="10">
        <f t="shared" si="0"/>
        <v>0.55033557046979864</v>
      </c>
      <c r="P6" s="10">
        <f t="shared" si="0"/>
        <v>0.47368421052631576</v>
      </c>
    </row>
    <row r="7" spans="1:16" x14ac:dyDescent="0.3">
      <c r="A7" s="10" t="s">
        <v>132</v>
      </c>
      <c r="B7" s="17">
        <v>0.56739463178325156</v>
      </c>
      <c r="C7" s="17">
        <v>0.63043478260869568</v>
      </c>
      <c r="D7" s="17">
        <v>0.8571428571428571</v>
      </c>
      <c r="E7" s="17">
        <v>0.6</v>
      </c>
      <c r="F7" s="17">
        <v>0.56880733944954132</v>
      </c>
      <c r="G7" s="17">
        <v>0.44966442953020136</v>
      </c>
      <c r="H7" s="17">
        <v>0.52631578947368418</v>
      </c>
      <c r="I7" s="10">
        <v>1</v>
      </c>
      <c r="J7" s="10">
        <f t="shared" si="0"/>
        <v>1</v>
      </c>
      <c r="K7" s="10">
        <f t="shared" si="0"/>
        <v>1</v>
      </c>
      <c r="L7" s="10">
        <f t="shared" si="0"/>
        <v>1</v>
      </c>
      <c r="M7" s="10">
        <f t="shared" si="0"/>
        <v>1</v>
      </c>
      <c r="N7" s="10">
        <f t="shared" si="0"/>
        <v>1</v>
      </c>
      <c r="O7" s="10">
        <f t="shared" si="0"/>
        <v>1</v>
      </c>
      <c r="P7" s="10">
        <f t="shared" si="0"/>
        <v>1</v>
      </c>
    </row>
    <row r="9" spans="1:16" ht="28.8" x14ac:dyDescent="0.3">
      <c r="B9" s="1" t="s">
        <v>154</v>
      </c>
      <c r="C9" s="3" t="s">
        <v>162</v>
      </c>
      <c r="D9" s="3" t="s">
        <v>163</v>
      </c>
      <c r="E9" s="3" t="s">
        <v>164</v>
      </c>
      <c r="F9" s="3" t="s">
        <v>165</v>
      </c>
      <c r="G9" s="3" t="s">
        <v>166</v>
      </c>
      <c r="H9" s="3" t="s">
        <v>167</v>
      </c>
      <c r="J9" s="1" t="s">
        <v>154</v>
      </c>
      <c r="K9" s="11" t="s">
        <v>168</v>
      </c>
      <c r="L9" s="11" t="s">
        <v>169</v>
      </c>
      <c r="M9" s="11" t="s">
        <v>170</v>
      </c>
      <c r="N9" s="11" t="s">
        <v>171</v>
      </c>
      <c r="O9" s="11" t="s">
        <v>172</v>
      </c>
      <c r="P9" s="11" t="s">
        <v>173</v>
      </c>
    </row>
    <row r="10" spans="1:16" x14ac:dyDescent="0.3">
      <c r="B10" s="10" t="s">
        <v>137</v>
      </c>
      <c r="C10" s="10">
        <f>C2-B2</f>
        <v>-2.2462075812014308E-2</v>
      </c>
      <c r="D10" s="10">
        <f>D2-B2</f>
        <v>-5.507077146418822E-2</v>
      </c>
      <c r="E10" s="10">
        <f>E2-B2</f>
        <v>-4.4544455674714538E-2</v>
      </c>
      <c r="F10" s="10">
        <f>F2-B2</f>
        <v>2.7498035875261326E-2</v>
      </c>
      <c r="G10" s="10">
        <f>G2-B2</f>
        <v>2.5466141287489627E-2</v>
      </c>
      <c r="H10" s="10">
        <f>H2-B2</f>
        <v>-2.439192516819802E-3</v>
      </c>
      <c r="J10" s="10" t="s">
        <v>137</v>
      </c>
      <c r="K10" s="8">
        <f>(J2-0) * ((K2+0))</f>
        <v>1.7957860260061375E-3</v>
      </c>
      <c r="L10" s="8">
        <f>(J2-0) * ((L2+0))</f>
        <v>0</v>
      </c>
      <c r="M10" s="8">
        <f>(J2-0) * ((M2+0))</f>
        <v>5.7969233120198124E-4</v>
      </c>
      <c r="N10" s="8">
        <f>(J2-0) * ((N2+0))</f>
        <v>4.5471279190614127E-3</v>
      </c>
      <c r="O10" s="8">
        <f>(J2-0) * ((O2+0))</f>
        <v>4.4352299165789167E-3</v>
      </c>
      <c r="P10" s="8">
        <f>(J2-0) * ((P2+0))</f>
        <v>2.8984616560099063E-3</v>
      </c>
    </row>
    <row r="11" spans="1:16" x14ac:dyDescent="0.3">
      <c r="B11" s="10" t="s">
        <v>134</v>
      </c>
      <c r="C11" s="10">
        <f t="shared" ref="C11:C15" si="1">C3-B3</f>
        <v>-6.3641490444085735E-3</v>
      </c>
      <c r="D11" s="10">
        <f t="shared" ref="D11:D15" si="2">D3-B3</f>
        <v>-1.3092927512317477E-2</v>
      </c>
      <c r="E11" s="10">
        <f t="shared" ref="E11:E15" si="3">E3-B3</f>
        <v>-6.0711975131365094E-2</v>
      </c>
      <c r="F11" s="10">
        <f t="shared" ref="F11:F15" si="4">F3-B3</f>
        <v>2.1856832208084452E-2</v>
      </c>
      <c r="G11" s="10">
        <f t="shared" ref="G11:G15" si="5">G3-B3</f>
        <v>-3.386633754747248E-2</v>
      </c>
      <c r="H11" s="10">
        <f t="shared" ref="H11:H15" si="6">H3-B3</f>
        <v>-8.0803961839966756E-3</v>
      </c>
      <c r="J11" s="10" t="s">
        <v>134</v>
      </c>
      <c r="K11" s="8">
        <f>(J3-J2) * ((K3+K2))</f>
        <v>7.2590405048371318E-3</v>
      </c>
      <c r="L11" s="8">
        <f>(J3-J2) * ((L3+L2))</f>
        <v>2.8910464348269093E-3</v>
      </c>
      <c r="M11" s="8">
        <f>(J3-J2) * ((M3+M2))</f>
        <v>1.2781468448708443E-3</v>
      </c>
      <c r="N11" s="8">
        <f>(J3-J2) * ((N3+N2))</f>
        <v>1.503874613345741E-2</v>
      </c>
      <c r="O11" s="8">
        <f>(J3-J2) * ((O3+O2))</f>
        <v>1.1408961769652502E-2</v>
      </c>
      <c r="P11" s="8">
        <f>(J3-J2) * ((P3+P2))</f>
        <v>9.586101336531332E-3</v>
      </c>
    </row>
    <row r="12" spans="1:16" x14ac:dyDescent="0.3">
      <c r="B12" s="10" t="s">
        <v>136</v>
      </c>
      <c r="C12" s="10">
        <f t="shared" si="1"/>
        <v>-5.6430389021795736E-2</v>
      </c>
      <c r="D12" s="10">
        <f t="shared" si="2"/>
        <v>-4.3490430429663232E-2</v>
      </c>
      <c r="E12" s="10">
        <f t="shared" si="3"/>
        <v>-3.5721006870765987E-2</v>
      </c>
      <c r="F12" s="10">
        <f t="shared" si="4"/>
        <v>-1.225408267955401E-2</v>
      </c>
      <c r="G12" s="10">
        <f t="shared" si="5"/>
        <v>4.6794005492356586E-2</v>
      </c>
      <c r="H12" s="10">
        <f t="shared" si="6"/>
        <v>-4.9756094590064234E-2</v>
      </c>
      <c r="J12" s="10" t="s">
        <v>136</v>
      </c>
      <c r="K12" s="8">
        <f t="shared" ref="K12:K15" si="7">(J4-J3) * ((K4+K3))</f>
        <v>1.2435861109414999E-2</v>
      </c>
      <c r="L12" s="8">
        <f t="shared" ref="L12:L15" si="8">(J4-J3) * ((L4+L3))</f>
        <v>8.0118993141889347E-3</v>
      </c>
      <c r="M12" s="8">
        <f t="shared" ref="M12:M15" si="9">(J4-J3) * ((M4+M3))</f>
        <v>3.5421028546940552E-3</v>
      </c>
      <c r="N12" s="8">
        <f t="shared" ref="N12:N15" si="10">(J4-J3) * ((N4+N3))</f>
        <v>2.5932092459136299E-2</v>
      </c>
      <c r="O12" s="8">
        <f t="shared" ref="O12:O15" si="11">(J4-J3) * ((O4+O3))</f>
        <v>2.2132199716242723E-2</v>
      </c>
      <c r="P12" s="8">
        <f t="shared" ref="P12:P15" si="12">(J4-J3) * ((P4+P3))</f>
        <v>1.5349112370340907E-2</v>
      </c>
    </row>
    <row r="13" spans="1:16" x14ac:dyDescent="0.3">
      <c r="B13" s="10" t="s">
        <v>133</v>
      </c>
      <c r="C13" s="10">
        <f t="shared" si="1"/>
        <v>-7.9860508418411622E-2</v>
      </c>
      <c r="D13" s="10">
        <f t="shared" si="2"/>
        <v>-5.6050984608887813E-2</v>
      </c>
      <c r="E13" s="10">
        <f t="shared" si="3"/>
        <v>-5.8807876839464257E-2</v>
      </c>
      <c r="F13" s="10">
        <f t="shared" si="4"/>
        <v>-6.4660130055675807E-3</v>
      </c>
      <c r="G13" s="10">
        <f t="shared" si="5"/>
        <v>7.3878137292393842E-3</v>
      </c>
      <c r="H13" s="10">
        <f t="shared" si="6"/>
        <v>7.8587898272024087E-3</v>
      </c>
      <c r="J13" s="10" t="s">
        <v>133</v>
      </c>
      <c r="K13" s="8">
        <f t="shared" si="7"/>
        <v>1.5624882081863144E-2</v>
      </c>
      <c r="L13" s="8">
        <f t="shared" si="8"/>
        <v>1.3310084736401939E-2</v>
      </c>
      <c r="M13" s="8">
        <f t="shared" si="9"/>
        <v>8.4063693072012249E-3</v>
      </c>
      <c r="N13" s="8">
        <f t="shared" si="10"/>
        <v>4.1029252031477538E-2</v>
      </c>
      <c r="O13" s="8">
        <f t="shared" si="11"/>
        <v>4.2342148758755166E-2</v>
      </c>
      <c r="P13" s="8">
        <f t="shared" si="12"/>
        <v>2.6620169472803878E-2</v>
      </c>
    </row>
    <row r="14" spans="1:16" x14ac:dyDescent="0.3">
      <c r="B14" s="10" t="s">
        <v>135</v>
      </c>
      <c r="C14" s="10">
        <f t="shared" si="1"/>
        <v>0.10207697147118611</v>
      </c>
      <c r="D14" s="10">
        <f t="shared" si="2"/>
        <v>-0.12204311134454887</v>
      </c>
      <c r="E14" s="10">
        <f t="shared" si="3"/>
        <v>0.1671799462995614</v>
      </c>
      <c r="F14" s="10">
        <f t="shared" si="4"/>
        <v>-3.2047480064513911E-2</v>
      </c>
      <c r="G14" s="10">
        <f t="shared" si="5"/>
        <v>7.1948579291437081E-2</v>
      </c>
      <c r="H14" s="10">
        <f t="shared" si="6"/>
        <v>9.3495735773245603E-2</v>
      </c>
      <c r="J14" s="10" t="s">
        <v>135</v>
      </c>
      <c r="K14" s="8">
        <f t="shared" si="7"/>
        <v>7.9298617776463576E-2</v>
      </c>
      <c r="L14" s="8">
        <f t="shared" si="8"/>
        <v>4.0395752134189639E-2</v>
      </c>
      <c r="M14" s="8">
        <f t="shared" si="9"/>
        <v>7.8580368362086789E-2</v>
      </c>
      <c r="N14" s="8">
        <f t="shared" si="10"/>
        <v>0.12296615190939564</v>
      </c>
      <c r="O14" s="8">
        <f t="shared" si="11"/>
        <v>0.14575004259959967</v>
      </c>
      <c r="P14" s="8">
        <f t="shared" si="12"/>
        <v>0.11608463508035548</v>
      </c>
    </row>
    <row r="15" spans="1:16" x14ac:dyDescent="0.3">
      <c r="B15" s="10" t="s">
        <v>132</v>
      </c>
      <c r="C15" s="10">
        <f t="shared" si="1"/>
        <v>6.3040150825444119E-2</v>
      </c>
      <c r="D15" s="10">
        <f t="shared" si="2"/>
        <v>0.28974822535960554</v>
      </c>
      <c r="E15" s="10">
        <f t="shared" si="3"/>
        <v>3.260536821674842E-2</v>
      </c>
      <c r="F15" s="10">
        <f t="shared" si="4"/>
        <v>1.4127076662897586E-3</v>
      </c>
      <c r="G15" s="10">
        <f t="shared" si="5"/>
        <v>-0.1177302022530502</v>
      </c>
      <c r="H15" s="10">
        <f t="shared" si="6"/>
        <v>-4.1078842309567376E-2</v>
      </c>
      <c r="J15" s="10" t="s">
        <v>132</v>
      </c>
      <c r="K15" s="8">
        <f t="shared" si="7"/>
        <v>0.7770839522248878</v>
      </c>
      <c r="L15" s="8">
        <f t="shared" si="8"/>
        <v>0.64845100775228737</v>
      </c>
      <c r="M15" s="8">
        <f t="shared" si="9"/>
        <v>0.79435248449655194</v>
      </c>
      <c r="N15" s="8">
        <f t="shared" si="10"/>
        <v>0.81205103264391953</v>
      </c>
      <c r="O15" s="8">
        <f t="shared" si="11"/>
        <v>0.87965208014718843</v>
      </c>
      <c r="P15" s="8">
        <f t="shared" si="12"/>
        <v>0.83616050999637048</v>
      </c>
    </row>
    <row r="16" spans="1:16" x14ac:dyDescent="0.3">
      <c r="J16" s="12" t="s">
        <v>174</v>
      </c>
      <c r="K16" s="11">
        <f>SUM(K10:K15)</f>
        <v>0.89349813972347281</v>
      </c>
      <c r="L16" s="11">
        <f t="shared" ref="L16:P16" si="13">SUM(L10:L15)</f>
        <v>0.71305979037189482</v>
      </c>
      <c r="M16" s="11">
        <f t="shared" si="13"/>
        <v>0.88673916419660681</v>
      </c>
      <c r="N16" s="11">
        <f t="shared" si="13"/>
        <v>1.0215644030964479</v>
      </c>
      <c r="O16" s="11">
        <f t="shared" si="13"/>
        <v>1.1057206629080174</v>
      </c>
      <c r="P16" s="11">
        <f t="shared" si="13"/>
        <v>1.0066989899124119</v>
      </c>
    </row>
    <row r="17" spans="10:16" x14ac:dyDescent="0.3">
      <c r="J17" s="13" t="s">
        <v>175</v>
      </c>
      <c r="K17" s="14">
        <f>1-K16</f>
        <v>0.10650186027652719</v>
      </c>
      <c r="L17" s="14">
        <f t="shared" ref="L17:P17" si="14">1-L16</f>
        <v>0.28694020962810518</v>
      </c>
      <c r="M17" s="14">
        <f t="shared" si="14"/>
        <v>0.11326083580339319</v>
      </c>
      <c r="N17" s="14">
        <f t="shared" si="14"/>
        <v>-2.1564403096447915E-2</v>
      </c>
      <c r="O17" s="14">
        <f t="shared" si="14"/>
        <v>-0.1057206629080174</v>
      </c>
      <c r="P17" s="14">
        <f t="shared" si="14"/>
        <v>-6.6989899124119123E-3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29E4-6C25-478E-AACD-606EE08728E7}">
  <dimension ref="A1:P17"/>
  <sheetViews>
    <sheetView workbookViewId="0">
      <selection activeCell="A9" sqref="A9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10" t="s">
        <v>142</v>
      </c>
      <c r="B2" s="17">
        <v>4.0087123372919149E-2</v>
      </c>
      <c r="C2" s="17">
        <v>2.7272727272727271E-2</v>
      </c>
      <c r="D2" s="17">
        <v>3.125E-2</v>
      </c>
      <c r="E2" s="17">
        <v>1.9230769230769232E-2</v>
      </c>
      <c r="F2" s="17">
        <v>2.6785714285714284E-2</v>
      </c>
      <c r="G2" s="17">
        <v>5.9829059829059832E-2</v>
      </c>
      <c r="H2" s="17">
        <v>3.125E-2</v>
      </c>
      <c r="I2" s="10">
        <v>4.0087123372919149E-2</v>
      </c>
      <c r="J2" s="18">
        <v>4.0087123372919149E-2</v>
      </c>
      <c r="K2" s="18">
        <v>2.7272727272727271E-2</v>
      </c>
      <c r="L2" s="18">
        <v>3.125E-2</v>
      </c>
      <c r="M2" s="18">
        <v>1.9230769230769232E-2</v>
      </c>
      <c r="N2" s="18">
        <v>2.6785714285714284E-2</v>
      </c>
      <c r="O2" s="18">
        <v>5.9829059829059832E-2</v>
      </c>
      <c r="P2" s="18">
        <v>3.125E-2</v>
      </c>
    </row>
    <row r="3" spans="1:16" x14ac:dyDescent="0.3">
      <c r="A3" s="10" t="s">
        <v>143</v>
      </c>
      <c r="B3" s="17">
        <v>5.2977826508916068E-2</v>
      </c>
      <c r="C3" s="17">
        <v>4.5454545454545456E-2</v>
      </c>
      <c r="D3" s="17">
        <v>3.125E-2</v>
      </c>
      <c r="E3" s="17">
        <v>1.9230769230769232E-2</v>
      </c>
      <c r="F3" s="17">
        <v>8.0357142857142863E-2</v>
      </c>
      <c r="G3" s="17">
        <v>6.8376068376068383E-2</v>
      </c>
      <c r="H3" s="17">
        <v>9.375E-2</v>
      </c>
      <c r="I3" s="10">
        <v>9.3064949881835224E-2</v>
      </c>
      <c r="J3" s="10">
        <f t="shared" ref="J3:P7" si="0">J2+B3</f>
        <v>9.3064949881835224E-2</v>
      </c>
      <c r="K3" s="10">
        <f t="shared" si="0"/>
        <v>7.2727272727272724E-2</v>
      </c>
      <c r="L3" s="10">
        <f t="shared" si="0"/>
        <v>6.25E-2</v>
      </c>
      <c r="M3" s="10">
        <f t="shared" si="0"/>
        <v>3.8461538461538464E-2</v>
      </c>
      <c r="N3" s="10">
        <f t="shared" si="0"/>
        <v>0.10714285714285715</v>
      </c>
      <c r="O3" s="10">
        <f t="shared" si="0"/>
        <v>0.12820512820512822</v>
      </c>
      <c r="P3" s="10">
        <f t="shared" si="0"/>
        <v>0.125</v>
      </c>
    </row>
    <row r="4" spans="1:16" x14ac:dyDescent="0.3">
      <c r="A4" s="10" t="s">
        <v>141</v>
      </c>
      <c r="B4" s="17">
        <v>9.0331231802994502E-2</v>
      </c>
      <c r="C4" s="17">
        <v>5.4545454545454543E-2</v>
      </c>
      <c r="D4" s="17">
        <v>7.8125E-2</v>
      </c>
      <c r="E4" s="17">
        <v>1.9230769230769232E-2</v>
      </c>
      <c r="F4" s="17">
        <v>0.125</v>
      </c>
      <c r="G4" s="17">
        <v>5.128205128205128E-2</v>
      </c>
      <c r="H4" s="17">
        <v>7.8125E-2</v>
      </c>
      <c r="I4" s="10">
        <v>0.18339618168482974</v>
      </c>
      <c r="J4" s="10">
        <f t="shared" si="0"/>
        <v>0.18339618168482974</v>
      </c>
      <c r="K4" s="10">
        <f t="shared" si="0"/>
        <v>0.12727272727272726</v>
      </c>
      <c r="L4" s="10">
        <f t="shared" si="0"/>
        <v>0.140625</v>
      </c>
      <c r="M4" s="10">
        <f t="shared" si="0"/>
        <v>5.7692307692307696E-2</v>
      </c>
      <c r="N4" s="10">
        <f t="shared" si="0"/>
        <v>0.23214285714285715</v>
      </c>
      <c r="O4" s="10">
        <f t="shared" si="0"/>
        <v>0.17948717948717952</v>
      </c>
      <c r="P4" s="10">
        <f t="shared" si="0"/>
        <v>0.203125</v>
      </c>
    </row>
    <row r="5" spans="1:16" x14ac:dyDescent="0.3">
      <c r="A5" s="10" t="s">
        <v>139</v>
      </c>
      <c r="B5" s="17">
        <v>9.4902245501218688E-2</v>
      </c>
      <c r="C5" s="17">
        <v>7.2727272727272724E-2</v>
      </c>
      <c r="D5" s="17">
        <v>0.109375</v>
      </c>
      <c r="E5" s="17">
        <v>0.23076923076923078</v>
      </c>
      <c r="F5" s="17">
        <v>7.1428571428571425E-2</v>
      </c>
      <c r="G5" s="17">
        <v>0.10256410256410256</v>
      </c>
      <c r="H5" s="17">
        <v>0.171875</v>
      </c>
      <c r="I5" s="10">
        <v>0.27829842718604841</v>
      </c>
      <c r="J5" s="10">
        <f t="shared" si="0"/>
        <v>0.27829842718604841</v>
      </c>
      <c r="K5" s="10">
        <f t="shared" si="0"/>
        <v>0.19999999999999998</v>
      </c>
      <c r="L5" s="10">
        <f t="shared" si="0"/>
        <v>0.25</v>
      </c>
      <c r="M5" s="10">
        <f t="shared" si="0"/>
        <v>0.28846153846153849</v>
      </c>
      <c r="N5" s="10">
        <f t="shared" si="0"/>
        <v>0.3035714285714286</v>
      </c>
      <c r="O5" s="10">
        <f t="shared" si="0"/>
        <v>0.28205128205128205</v>
      </c>
      <c r="P5" s="10">
        <f t="shared" si="0"/>
        <v>0.375</v>
      </c>
    </row>
    <row r="6" spans="1:16" x14ac:dyDescent="0.3">
      <c r="A6" s="10" t="s">
        <v>140</v>
      </c>
      <c r="B6" s="17">
        <v>0.12486942606737245</v>
      </c>
      <c r="C6" s="17">
        <v>0.14545454545454545</v>
      </c>
      <c r="D6" s="17">
        <v>0.140625</v>
      </c>
      <c r="E6" s="17">
        <v>0.13461538461538461</v>
      </c>
      <c r="F6" s="17">
        <v>8.9285714285714288E-2</v>
      </c>
      <c r="G6" s="17">
        <v>0.1111111111111111</v>
      </c>
      <c r="H6" s="17">
        <v>0.15625</v>
      </c>
      <c r="I6" s="10">
        <v>0.40316785325342086</v>
      </c>
      <c r="J6" s="10">
        <f t="shared" si="0"/>
        <v>0.40316785325342086</v>
      </c>
      <c r="K6" s="10">
        <f t="shared" si="0"/>
        <v>0.34545454545454546</v>
      </c>
      <c r="L6" s="10">
        <f t="shared" si="0"/>
        <v>0.390625</v>
      </c>
      <c r="M6" s="10">
        <f t="shared" si="0"/>
        <v>0.42307692307692313</v>
      </c>
      <c r="N6" s="10">
        <f t="shared" si="0"/>
        <v>0.3928571428571429</v>
      </c>
      <c r="O6" s="10">
        <f t="shared" si="0"/>
        <v>0.39316239316239315</v>
      </c>
      <c r="P6" s="10">
        <f t="shared" si="0"/>
        <v>0.53125</v>
      </c>
    </row>
    <row r="7" spans="1:16" x14ac:dyDescent="0.3">
      <c r="A7" s="10" t="s">
        <v>138</v>
      </c>
      <c r="B7" s="17">
        <v>0.59683214674657914</v>
      </c>
      <c r="C7" s="17">
        <v>0.65454545454545454</v>
      </c>
      <c r="D7" s="17">
        <v>0.609375</v>
      </c>
      <c r="E7" s="17">
        <v>0.57692307692307687</v>
      </c>
      <c r="F7" s="17">
        <v>0.6071428571428571</v>
      </c>
      <c r="G7" s="17">
        <v>0.60683760683760679</v>
      </c>
      <c r="H7" s="17">
        <v>0.46875</v>
      </c>
      <c r="I7" s="10">
        <v>1</v>
      </c>
      <c r="J7" s="10">
        <f t="shared" si="0"/>
        <v>1</v>
      </c>
      <c r="K7" s="10">
        <f t="shared" si="0"/>
        <v>1</v>
      </c>
      <c r="L7" s="10">
        <f t="shared" si="0"/>
        <v>1</v>
      </c>
      <c r="M7" s="10">
        <f t="shared" si="0"/>
        <v>1</v>
      </c>
      <c r="N7" s="10">
        <f t="shared" si="0"/>
        <v>1</v>
      </c>
      <c r="O7" s="10">
        <f t="shared" si="0"/>
        <v>1</v>
      </c>
      <c r="P7" s="10">
        <f t="shared" si="0"/>
        <v>1</v>
      </c>
    </row>
    <row r="9" spans="1:16" ht="28.8" x14ac:dyDescent="0.3">
      <c r="B9" s="1" t="s">
        <v>154</v>
      </c>
      <c r="C9" s="3" t="s">
        <v>162</v>
      </c>
      <c r="D9" s="3" t="s">
        <v>163</v>
      </c>
      <c r="E9" s="3" t="s">
        <v>164</v>
      </c>
      <c r="F9" s="3" t="s">
        <v>165</v>
      </c>
      <c r="G9" s="3" t="s">
        <v>166</v>
      </c>
      <c r="H9" s="3" t="s">
        <v>167</v>
      </c>
      <c r="J9" s="1" t="s">
        <v>154</v>
      </c>
      <c r="K9" s="11" t="s">
        <v>168</v>
      </c>
      <c r="L9" s="11" t="s">
        <v>169</v>
      </c>
      <c r="M9" s="11" t="s">
        <v>170</v>
      </c>
      <c r="N9" s="11" t="s">
        <v>171</v>
      </c>
      <c r="O9" s="11" t="s">
        <v>172</v>
      </c>
      <c r="P9" s="11" t="s">
        <v>173</v>
      </c>
    </row>
    <row r="10" spans="1:16" x14ac:dyDescent="0.3">
      <c r="B10" s="10" t="s">
        <v>142</v>
      </c>
      <c r="C10" s="10">
        <f>C2-B2</f>
        <v>-1.2814396100191878E-2</v>
      </c>
      <c r="D10" s="10">
        <f>D2-B2</f>
        <v>-8.8371233729191492E-3</v>
      </c>
      <c r="E10" s="10">
        <f>E2-B2</f>
        <v>-2.0856354142149917E-2</v>
      </c>
      <c r="F10" s="10">
        <f>F2-B2</f>
        <v>-1.3301409087204865E-2</v>
      </c>
      <c r="G10" s="10">
        <f>G2-B2</f>
        <v>1.9741936456140682E-2</v>
      </c>
      <c r="H10" s="10">
        <f>H2-B2</f>
        <v>-8.8371233729191492E-3</v>
      </c>
      <c r="J10" s="10" t="s">
        <v>142</v>
      </c>
      <c r="K10" s="8">
        <f>(J2-0) * ((K2+0))</f>
        <v>1.0932851828977948E-3</v>
      </c>
      <c r="L10" s="8">
        <f>(J2-0) * ((L2+0))</f>
        <v>1.2527226054037234E-3</v>
      </c>
      <c r="M10" s="8">
        <f>(J2-0) * ((M2+0))</f>
        <v>7.7090621870998363E-4</v>
      </c>
      <c r="N10" s="8">
        <f>(J2-0) * ((N2+0))</f>
        <v>1.0737622332031914E-3</v>
      </c>
      <c r="O10" s="8">
        <f>(J2-0) * ((O2+0))</f>
        <v>2.3983749026532824E-3</v>
      </c>
      <c r="P10" s="8">
        <f>(J2-0) * ((P2+0))</f>
        <v>1.2527226054037234E-3</v>
      </c>
    </row>
    <row r="11" spans="1:16" x14ac:dyDescent="0.3">
      <c r="B11" s="10" t="s">
        <v>143</v>
      </c>
      <c r="C11" s="10">
        <f t="shared" ref="C11:C15" si="1">C3-B3</f>
        <v>-7.5232810543706119E-3</v>
      </c>
      <c r="D11" s="10">
        <f t="shared" ref="D11:D15" si="2">D3-B3</f>
        <v>-2.1727826508916068E-2</v>
      </c>
      <c r="E11" s="10">
        <f t="shared" ref="E11:E15" si="3">E3-B3</f>
        <v>-3.3747057278146836E-2</v>
      </c>
      <c r="F11" s="10">
        <f t="shared" ref="F11:F15" si="4">F3-B3</f>
        <v>2.7379316348226795E-2</v>
      </c>
      <c r="G11" s="10">
        <f t="shared" ref="G11:G15" si="5">G3-B3</f>
        <v>1.5398241867152315E-2</v>
      </c>
      <c r="H11" s="10">
        <f t="shared" ref="H11:H15" si="6">H3-B3</f>
        <v>4.0772173491083932E-2</v>
      </c>
      <c r="J11" s="10" t="s">
        <v>143</v>
      </c>
      <c r="K11" s="8">
        <f>(J3-J2) * ((K3+K2))</f>
        <v>5.2977826508916071E-3</v>
      </c>
      <c r="L11" s="8">
        <f>(J3-J2) * ((L3+L2))</f>
        <v>4.9666712352108818E-3</v>
      </c>
      <c r="M11" s="8">
        <f>(J3-J2) * ((M3+M2))</f>
        <v>3.0564130678220813E-3</v>
      </c>
      <c r="N11" s="8">
        <f>(J3-J2) * ((N3+N2))</f>
        <v>7.0952446217298314E-3</v>
      </c>
      <c r="O11" s="8">
        <f>(J3-J2) * ((O3+O2))</f>
        <v>9.9616425914201175E-3</v>
      </c>
      <c r="P11" s="8">
        <f>(J3-J2) * ((P3+P2))</f>
        <v>8.277785392018136E-3</v>
      </c>
    </row>
    <row r="12" spans="1:16" x14ac:dyDescent="0.3">
      <c r="B12" s="10" t="s">
        <v>141</v>
      </c>
      <c r="C12" s="10">
        <f t="shared" si="1"/>
        <v>-3.5785777257539959E-2</v>
      </c>
      <c r="D12" s="10">
        <f t="shared" si="2"/>
        <v>-1.2206231802994502E-2</v>
      </c>
      <c r="E12" s="10">
        <f t="shared" si="3"/>
        <v>-7.110046257222527E-2</v>
      </c>
      <c r="F12" s="10">
        <f t="shared" si="4"/>
        <v>3.4668768197005498E-2</v>
      </c>
      <c r="G12" s="10">
        <f t="shared" si="5"/>
        <v>-3.9049180520943222E-2</v>
      </c>
      <c r="H12" s="10">
        <f t="shared" si="6"/>
        <v>-1.2206231802994502E-2</v>
      </c>
      <c r="J12" s="10" t="s">
        <v>141</v>
      </c>
      <c r="K12" s="8">
        <f t="shared" ref="K12:K15" si="7">(J4-J3) * ((K4+K3))</f>
        <v>1.8066246360598903E-2</v>
      </c>
      <c r="L12" s="8">
        <f t="shared" ref="L12:L15" si="8">(J4-J3) * ((L4+L3))</f>
        <v>1.8348531459983261E-2</v>
      </c>
      <c r="M12" s="8">
        <f t="shared" ref="M12:M15" si="9">(J4-J3) * ((M4+M3))</f>
        <v>8.6856953656725498E-3</v>
      </c>
      <c r="N12" s="8">
        <f t="shared" ref="N12:N15" si="10">(J4-J3) * ((N4+N3))</f>
        <v>3.0648096504587427E-2</v>
      </c>
      <c r="O12" s="8">
        <f t="shared" ref="O12:O15" si="11">(J4-J3) * ((O4+O3))</f>
        <v>2.7794225170152162E-2</v>
      </c>
      <c r="P12" s="8">
        <f t="shared" ref="P12:P15" si="12">(J4-J3) * ((P4+P3))</f>
        <v>2.9639935435357576E-2</v>
      </c>
    </row>
    <row r="13" spans="1:16" x14ac:dyDescent="0.3">
      <c r="B13" s="10" t="s">
        <v>139</v>
      </c>
      <c r="C13" s="10">
        <f t="shared" si="1"/>
        <v>-2.2174972773945964E-2</v>
      </c>
      <c r="D13" s="10">
        <f t="shared" si="2"/>
        <v>1.4472754498781312E-2</v>
      </c>
      <c r="E13" s="10">
        <f t="shared" si="3"/>
        <v>0.13586698526801211</v>
      </c>
      <c r="F13" s="10">
        <f t="shared" si="4"/>
        <v>-2.3473674072647263E-2</v>
      </c>
      <c r="G13" s="10">
        <f t="shared" si="5"/>
        <v>7.6618570628838728E-3</v>
      </c>
      <c r="H13" s="10">
        <f t="shared" si="6"/>
        <v>7.6972754498781312E-2</v>
      </c>
      <c r="J13" s="10" t="s">
        <v>139</v>
      </c>
      <c r="K13" s="8">
        <f t="shared" si="7"/>
        <v>3.1058916709489747E-2</v>
      </c>
      <c r="L13" s="8">
        <f t="shared" si="8"/>
        <v>3.7071189648913545E-2</v>
      </c>
      <c r="M13" s="8">
        <f t="shared" si="9"/>
        <v>3.2850777288883394E-2</v>
      </c>
      <c r="N13" s="8">
        <f t="shared" si="10"/>
        <v>5.0840488661367159E-2</v>
      </c>
      <c r="O13" s="8">
        <f t="shared" si="11"/>
        <v>4.3801036385177849E-2</v>
      </c>
      <c r="P13" s="8">
        <f t="shared" si="12"/>
        <v>5.4865360680392043E-2</v>
      </c>
    </row>
    <row r="14" spans="1:16" x14ac:dyDescent="0.3">
      <c r="B14" s="10" t="s">
        <v>140</v>
      </c>
      <c r="C14" s="10">
        <f t="shared" si="1"/>
        <v>2.0585119387173001E-2</v>
      </c>
      <c r="D14" s="10">
        <f t="shared" si="2"/>
        <v>1.5755573932627553E-2</v>
      </c>
      <c r="E14" s="10">
        <f t="shared" si="3"/>
        <v>9.7459585480121624E-3</v>
      </c>
      <c r="F14" s="10">
        <f t="shared" si="4"/>
        <v>-3.5583711781658159E-2</v>
      </c>
      <c r="G14" s="10">
        <f t="shared" si="5"/>
        <v>-1.3758314956261342E-2</v>
      </c>
      <c r="H14" s="10">
        <f t="shared" si="6"/>
        <v>3.1380573932627553E-2</v>
      </c>
      <c r="J14" s="10" t="s">
        <v>140</v>
      </c>
      <c r="K14" s="8">
        <f t="shared" si="7"/>
        <v>6.81105960367486E-2</v>
      </c>
      <c r="L14" s="8">
        <f t="shared" si="8"/>
        <v>7.9994476074410473E-2</v>
      </c>
      <c r="M14" s="8">
        <f t="shared" si="9"/>
        <v>8.884939931716887E-2</v>
      </c>
      <c r="N14" s="8">
        <f t="shared" si="10"/>
        <v>8.6962636011205824E-2</v>
      </c>
      <c r="O14" s="8">
        <f t="shared" si="11"/>
        <v>8.4313544096772858E-2</v>
      </c>
      <c r="P14" s="8">
        <f t="shared" si="12"/>
        <v>0.11316291737355628</v>
      </c>
    </row>
    <row r="15" spans="1:16" x14ac:dyDescent="0.3">
      <c r="B15" s="10" t="s">
        <v>138</v>
      </c>
      <c r="C15" s="10">
        <f t="shared" si="1"/>
        <v>5.7713307798875402E-2</v>
      </c>
      <c r="D15" s="10">
        <f t="shared" si="2"/>
        <v>1.254285325342086E-2</v>
      </c>
      <c r="E15" s="10">
        <f t="shared" si="3"/>
        <v>-1.9909069823502268E-2</v>
      </c>
      <c r="F15" s="10">
        <f t="shared" si="4"/>
        <v>1.0310710396277956E-2</v>
      </c>
      <c r="G15" s="10">
        <f t="shared" si="5"/>
        <v>1.0005460091027651E-2</v>
      </c>
      <c r="H15" s="10">
        <f t="shared" si="6"/>
        <v>-0.12808214674657914</v>
      </c>
      <c r="J15" s="10" t="s">
        <v>138</v>
      </c>
      <c r="K15" s="8">
        <f t="shared" si="7"/>
        <v>0.80301052471357925</v>
      </c>
      <c r="L15" s="8">
        <f t="shared" si="8"/>
        <v>0.82996970406946158</v>
      </c>
      <c r="M15" s="8">
        <f t="shared" si="9"/>
        <v>0.84933805498551651</v>
      </c>
      <c r="N15" s="8">
        <f t="shared" si="10"/>
        <v>0.83130191868273517</v>
      </c>
      <c r="O15" s="8">
        <f t="shared" si="11"/>
        <v>0.83148410187771282</v>
      </c>
      <c r="P15" s="8">
        <f t="shared" si="12"/>
        <v>0.91389922470569929</v>
      </c>
    </row>
    <row r="16" spans="1:16" x14ac:dyDescent="0.3">
      <c r="J16" s="12" t="s">
        <v>174</v>
      </c>
      <c r="K16" s="11">
        <f>SUM(K10:K15)</f>
        <v>0.92663735165420591</v>
      </c>
      <c r="L16" s="11">
        <f t="shared" ref="L16:P16" si="13">SUM(L10:L15)</f>
        <v>0.9716032950933835</v>
      </c>
      <c r="M16" s="11">
        <f t="shared" si="13"/>
        <v>0.98355124624377344</v>
      </c>
      <c r="N16" s="11">
        <f t="shared" si="13"/>
        <v>1.0079221467148285</v>
      </c>
      <c r="O16" s="11">
        <f t="shared" si="13"/>
        <v>0.99975292502388913</v>
      </c>
      <c r="P16" s="11">
        <f t="shared" si="13"/>
        <v>1.1210979461924271</v>
      </c>
    </row>
    <row r="17" spans="10:16" x14ac:dyDescent="0.3">
      <c r="J17" s="13" t="s">
        <v>175</v>
      </c>
      <c r="K17" s="14">
        <f>1-K16</f>
        <v>7.336264834579409E-2</v>
      </c>
      <c r="L17" s="14">
        <f t="shared" ref="L17:P17" si="14">1-L16</f>
        <v>2.8396704906616499E-2</v>
      </c>
      <c r="M17" s="14">
        <f t="shared" si="14"/>
        <v>1.6448753756226564E-2</v>
      </c>
      <c r="N17" s="14">
        <f t="shared" si="14"/>
        <v>-7.922146714828493E-3</v>
      </c>
      <c r="O17" s="14">
        <f t="shared" si="14"/>
        <v>2.4707497611087259E-4</v>
      </c>
      <c r="P17" s="14">
        <f t="shared" si="14"/>
        <v>-0.12109794619242709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CCD5-D234-43EA-972A-F458465B2204}">
  <dimension ref="A1:P15"/>
  <sheetViews>
    <sheetView workbookViewId="0">
      <selection activeCell="A8" sqref="A8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8" t="s">
        <v>148</v>
      </c>
      <c r="B2" s="17">
        <v>5.588776448942042E-2</v>
      </c>
      <c r="C2" s="17">
        <v>1.4285714285714285E-2</v>
      </c>
      <c r="D2" s="17">
        <v>0</v>
      </c>
      <c r="E2" s="17">
        <v>0</v>
      </c>
      <c r="F2" s="17">
        <v>1.4492753623188406E-2</v>
      </c>
      <c r="G2" s="17">
        <v>1.5267175572519083E-2</v>
      </c>
      <c r="H2" s="17">
        <v>0.12903225806451613</v>
      </c>
      <c r="I2" s="10">
        <v>5.588776448942042E-2</v>
      </c>
      <c r="J2" s="18">
        <v>5.588776448942042E-2</v>
      </c>
      <c r="K2" s="18">
        <v>1.4285714285714285E-2</v>
      </c>
      <c r="L2" s="18">
        <v>0</v>
      </c>
      <c r="M2" s="18">
        <v>0</v>
      </c>
      <c r="N2" s="18">
        <v>1.4492753623188406E-2</v>
      </c>
      <c r="O2" s="18">
        <v>1.5267175572519083E-2</v>
      </c>
      <c r="P2" s="18">
        <v>0.12903225806451613</v>
      </c>
    </row>
    <row r="3" spans="1:16" x14ac:dyDescent="0.3">
      <c r="A3" s="8" t="s">
        <v>146</v>
      </c>
      <c r="B3" s="17">
        <v>7.2161596294768898E-2</v>
      </c>
      <c r="C3" s="17">
        <v>7.1428571428571425E-2</v>
      </c>
      <c r="D3" s="17">
        <v>2.3255813953488372E-2</v>
      </c>
      <c r="E3" s="17">
        <v>2.1052631578947368E-2</v>
      </c>
      <c r="F3" s="17">
        <v>4.3478260869565216E-2</v>
      </c>
      <c r="G3" s="17">
        <v>6.8702290076335881E-2</v>
      </c>
      <c r="H3" s="17">
        <v>6.4516129032258063E-2</v>
      </c>
      <c r="I3" s="10">
        <v>0.12804936078418933</v>
      </c>
      <c r="J3" s="10">
        <f t="shared" ref="J3:P6" si="0">J2+B3</f>
        <v>0.12804936078418933</v>
      </c>
      <c r="K3" s="10">
        <f t="shared" si="0"/>
        <v>8.5714285714285715E-2</v>
      </c>
      <c r="L3" s="10">
        <f t="shared" si="0"/>
        <v>2.3255813953488372E-2</v>
      </c>
      <c r="M3" s="10">
        <f t="shared" si="0"/>
        <v>2.1052631578947368E-2</v>
      </c>
      <c r="N3" s="10">
        <f t="shared" si="0"/>
        <v>5.7971014492753624E-2</v>
      </c>
      <c r="O3" s="10">
        <f t="shared" si="0"/>
        <v>8.3969465648854963E-2</v>
      </c>
      <c r="P3" s="10">
        <f t="shared" si="0"/>
        <v>0.19354838709677419</v>
      </c>
    </row>
    <row r="4" spans="1:16" x14ac:dyDescent="0.3">
      <c r="A4" s="8" t="s">
        <v>147</v>
      </c>
      <c r="B4" s="17">
        <v>9.9221203565650479E-2</v>
      </c>
      <c r="C4" s="17">
        <v>0.15</v>
      </c>
      <c r="D4" s="17">
        <v>3.4883720930232558E-2</v>
      </c>
      <c r="E4" s="17">
        <v>5.2631578947368418E-2</v>
      </c>
      <c r="F4" s="17">
        <v>8.6956521739130432E-2</v>
      </c>
      <c r="G4" s="17">
        <v>0.10687022900763359</v>
      </c>
      <c r="H4" s="17">
        <v>0.14516129032258066</v>
      </c>
      <c r="I4" s="10">
        <v>0.2272705643498398</v>
      </c>
      <c r="J4" s="10">
        <f t="shared" si="0"/>
        <v>0.2272705643498398</v>
      </c>
      <c r="K4" s="10">
        <f t="shared" si="0"/>
        <v>0.23571428571428571</v>
      </c>
      <c r="L4" s="10">
        <f t="shared" si="0"/>
        <v>5.8139534883720929E-2</v>
      </c>
      <c r="M4" s="10">
        <f t="shared" si="0"/>
        <v>7.3684210526315783E-2</v>
      </c>
      <c r="N4" s="10">
        <f t="shared" si="0"/>
        <v>0.14492753623188406</v>
      </c>
      <c r="O4" s="10">
        <f t="shared" si="0"/>
        <v>0.19083969465648853</v>
      </c>
      <c r="P4" s="10">
        <f t="shared" si="0"/>
        <v>0.33870967741935487</v>
      </c>
    </row>
    <row r="5" spans="1:16" x14ac:dyDescent="0.3">
      <c r="A5" s="8" t="s">
        <v>145</v>
      </c>
      <c r="B5" s="17">
        <v>0.31967135107699141</v>
      </c>
      <c r="C5" s="17">
        <v>0.47142857142857142</v>
      </c>
      <c r="D5" s="17">
        <v>0.40697674418604651</v>
      </c>
      <c r="E5" s="17">
        <v>0.45263157894736844</v>
      </c>
      <c r="F5" s="17">
        <v>0.50724637681159424</v>
      </c>
      <c r="G5" s="17">
        <v>0.38931297709923662</v>
      </c>
      <c r="H5" s="17">
        <v>0.27419354838709675</v>
      </c>
      <c r="I5" s="10">
        <v>0.54694191542683124</v>
      </c>
      <c r="J5" s="10">
        <f t="shared" si="0"/>
        <v>0.54694191542683124</v>
      </c>
      <c r="K5" s="10">
        <f t="shared" si="0"/>
        <v>0.70714285714285707</v>
      </c>
      <c r="L5" s="10">
        <f t="shared" si="0"/>
        <v>0.46511627906976744</v>
      </c>
      <c r="M5" s="10">
        <f t="shared" si="0"/>
        <v>0.52631578947368418</v>
      </c>
      <c r="N5" s="10">
        <f t="shared" si="0"/>
        <v>0.65217391304347827</v>
      </c>
      <c r="O5" s="10">
        <f t="shared" si="0"/>
        <v>0.58015267175572516</v>
      </c>
      <c r="P5" s="10">
        <f t="shared" si="0"/>
        <v>0.61290322580645162</v>
      </c>
    </row>
    <row r="6" spans="1:16" x14ac:dyDescent="0.3">
      <c r="A6" s="8" t="s">
        <v>144</v>
      </c>
      <c r="B6" s="17">
        <v>0.45305808457316882</v>
      </c>
      <c r="C6" s="17">
        <v>0.29285714285714287</v>
      </c>
      <c r="D6" s="17">
        <v>0.53488372093023251</v>
      </c>
      <c r="E6" s="17">
        <v>0.47368421052631576</v>
      </c>
      <c r="F6" s="17">
        <v>0.34782608695652173</v>
      </c>
      <c r="G6" s="17">
        <v>0.41984732824427479</v>
      </c>
      <c r="H6" s="17">
        <v>0.38709677419354838</v>
      </c>
      <c r="I6" s="10">
        <v>1</v>
      </c>
      <c r="J6" s="10">
        <f t="shared" si="0"/>
        <v>1</v>
      </c>
      <c r="K6" s="10">
        <f t="shared" si="0"/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P6" s="10">
        <f t="shared" si="0"/>
        <v>1</v>
      </c>
    </row>
    <row r="8" spans="1:16" ht="28.8" x14ac:dyDescent="0.3">
      <c r="B8" s="1" t="s">
        <v>154</v>
      </c>
      <c r="C8" s="3" t="s">
        <v>162</v>
      </c>
      <c r="D8" s="3" t="s">
        <v>163</v>
      </c>
      <c r="E8" s="3" t="s">
        <v>164</v>
      </c>
      <c r="F8" s="3" t="s">
        <v>165</v>
      </c>
      <c r="G8" s="3" t="s">
        <v>166</v>
      </c>
      <c r="H8" s="3" t="s">
        <v>167</v>
      </c>
      <c r="J8" s="8"/>
      <c r="K8" s="11" t="s">
        <v>168</v>
      </c>
      <c r="L8" s="11" t="s">
        <v>169</v>
      </c>
      <c r="M8" s="11" t="s">
        <v>170</v>
      </c>
      <c r="N8" s="11" t="s">
        <v>171</v>
      </c>
      <c r="O8" s="11" t="s">
        <v>172</v>
      </c>
      <c r="P8" s="11" t="s">
        <v>173</v>
      </c>
    </row>
    <row r="9" spans="1:16" x14ac:dyDescent="0.3">
      <c r="B9" s="8" t="s">
        <v>148</v>
      </c>
      <c r="C9" s="10">
        <f>C2-B2</f>
        <v>-4.1602050203706137E-2</v>
      </c>
      <c r="D9" s="10">
        <f>D2-B2</f>
        <v>-5.588776448942042E-2</v>
      </c>
      <c r="E9" s="10">
        <f>E2-B2</f>
        <v>-5.588776448942042E-2</v>
      </c>
      <c r="F9" s="10">
        <f>F2-B2</f>
        <v>-4.1395010866232013E-2</v>
      </c>
      <c r="G9" s="10">
        <f>G2-B2</f>
        <v>-4.0620588916901339E-2</v>
      </c>
      <c r="H9" s="10">
        <f>H2-B2</f>
        <v>7.3144493575095698E-2</v>
      </c>
      <c r="J9" s="8" t="s">
        <v>148</v>
      </c>
      <c r="K9" s="8">
        <f>(J2-0) * ((K2+0))</f>
        <v>7.9839663556314881E-4</v>
      </c>
      <c r="L9" s="8">
        <f>(J2-0) * ((L2+0))</f>
        <v>0</v>
      </c>
      <c r="M9" s="8">
        <f>(J2-0) * ((M2+0))</f>
        <v>0</v>
      </c>
      <c r="N9" s="8">
        <f>(J2-0) * ((N2+0))</f>
        <v>8.0996760129594812E-4</v>
      </c>
      <c r="O9" s="8">
        <f>(J2-0) * ((O2+0))</f>
        <v>8.5324831281557891E-4</v>
      </c>
      <c r="P9" s="8">
        <f>(J2-0) * ((P2+0))</f>
        <v>7.2113244502477964E-3</v>
      </c>
    </row>
    <row r="10" spans="1:16" x14ac:dyDescent="0.3">
      <c r="B10" s="8" t="s">
        <v>146</v>
      </c>
      <c r="C10" s="10">
        <f t="shared" ref="C10:C13" si="1">C3-B3</f>
        <v>-7.3302486619747365E-4</v>
      </c>
      <c r="D10" s="10">
        <f t="shared" ref="D10:D13" si="2">D3-B3</f>
        <v>-4.8905782341280526E-2</v>
      </c>
      <c r="E10" s="10">
        <f t="shared" ref="E10:E13" si="3">E3-B3</f>
        <v>-5.1108964715821534E-2</v>
      </c>
      <c r="F10" s="10">
        <f t="shared" ref="F10:F13" si="4">F3-B3</f>
        <v>-2.8683335425203682E-2</v>
      </c>
      <c r="G10" s="10">
        <f t="shared" ref="G10:G13" si="5">G3-B3</f>
        <v>-3.459306218433017E-3</v>
      </c>
      <c r="H10" s="10">
        <f t="shared" ref="H10:H13" si="6">H3-B3</f>
        <v>-7.6454672625108355E-3</v>
      </c>
      <c r="J10" s="8" t="s">
        <v>146</v>
      </c>
      <c r="K10" s="8">
        <f>(J3-J2) * ((K3+K2))</f>
        <v>7.2161596294768905E-3</v>
      </c>
      <c r="L10" s="8">
        <f>(J3-J2) * ((L3+L2))</f>
        <v>1.6781766580178813E-3</v>
      </c>
      <c r="M10" s="8">
        <f>(J3-J2) * ((M3+M2))</f>
        <v>1.519191500942503E-3</v>
      </c>
      <c r="N10" s="8">
        <f>(J3-J2) * ((N3+N2))</f>
        <v>5.229101180780355E-3</v>
      </c>
      <c r="O10" s="8">
        <f>(J3-J2) * ((O3+O2))</f>
        <v>7.1610744414656157E-3</v>
      </c>
      <c r="P10" s="8">
        <f>(J3-J2) * ((P3+P2))</f>
        <v>2.3277934288635126E-2</v>
      </c>
    </row>
    <row r="11" spans="1:16" x14ac:dyDescent="0.3">
      <c r="B11" s="8" t="s">
        <v>147</v>
      </c>
      <c r="C11" s="10">
        <f t="shared" si="1"/>
        <v>5.0778796434349516E-2</v>
      </c>
      <c r="D11" s="10">
        <f t="shared" si="2"/>
        <v>-6.4337482635417914E-2</v>
      </c>
      <c r="E11" s="10">
        <f t="shared" si="3"/>
        <v>-4.6589624618282061E-2</v>
      </c>
      <c r="F11" s="10">
        <f t="shared" si="4"/>
        <v>-1.2264681826520046E-2</v>
      </c>
      <c r="G11" s="10">
        <f t="shared" si="5"/>
        <v>7.6490254419831066E-3</v>
      </c>
      <c r="H11" s="10">
        <f t="shared" si="6"/>
        <v>4.5940086756930176E-2</v>
      </c>
      <c r="J11" s="8" t="s">
        <v>147</v>
      </c>
      <c r="K11" s="8">
        <f t="shared" ref="K11:K13" si="7">(J4-J3) * ((K4+K3))</f>
        <v>3.189252971753051E-2</v>
      </c>
      <c r="L11" s="8">
        <f t="shared" ref="L11:L13" si="8">(J4-J3) * ((L4+L3))</f>
        <v>8.0761444762738766E-3</v>
      </c>
      <c r="M11" s="8">
        <f t="shared" ref="M11:M13" si="9">(J4-J3) * ((M4+M3))</f>
        <v>9.3999034956932029E-3</v>
      </c>
      <c r="N11" s="8">
        <f t="shared" ref="N11:N13" si="10">(J4-J3) * ((N4+N3))</f>
        <v>2.0131838404624736E-2</v>
      </c>
      <c r="O11" s="8">
        <f t="shared" ref="O11:O13" si="11">(J4-J3) * ((O4+O3))</f>
        <v>2.7266895636361966E-2</v>
      </c>
      <c r="P11" s="8">
        <f t="shared" ref="P11:P13" si="12">(J4-J3) * ((P4+P3))</f>
        <v>5.2811285768813963E-2</v>
      </c>
    </row>
    <row r="12" spans="1:16" x14ac:dyDescent="0.3">
      <c r="B12" s="8" t="s">
        <v>145</v>
      </c>
      <c r="C12" s="10">
        <f t="shared" si="1"/>
        <v>0.15175722035158001</v>
      </c>
      <c r="D12" s="10">
        <f t="shared" si="2"/>
        <v>8.7305393109055107E-2</v>
      </c>
      <c r="E12" s="10">
        <f t="shared" si="3"/>
        <v>0.13296022787037703</v>
      </c>
      <c r="F12" s="10">
        <f t="shared" si="4"/>
        <v>0.18757502573460283</v>
      </c>
      <c r="G12" s="10">
        <f t="shared" si="5"/>
        <v>6.9641626022245218E-2</v>
      </c>
      <c r="H12" s="10">
        <f t="shared" si="6"/>
        <v>-4.5477802689894653E-2</v>
      </c>
      <c r="J12" s="8" t="s">
        <v>145</v>
      </c>
      <c r="K12" s="8">
        <f t="shared" si="7"/>
        <v>0.30140441672973473</v>
      </c>
      <c r="L12" s="8">
        <f t="shared" si="8"/>
        <v>0.16726989300540249</v>
      </c>
      <c r="M12" s="8">
        <f t="shared" si="9"/>
        <v>0.19180281064619484</v>
      </c>
      <c r="N12" s="8">
        <f t="shared" si="10"/>
        <v>0.25481049723528298</v>
      </c>
      <c r="O12" s="8">
        <f t="shared" si="11"/>
        <v>0.24646417144103916</v>
      </c>
      <c r="P12" s="8">
        <f t="shared" si="12"/>
        <v>0.30420338247649181</v>
      </c>
    </row>
    <row r="13" spans="1:16" x14ac:dyDescent="0.3">
      <c r="B13" s="8" t="s">
        <v>144</v>
      </c>
      <c r="C13" s="10">
        <f t="shared" si="1"/>
        <v>-0.16020094171602595</v>
      </c>
      <c r="D13" s="10">
        <f t="shared" si="2"/>
        <v>8.1825636357063691E-2</v>
      </c>
      <c r="E13" s="10">
        <f t="shared" si="3"/>
        <v>2.0626125953146945E-2</v>
      </c>
      <c r="F13" s="10">
        <f t="shared" si="4"/>
        <v>-0.10523199761664709</v>
      </c>
      <c r="G13" s="10">
        <f t="shared" si="5"/>
        <v>-3.3210756328894031E-2</v>
      </c>
      <c r="H13" s="10">
        <f t="shared" si="6"/>
        <v>-6.5961310379620441E-2</v>
      </c>
      <c r="J13" s="8" t="s">
        <v>144</v>
      </c>
      <c r="K13" s="8">
        <f t="shared" si="7"/>
        <v>0.77343487294990954</v>
      </c>
      <c r="L13" s="8">
        <f t="shared" si="8"/>
        <v>0.66378277507231698</v>
      </c>
      <c r="M13" s="8">
        <f t="shared" si="9"/>
        <v>0.69150970803273115</v>
      </c>
      <c r="N13" s="8">
        <f t="shared" si="10"/>
        <v>0.74853074842523537</v>
      </c>
      <c r="O13" s="8">
        <f t="shared" si="11"/>
        <v>0.71590094279882399</v>
      </c>
      <c r="P13" s="8">
        <f t="shared" si="12"/>
        <v>0.73073884608575601</v>
      </c>
    </row>
    <row r="14" spans="1:16" x14ac:dyDescent="0.3">
      <c r="J14" s="11" t="s">
        <v>174</v>
      </c>
      <c r="K14" s="11">
        <f>SUM(K9:K13)</f>
        <v>1.1147463756622149</v>
      </c>
      <c r="L14" s="11">
        <f t="shared" ref="L14:P14" si="13">SUM(L9:L13)</f>
        <v>0.84080698921201125</v>
      </c>
      <c r="M14" s="11">
        <f t="shared" si="13"/>
        <v>0.8942316136755617</v>
      </c>
      <c r="N14" s="11">
        <f t="shared" si="13"/>
        <v>1.0295121528472193</v>
      </c>
      <c r="O14" s="11">
        <f t="shared" si="13"/>
        <v>0.99764633263050628</v>
      </c>
      <c r="P14" s="11">
        <f t="shared" si="13"/>
        <v>1.1182427730699447</v>
      </c>
    </row>
    <row r="15" spans="1:16" x14ac:dyDescent="0.3">
      <c r="J15" s="14" t="s">
        <v>175</v>
      </c>
      <c r="K15" s="14">
        <f>1-K14</f>
        <v>-0.11474637566221491</v>
      </c>
      <c r="L15" s="14">
        <f t="shared" ref="L15:P15" si="14">1-L14</f>
        <v>0.15919301078798875</v>
      </c>
      <c r="M15" s="14">
        <f t="shared" si="14"/>
        <v>0.1057683863244383</v>
      </c>
      <c r="N15" s="14">
        <f t="shared" si="14"/>
        <v>-2.9512152847219308E-2</v>
      </c>
      <c r="O15" s="14">
        <f t="shared" si="14"/>
        <v>2.3536673694937171E-3</v>
      </c>
      <c r="P15" s="14">
        <f t="shared" si="14"/>
        <v>-0.11824277306994468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D75-3F81-4296-B17A-CD652766E2F4}">
  <dimension ref="A1:P15"/>
  <sheetViews>
    <sheetView workbookViewId="0">
      <selection activeCell="A8" sqref="A8"/>
    </sheetView>
  </sheetViews>
  <sheetFormatPr defaultRowHeight="14.4" x14ac:dyDescent="0.3"/>
  <sheetData>
    <row r="1" spans="1:16" ht="28.2" customHeight="1" x14ac:dyDescent="0.3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2" t="s">
        <v>159</v>
      </c>
      <c r="G1" s="3" t="s">
        <v>160</v>
      </c>
      <c r="H1" s="3" t="s">
        <v>161</v>
      </c>
      <c r="I1" s="4" t="s">
        <v>155</v>
      </c>
      <c r="J1" s="5" t="s">
        <v>155</v>
      </c>
      <c r="K1" s="6" t="s">
        <v>156</v>
      </c>
      <c r="L1" s="6" t="s">
        <v>157</v>
      </c>
      <c r="M1" s="6" t="s">
        <v>158</v>
      </c>
      <c r="N1" s="7" t="s">
        <v>159</v>
      </c>
      <c r="O1" s="6" t="s">
        <v>160</v>
      </c>
      <c r="P1" s="6" t="s">
        <v>161</v>
      </c>
    </row>
    <row r="2" spans="1:16" x14ac:dyDescent="0.3">
      <c r="A2" s="8" t="s">
        <v>150</v>
      </c>
      <c r="B2" s="17">
        <v>1.7370091699976487E-2</v>
      </c>
      <c r="C2" s="17">
        <v>8.4388185654008432E-3</v>
      </c>
      <c r="D2" s="17">
        <v>8.4745762711864406E-3</v>
      </c>
      <c r="E2" s="17">
        <v>9.2592592592592587E-3</v>
      </c>
      <c r="F2" s="17">
        <v>2.2222222222222223E-2</v>
      </c>
      <c r="G2" s="17">
        <v>1.3392857142857142E-2</v>
      </c>
      <c r="H2" s="17">
        <v>3.9603960396039604E-2</v>
      </c>
      <c r="I2" s="10">
        <v>1.7370091699976487E-2</v>
      </c>
      <c r="J2" s="18">
        <v>1.7370091699976487E-2</v>
      </c>
      <c r="K2" s="18">
        <v>8.4388185654008432E-3</v>
      </c>
      <c r="L2" s="18">
        <v>8.4745762711864406E-3</v>
      </c>
      <c r="M2" s="18">
        <v>9.2592592592592587E-3</v>
      </c>
      <c r="N2" s="18">
        <v>2.2222222222222223E-2</v>
      </c>
      <c r="O2" s="18">
        <v>1.3392857142857142E-2</v>
      </c>
      <c r="P2" s="18">
        <v>3.9603960396039604E-2</v>
      </c>
    </row>
    <row r="3" spans="1:16" x14ac:dyDescent="0.3">
      <c r="A3" s="8" t="s">
        <v>152</v>
      </c>
      <c r="B3" s="17">
        <v>4.2930480445175952E-2</v>
      </c>
      <c r="C3" s="17">
        <v>1.2658227848101266E-2</v>
      </c>
      <c r="D3" s="17">
        <v>5.0847457627118647E-2</v>
      </c>
      <c r="E3" s="17">
        <v>0</v>
      </c>
      <c r="F3" s="17">
        <v>1.2698412698412698E-2</v>
      </c>
      <c r="G3" s="17">
        <v>5.3571428571428568E-2</v>
      </c>
      <c r="H3" s="17">
        <v>4.9504950495049507E-2</v>
      </c>
      <c r="I3" s="10">
        <v>6.0300572145152442E-2</v>
      </c>
      <c r="J3" s="10">
        <f t="shared" ref="J3:P6" si="0">J2+B3</f>
        <v>6.0300572145152442E-2</v>
      </c>
      <c r="K3" s="10">
        <f t="shared" si="0"/>
        <v>2.1097046413502109E-2</v>
      </c>
      <c r="L3" s="10">
        <f t="shared" si="0"/>
        <v>5.9322033898305086E-2</v>
      </c>
      <c r="M3" s="10">
        <f t="shared" si="0"/>
        <v>9.2592592592592587E-3</v>
      </c>
      <c r="N3" s="10">
        <f t="shared" si="0"/>
        <v>3.4920634920634921E-2</v>
      </c>
      <c r="O3" s="10">
        <f t="shared" si="0"/>
        <v>6.6964285714285712E-2</v>
      </c>
      <c r="P3" s="10">
        <f t="shared" si="0"/>
        <v>8.9108910891089105E-2</v>
      </c>
    </row>
    <row r="4" spans="1:16" x14ac:dyDescent="0.3">
      <c r="A4" s="8" t="s">
        <v>153</v>
      </c>
      <c r="B4" s="17">
        <v>0.12574457245865664</v>
      </c>
      <c r="C4" s="17">
        <v>0.13502109704641349</v>
      </c>
      <c r="D4" s="17">
        <v>0.11016949152542373</v>
      </c>
      <c r="E4" s="17">
        <v>0.23148148148148148</v>
      </c>
      <c r="F4" s="17">
        <v>0.13015873015873017</v>
      </c>
      <c r="G4" s="17">
        <v>0.16071428571428573</v>
      </c>
      <c r="H4" s="17">
        <v>0.12871287128712872</v>
      </c>
      <c r="I4" s="10">
        <v>0.18604514460380908</v>
      </c>
      <c r="J4" s="10">
        <f t="shared" si="0"/>
        <v>0.18604514460380908</v>
      </c>
      <c r="K4" s="10">
        <f t="shared" si="0"/>
        <v>0.15611814345991559</v>
      </c>
      <c r="L4" s="10">
        <f t="shared" si="0"/>
        <v>0.16949152542372881</v>
      </c>
      <c r="M4" s="10">
        <f t="shared" si="0"/>
        <v>0.24074074074074076</v>
      </c>
      <c r="N4" s="10">
        <f t="shared" si="0"/>
        <v>0.1650793650793651</v>
      </c>
      <c r="O4" s="10">
        <f t="shared" si="0"/>
        <v>0.22767857142857145</v>
      </c>
      <c r="P4" s="10">
        <f t="shared" si="0"/>
        <v>0.21782178217821782</v>
      </c>
    </row>
    <row r="5" spans="1:16" x14ac:dyDescent="0.3">
      <c r="A5" s="8" t="s">
        <v>151</v>
      </c>
      <c r="B5" s="17">
        <v>0.13988165216709775</v>
      </c>
      <c r="C5" s="17">
        <v>0.22362869198312235</v>
      </c>
      <c r="D5" s="17">
        <v>0.44067796610169491</v>
      </c>
      <c r="E5" s="17">
        <v>0.34259259259259262</v>
      </c>
      <c r="F5" s="17">
        <v>0.12063492063492064</v>
      </c>
      <c r="G5" s="17">
        <v>0.17857142857142858</v>
      </c>
      <c r="H5" s="17">
        <v>0.21782178217821782</v>
      </c>
      <c r="I5" s="10">
        <v>0.32592679677090686</v>
      </c>
      <c r="J5" s="10">
        <f t="shared" si="0"/>
        <v>0.32592679677090686</v>
      </c>
      <c r="K5" s="10">
        <f t="shared" si="0"/>
        <v>0.37974683544303794</v>
      </c>
      <c r="L5" s="10">
        <f t="shared" si="0"/>
        <v>0.61016949152542366</v>
      </c>
      <c r="M5" s="10">
        <f t="shared" si="0"/>
        <v>0.58333333333333337</v>
      </c>
      <c r="N5" s="10">
        <f t="shared" si="0"/>
        <v>0.28571428571428575</v>
      </c>
      <c r="O5" s="10">
        <f t="shared" si="0"/>
        <v>0.40625</v>
      </c>
      <c r="P5" s="10">
        <f t="shared" si="0"/>
        <v>0.43564356435643564</v>
      </c>
    </row>
    <row r="6" spans="1:16" x14ac:dyDescent="0.3">
      <c r="A6" s="8" t="s">
        <v>149</v>
      </c>
      <c r="B6" s="17">
        <v>0.67407320322909314</v>
      </c>
      <c r="C6" s="17">
        <v>0.620253164556962</v>
      </c>
      <c r="D6" s="17">
        <v>0.38983050847457629</v>
      </c>
      <c r="E6" s="17">
        <v>0.41666666666666669</v>
      </c>
      <c r="F6" s="17">
        <v>0.7142857142857143</v>
      </c>
      <c r="G6" s="17">
        <v>0.59375</v>
      </c>
      <c r="H6" s="17">
        <v>0.5643564356435643</v>
      </c>
      <c r="I6" s="10">
        <v>1</v>
      </c>
      <c r="J6" s="10">
        <f t="shared" si="0"/>
        <v>1</v>
      </c>
      <c r="K6" s="10">
        <f t="shared" si="0"/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P6" s="10">
        <f t="shared" si="0"/>
        <v>1</v>
      </c>
    </row>
    <row r="8" spans="1:16" ht="28.8" x14ac:dyDescent="0.3">
      <c r="B8" s="1" t="s">
        <v>154</v>
      </c>
      <c r="C8" s="3" t="s">
        <v>162</v>
      </c>
      <c r="D8" s="3" t="s">
        <v>163</v>
      </c>
      <c r="E8" s="3" t="s">
        <v>164</v>
      </c>
      <c r="F8" s="3" t="s">
        <v>165</v>
      </c>
      <c r="G8" s="3" t="s">
        <v>166</v>
      </c>
      <c r="H8" s="3" t="s">
        <v>167</v>
      </c>
      <c r="J8" s="8"/>
      <c r="K8" s="11" t="s">
        <v>168</v>
      </c>
      <c r="L8" s="11" t="s">
        <v>169</v>
      </c>
      <c r="M8" s="11" t="s">
        <v>170</v>
      </c>
      <c r="N8" s="11" t="s">
        <v>171</v>
      </c>
      <c r="O8" s="11" t="s">
        <v>172</v>
      </c>
      <c r="P8" s="11" t="s">
        <v>173</v>
      </c>
    </row>
    <row r="9" spans="1:16" x14ac:dyDescent="0.3">
      <c r="B9" s="8" t="s">
        <v>150</v>
      </c>
      <c r="C9" s="10">
        <f>C2-B2</f>
        <v>-8.931273134575644E-3</v>
      </c>
      <c r="D9" s="10">
        <f>D2-B2</f>
        <v>-8.8955154287900465E-3</v>
      </c>
      <c r="E9" s="10">
        <f>E2-B2</f>
        <v>-8.1108324407172284E-3</v>
      </c>
      <c r="F9" s="10">
        <f>F2-B2</f>
        <v>4.8521305222457359E-3</v>
      </c>
      <c r="G9" s="10">
        <f>G2-B2</f>
        <v>-3.9772345571193451E-3</v>
      </c>
      <c r="H9" s="10">
        <f>H2-B2</f>
        <v>2.2233868696063117E-2</v>
      </c>
      <c r="J9" s="8" t="s">
        <v>150</v>
      </c>
      <c r="K9" s="8">
        <f>(J2-0) * ((K2+0))</f>
        <v>1.4658305232047666E-4</v>
      </c>
      <c r="L9" s="8">
        <f>(J2-0) * ((L2+0))</f>
        <v>1.4720416694895329E-4</v>
      </c>
      <c r="M9" s="8">
        <f>(J2-0) * ((M2+0))</f>
        <v>1.6083418240718969E-4</v>
      </c>
      <c r="N9" s="8">
        <f>(J2-0) * ((N2+0))</f>
        <v>3.8600203777725526E-4</v>
      </c>
      <c r="O9" s="8">
        <f>(J2-0) * ((O2+0))</f>
        <v>2.3263515669611366E-4</v>
      </c>
      <c r="P9" s="8">
        <f>(J2-0) * ((P2+0))</f>
        <v>6.8792442376144501E-4</v>
      </c>
    </row>
    <row r="10" spans="1:16" x14ac:dyDescent="0.3">
      <c r="B10" s="8" t="s">
        <v>152</v>
      </c>
      <c r="C10" s="10">
        <f t="shared" ref="C10:C13" si="1">C3-B3</f>
        <v>-3.0272252597074688E-2</v>
      </c>
      <c r="D10" s="10">
        <f t="shared" ref="D10:D13" si="2">D3-B3</f>
        <v>7.9169771819426957E-3</v>
      </c>
      <c r="E10" s="10">
        <f t="shared" ref="E10:E13" si="3">E3-B3</f>
        <v>-4.2930480445175952E-2</v>
      </c>
      <c r="F10" s="10">
        <f t="shared" ref="F10:F13" si="4">F3-B3</f>
        <v>-3.0232067746763253E-2</v>
      </c>
      <c r="G10" s="10">
        <f t="shared" ref="G10:G13" si="5">G3-B3</f>
        <v>1.0640948126252617E-2</v>
      </c>
      <c r="H10" s="10">
        <f t="shared" ref="H10:H13" si="6">H3-B3</f>
        <v>6.5744700498735556E-3</v>
      </c>
      <c r="J10" s="8" t="s">
        <v>152</v>
      </c>
      <c r="K10" s="8">
        <f>(J3-J2) * ((K3+K2))</f>
        <v>1.2679888739081508E-3</v>
      </c>
      <c r="L10" s="8">
        <f>(J3-J2) * ((L3+L2))</f>
        <v>2.9105410471305733E-3</v>
      </c>
      <c r="M10" s="8">
        <f>(J3-J2) * ((M3+M2))</f>
        <v>7.9500889713288809E-4</v>
      </c>
      <c r="N10" s="8">
        <f>(J3-J2) * ((N3+N2))</f>
        <v>2.4531703111529122E-3</v>
      </c>
      <c r="O10" s="8">
        <f>(J3-J2) * ((O3+O2))</f>
        <v>3.449770750058782E-3</v>
      </c>
      <c r="P10" s="8">
        <f>(J3-J2) * ((P3+P2))</f>
        <v>5.5257054038345297E-3</v>
      </c>
    </row>
    <row r="11" spans="1:16" x14ac:dyDescent="0.3">
      <c r="B11" s="8" t="s">
        <v>153</v>
      </c>
      <c r="C11" s="10">
        <f t="shared" si="1"/>
        <v>9.2765245877568514E-3</v>
      </c>
      <c r="D11" s="10">
        <f t="shared" si="2"/>
        <v>-1.5575080933232913E-2</v>
      </c>
      <c r="E11" s="10">
        <f t="shared" si="3"/>
        <v>0.10573690902282484</v>
      </c>
      <c r="F11" s="10">
        <f t="shared" si="4"/>
        <v>4.4141577000735288E-3</v>
      </c>
      <c r="G11" s="10">
        <f t="shared" si="5"/>
        <v>3.4969713255629087E-2</v>
      </c>
      <c r="H11" s="10">
        <f t="shared" si="6"/>
        <v>2.9682988284720768E-3</v>
      </c>
      <c r="J11" s="8" t="s">
        <v>153</v>
      </c>
      <c r="K11" s="8">
        <f t="shared" ref="K11:K13" si="7">(J4-J3) * ((K4+K3))</f>
        <v>2.2283848283812566E-2</v>
      </c>
      <c r="L11" s="8">
        <f t="shared" ref="L11:L13" si="8">(J4-J3) * ((L4+L3))</f>
        <v>2.877206318969262E-2</v>
      </c>
      <c r="M11" s="8">
        <f t="shared" ref="M11:M13" si="9">(J4-J3) * ((M4+M3))</f>
        <v>3.143614311466416E-2</v>
      </c>
      <c r="N11" s="8">
        <f t="shared" ref="N11:N13" si="10">(J4-J3) * ((N4+N3))</f>
        <v>2.5148914491731331E-2</v>
      </c>
      <c r="O11" s="8">
        <f t="shared" ref="O11:O13" si="11">(J4-J3) * ((O4+O3))</f>
        <v>3.7049740099425618E-2</v>
      </c>
      <c r="P11" s="8">
        <f t="shared" ref="P11:P13" si="12">(J4-J3) * ((P4+P3))</f>
        <v>3.8594868774439163E-2</v>
      </c>
    </row>
    <row r="12" spans="1:16" x14ac:dyDescent="0.3">
      <c r="B12" s="8" t="s">
        <v>151</v>
      </c>
      <c r="C12" s="10">
        <f t="shared" si="1"/>
        <v>8.3747039816024604E-2</v>
      </c>
      <c r="D12" s="10">
        <f t="shared" si="2"/>
        <v>0.30079631393459716</v>
      </c>
      <c r="E12" s="10">
        <f t="shared" si="3"/>
        <v>0.20271094042549487</v>
      </c>
      <c r="F12" s="10">
        <f t="shared" si="4"/>
        <v>-1.9246731532177111E-2</v>
      </c>
      <c r="G12" s="10">
        <f t="shared" si="5"/>
        <v>3.8689776404330828E-2</v>
      </c>
      <c r="H12" s="10">
        <f t="shared" si="6"/>
        <v>7.7940130011120073E-2</v>
      </c>
      <c r="J12" s="8" t="s">
        <v>151</v>
      </c>
      <c r="K12" s="8">
        <f t="shared" si="7"/>
        <v>7.4957678587432131E-2</v>
      </c>
      <c r="L12" s="8">
        <f t="shared" si="8"/>
        <v>0.10906027118112707</v>
      </c>
      <c r="M12" s="8">
        <f t="shared" si="9"/>
        <v>0.11527284298955282</v>
      </c>
      <c r="N12" s="8">
        <f t="shared" si="10"/>
        <v>6.3057760659453607E-2</v>
      </c>
      <c r="O12" s="8">
        <f t="shared" si="11"/>
        <v>8.8674975927356625E-2</v>
      </c>
      <c r="P12" s="8">
        <f t="shared" si="12"/>
        <v>9.1407812307212413E-2</v>
      </c>
    </row>
    <row r="13" spans="1:16" x14ac:dyDescent="0.3">
      <c r="B13" s="8" t="s">
        <v>149</v>
      </c>
      <c r="C13" s="10">
        <f t="shared" si="1"/>
        <v>-5.3820038672131143E-2</v>
      </c>
      <c r="D13" s="10">
        <f t="shared" si="2"/>
        <v>-0.28424269475451686</v>
      </c>
      <c r="E13" s="10">
        <f t="shared" si="3"/>
        <v>-0.25740653656242646</v>
      </c>
      <c r="F13" s="10">
        <f t="shared" si="4"/>
        <v>4.0212511056621159E-2</v>
      </c>
      <c r="G13" s="10">
        <f t="shared" si="5"/>
        <v>-8.0323203229093143E-2</v>
      </c>
      <c r="H13" s="10">
        <f t="shared" si="6"/>
        <v>-0.10971676758552884</v>
      </c>
      <c r="J13" s="8" t="s">
        <v>149</v>
      </c>
      <c r="K13" s="8">
        <f t="shared" si="7"/>
        <v>0.9300503690122931</v>
      </c>
      <c r="L13" s="8">
        <f t="shared" si="8"/>
        <v>1.0853721068943025</v>
      </c>
      <c r="M13" s="8">
        <f t="shared" si="9"/>
        <v>1.0672825717793977</v>
      </c>
      <c r="N13" s="8">
        <f t="shared" si="10"/>
        <v>0.86666554700883414</v>
      </c>
      <c r="O13" s="8">
        <f t="shared" si="11"/>
        <v>0.94791544204091227</v>
      </c>
      <c r="P13" s="8">
        <f t="shared" si="12"/>
        <v>0.96772885612097526</v>
      </c>
    </row>
    <row r="14" spans="1:16" x14ac:dyDescent="0.3">
      <c r="J14" s="11" t="s">
        <v>174</v>
      </c>
      <c r="K14" s="11">
        <f>SUM(K9:K13)</f>
        <v>1.0287064678097664</v>
      </c>
      <c r="L14" s="11">
        <f t="shared" ref="L14:P14" si="13">SUM(L9:L13)</f>
        <v>1.2262621864792018</v>
      </c>
      <c r="M14" s="11">
        <f t="shared" si="13"/>
        <v>1.2149474009631547</v>
      </c>
      <c r="N14" s="11">
        <f t="shared" si="13"/>
        <v>0.95771139450894927</v>
      </c>
      <c r="O14" s="11">
        <f t="shared" si="13"/>
        <v>1.0773225639744495</v>
      </c>
      <c r="P14" s="11">
        <f t="shared" si="13"/>
        <v>1.1039451670302227</v>
      </c>
    </row>
    <row r="15" spans="1:16" x14ac:dyDescent="0.3">
      <c r="J15" s="14" t="s">
        <v>175</v>
      </c>
      <c r="K15" s="14">
        <f>1-K14</f>
        <v>-2.8706467809766378E-2</v>
      </c>
      <c r="L15" s="14">
        <f t="shared" ref="L15:P15" si="14">1-L14</f>
        <v>-0.22626218647920182</v>
      </c>
      <c r="M15" s="14">
        <f t="shared" si="14"/>
        <v>-0.21494740096315468</v>
      </c>
      <c r="N15" s="14">
        <f t="shared" si="14"/>
        <v>4.2288605491050735E-2</v>
      </c>
      <c r="O15" s="14">
        <f t="shared" si="14"/>
        <v>-7.7322563974449476E-2</v>
      </c>
      <c r="P15" s="14">
        <f t="shared" si="14"/>
        <v>-0.10394516703022272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ALFENAS-MACHADO</vt:lpstr>
      <vt:lpstr>CÁSSIA</vt:lpstr>
      <vt:lpstr>GUAXUPÉ</vt:lpstr>
      <vt:lpstr>ITAJUBÁ</vt:lpstr>
      <vt:lpstr>LAVRAS</vt:lpstr>
      <vt:lpstr>PASSOS</vt:lpstr>
      <vt:lpstr>PINHUÍ</vt:lpstr>
      <vt:lpstr>POÇOS DE CALDA</vt:lpstr>
      <vt:lpstr>POUSO ALEGRE</vt:lpstr>
      <vt:lpstr>SÃO LOURENÇO</vt:lpstr>
      <vt:lpstr>SÃO SEBASTIÃO DO PARAÍSO</vt:lpstr>
      <vt:lpstr>TRÊS CORAÇÕES</vt:lpstr>
      <vt:lpstr>TRÊS PONTAS</vt:lpstr>
      <vt:lpstr>VARGINHA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2025-04-22T01:59:47Z</dcterms:created>
  <dcterms:modified xsi:type="dcterms:W3CDTF">2025-11-26T01:30:37Z</dcterms:modified>
</cp:coreProperties>
</file>