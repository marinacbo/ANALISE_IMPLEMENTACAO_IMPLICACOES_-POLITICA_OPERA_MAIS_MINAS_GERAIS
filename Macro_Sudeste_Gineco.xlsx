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95" documentId="8_{4624F4FA-3FA6-4AA6-9168-B0F153AB65A6}" xr6:coauthVersionLast="47" xr6:coauthVersionMax="47" xr10:uidLastSave="{5DE84B41-2E26-404F-8F94-6EAF84E1F475}"/>
  <bookViews>
    <workbookView xWindow="-108" yWindow="-108" windowWidth="23256" windowHeight="12456" xr2:uid="{527A2006-39EA-4F0B-B064-CF2FBDAC0A5A}"/>
  </bookViews>
  <sheets>
    <sheet name="ALÉM PARAÍBA" sheetId="1" r:id="rId1"/>
    <sheet name="CARANGOLA" sheetId="2" r:id="rId2"/>
    <sheet name="JUIZ DE FORA" sheetId="3" r:id="rId3"/>
    <sheet name="LEOPOLDINA-CATAGUASES" sheetId="4" r:id="rId4"/>
    <sheet name="LIMA DUARTE" sheetId="5" r:id="rId5"/>
    <sheet name="MURIAÉ" sheetId="6" r:id="rId6"/>
    <sheet name="SANTOS DUMONT" sheetId="7" r:id="rId7"/>
    <sheet name="SÃO JOÃO NEPOMUCENO-BICAS" sheetId="8" r:id="rId8"/>
    <sheet name="UBÁ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9" l="1"/>
  <c r="P24" i="9"/>
  <c r="O24" i="9"/>
  <c r="N24" i="9"/>
  <c r="M24" i="9"/>
  <c r="L24" i="9"/>
  <c r="K24" i="9"/>
  <c r="L14" i="8"/>
  <c r="P13" i="8"/>
  <c r="O13" i="8"/>
  <c r="N13" i="8"/>
  <c r="M13" i="8"/>
  <c r="L13" i="8"/>
  <c r="K13" i="8"/>
  <c r="P8" i="7"/>
  <c r="O8" i="7"/>
  <c r="N8" i="7"/>
  <c r="M8" i="7"/>
  <c r="L8" i="7"/>
  <c r="K8" i="7"/>
  <c r="P16" i="6"/>
  <c r="O16" i="6"/>
  <c r="N16" i="6"/>
  <c r="M16" i="6"/>
  <c r="L16" i="6"/>
  <c r="K16" i="6"/>
  <c r="P18" i="5"/>
  <c r="O18" i="5"/>
  <c r="N18" i="5"/>
  <c r="M18" i="5"/>
  <c r="L18" i="5"/>
  <c r="K18" i="5"/>
  <c r="P14" i="4"/>
  <c r="O14" i="4"/>
  <c r="N14" i="4"/>
  <c r="M14" i="4"/>
  <c r="L14" i="4"/>
  <c r="K14" i="4"/>
  <c r="P16" i="3"/>
  <c r="O16" i="3"/>
  <c r="N16" i="3"/>
  <c r="M16" i="3"/>
  <c r="L16" i="3"/>
  <c r="K16" i="3"/>
  <c r="P16" i="2"/>
  <c r="O16" i="2"/>
  <c r="N16" i="2"/>
  <c r="M16" i="2"/>
  <c r="L16" i="2"/>
  <c r="K16" i="2"/>
  <c r="P9" i="1"/>
  <c r="O9" i="1"/>
  <c r="N9" i="1"/>
  <c r="M9" i="1"/>
  <c r="L9" i="1"/>
  <c r="K9" i="1"/>
  <c r="C31" i="5"/>
  <c r="D31" i="5"/>
  <c r="E31" i="5"/>
  <c r="F31" i="5"/>
  <c r="G31" i="5"/>
  <c r="H31" i="5"/>
  <c r="C25" i="9"/>
  <c r="D25" i="9"/>
  <c r="E25" i="9"/>
  <c r="F25" i="9"/>
  <c r="G25" i="9"/>
  <c r="H25" i="9"/>
  <c r="C26" i="9"/>
  <c r="D26" i="9"/>
  <c r="E26" i="9"/>
  <c r="F26" i="9"/>
  <c r="G26" i="9"/>
  <c r="H26" i="9"/>
  <c r="C27" i="9"/>
  <c r="D27" i="9"/>
  <c r="E27" i="9"/>
  <c r="F27" i="9"/>
  <c r="G27" i="9"/>
  <c r="H27" i="9"/>
  <c r="C28" i="9"/>
  <c r="D28" i="9"/>
  <c r="E28" i="9"/>
  <c r="F28" i="9"/>
  <c r="G28" i="9"/>
  <c r="H28" i="9"/>
  <c r="C29" i="9"/>
  <c r="D29" i="9"/>
  <c r="E29" i="9"/>
  <c r="F29" i="9"/>
  <c r="G29" i="9"/>
  <c r="H29" i="9"/>
  <c r="C30" i="9"/>
  <c r="D30" i="9"/>
  <c r="E30" i="9"/>
  <c r="F30" i="9"/>
  <c r="G30" i="9"/>
  <c r="H30" i="9"/>
  <c r="C31" i="9"/>
  <c r="D31" i="9"/>
  <c r="E31" i="9"/>
  <c r="F31" i="9"/>
  <c r="G31" i="9"/>
  <c r="H31" i="9"/>
  <c r="C32" i="9"/>
  <c r="D32" i="9"/>
  <c r="E32" i="9"/>
  <c r="F32" i="9"/>
  <c r="G32" i="9"/>
  <c r="H32" i="9"/>
  <c r="C33" i="9"/>
  <c r="D33" i="9"/>
  <c r="E33" i="9"/>
  <c r="F33" i="9"/>
  <c r="G33" i="9"/>
  <c r="H33" i="9"/>
  <c r="C34" i="9"/>
  <c r="D34" i="9"/>
  <c r="E34" i="9"/>
  <c r="F34" i="9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F41" i="9"/>
  <c r="G41" i="9"/>
  <c r="H41" i="9"/>
  <c r="C42" i="9"/>
  <c r="D42" i="9"/>
  <c r="E42" i="9"/>
  <c r="F42" i="9"/>
  <c r="G42" i="9"/>
  <c r="H42" i="9"/>
  <c r="C43" i="9"/>
  <c r="D43" i="9"/>
  <c r="E43" i="9"/>
  <c r="F43" i="9"/>
  <c r="G43" i="9"/>
  <c r="H43" i="9"/>
  <c r="H24" i="9"/>
  <c r="G24" i="9"/>
  <c r="F24" i="9"/>
  <c r="E24" i="9"/>
  <c r="D24" i="9"/>
  <c r="C24" i="9"/>
  <c r="M10" i="9"/>
  <c r="M32" i="9" s="1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O3" i="9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M3" i="9"/>
  <c r="M4" i="9" s="1"/>
  <c r="M5" i="9" s="1"/>
  <c r="M6" i="9" s="1"/>
  <c r="M7" i="9" s="1"/>
  <c r="M8" i="9" s="1"/>
  <c r="M9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K3" i="9"/>
  <c r="K4" i="9" s="1"/>
  <c r="K5" i="9" s="1"/>
  <c r="K6" i="9" s="1"/>
  <c r="K7" i="9" s="1"/>
  <c r="K8" i="9" s="1"/>
  <c r="K9" i="9" s="1"/>
  <c r="J3" i="9"/>
  <c r="J4" i="9" s="1"/>
  <c r="J5" i="9" s="1"/>
  <c r="J6" i="9" s="1"/>
  <c r="J7" i="9" s="1"/>
  <c r="J8" i="9" s="1"/>
  <c r="J9" i="9" s="1"/>
  <c r="J10" i="9" s="1"/>
  <c r="J11" i="9" s="1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P3" i="8"/>
  <c r="P4" i="8" s="1"/>
  <c r="P5" i="8" s="1"/>
  <c r="P6" i="8" s="1"/>
  <c r="P7" i="8" s="1"/>
  <c r="P8" i="8" s="1"/>
  <c r="P9" i="8" s="1"/>
  <c r="P10" i="8" s="1"/>
  <c r="O3" i="8"/>
  <c r="O4" i="8" s="1"/>
  <c r="O5" i="8" s="1"/>
  <c r="O6" i="8" s="1"/>
  <c r="O7" i="8" s="1"/>
  <c r="O8" i="8" s="1"/>
  <c r="O9" i="8" s="1"/>
  <c r="O10" i="8" s="1"/>
  <c r="N3" i="8"/>
  <c r="N4" i="8" s="1"/>
  <c r="N5" i="8" s="1"/>
  <c r="N6" i="8" s="1"/>
  <c r="N7" i="8" s="1"/>
  <c r="N8" i="8" s="1"/>
  <c r="N9" i="8" s="1"/>
  <c r="N10" i="8" s="1"/>
  <c r="M3" i="8"/>
  <c r="M4" i="8" s="1"/>
  <c r="M5" i="8" s="1"/>
  <c r="M6" i="8" s="1"/>
  <c r="M7" i="8" s="1"/>
  <c r="M8" i="8" s="1"/>
  <c r="M9" i="8" s="1"/>
  <c r="M10" i="8" s="1"/>
  <c r="L3" i="8"/>
  <c r="L4" i="8" s="1"/>
  <c r="L5" i="8" s="1"/>
  <c r="L6" i="8" s="1"/>
  <c r="L7" i="8" s="1"/>
  <c r="L8" i="8" s="1"/>
  <c r="L9" i="8" s="1"/>
  <c r="L10" i="8" s="1"/>
  <c r="K3" i="8"/>
  <c r="K4" i="8" s="1"/>
  <c r="K5" i="8" s="1"/>
  <c r="K6" i="8" s="1"/>
  <c r="K7" i="8" s="1"/>
  <c r="K8" i="8" s="1"/>
  <c r="K9" i="8" s="1"/>
  <c r="K10" i="8" s="1"/>
  <c r="J3" i="8"/>
  <c r="J4" i="8" s="1"/>
  <c r="J5" i="8" s="1"/>
  <c r="J6" i="8" s="1"/>
  <c r="J7" i="8" s="1"/>
  <c r="J8" i="8" s="1"/>
  <c r="J9" i="8" s="1"/>
  <c r="J10" i="8" s="1"/>
  <c r="K31" i="9" l="1"/>
  <c r="N25" i="9"/>
  <c r="L31" i="9"/>
  <c r="P29" i="9"/>
  <c r="O29" i="9"/>
  <c r="N28" i="9"/>
  <c r="M28" i="9"/>
  <c r="O32" i="9"/>
  <c r="M25" i="9"/>
  <c r="L27" i="9"/>
  <c r="P21" i="8"/>
  <c r="L21" i="8"/>
  <c r="K14" i="8"/>
  <c r="O16" i="8"/>
  <c r="L17" i="8"/>
  <c r="K18" i="8"/>
  <c r="L18" i="8"/>
  <c r="O20" i="8"/>
  <c r="P33" i="9"/>
  <c r="N32" i="9"/>
  <c r="J12" i="9"/>
  <c r="O33" i="9"/>
  <c r="N33" i="9"/>
  <c r="P30" i="9"/>
  <c r="P26" i="9"/>
  <c r="K10" i="9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M29" i="9"/>
  <c r="K28" i="9"/>
  <c r="L33" i="9"/>
  <c r="N30" i="9"/>
  <c r="N26" i="9"/>
  <c r="M11" i="9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O31" i="9"/>
  <c r="M30" i="9"/>
  <c r="K29" i="9"/>
  <c r="O27" i="9"/>
  <c r="M26" i="9"/>
  <c r="K27" i="9"/>
  <c r="L32" i="9"/>
  <c r="N29" i="9"/>
  <c r="L28" i="9"/>
  <c r="P25" i="9"/>
  <c r="O30" i="9"/>
  <c r="O26" i="9"/>
  <c r="P31" i="9"/>
  <c r="L29" i="9"/>
  <c r="P27" i="9"/>
  <c r="K25" i="9"/>
  <c r="P32" i="9"/>
  <c r="N31" i="9"/>
  <c r="L30" i="9"/>
  <c r="P28" i="9"/>
  <c r="N27" i="9"/>
  <c r="L26" i="9"/>
  <c r="L25" i="9"/>
  <c r="M31" i="9"/>
  <c r="K30" i="9"/>
  <c r="O28" i="9"/>
  <c r="M27" i="9"/>
  <c r="K26" i="9"/>
  <c r="N15" i="8"/>
  <c r="P16" i="8"/>
  <c r="N19" i="8"/>
  <c r="P20" i="8"/>
  <c r="M14" i="8"/>
  <c r="O15" i="8"/>
  <c r="K17" i="8"/>
  <c r="M18" i="8"/>
  <c r="O19" i="8"/>
  <c r="K21" i="8"/>
  <c r="M19" i="8"/>
  <c r="N14" i="8"/>
  <c r="P15" i="8"/>
  <c r="O14" i="8"/>
  <c r="K16" i="8"/>
  <c r="M17" i="8"/>
  <c r="O18" i="8"/>
  <c r="K20" i="8"/>
  <c r="M21" i="8"/>
  <c r="P14" i="8"/>
  <c r="L16" i="8"/>
  <c r="N17" i="8"/>
  <c r="P18" i="8"/>
  <c r="L20" i="8"/>
  <c r="N21" i="8"/>
  <c r="M15" i="8"/>
  <c r="N18" i="8"/>
  <c r="K15" i="8"/>
  <c r="K22" i="8" s="1"/>
  <c r="K23" i="8" s="1"/>
  <c r="M16" i="8"/>
  <c r="O17" i="8"/>
  <c r="K19" i="8"/>
  <c r="M20" i="8"/>
  <c r="O21" i="8"/>
  <c r="P19" i="8"/>
  <c r="L15" i="8"/>
  <c r="N16" i="8"/>
  <c r="P17" i="8"/>
  <c r="L19" i="8"/>
  <c r="N20" i="8"/>
  <c r="K33" i="9" l="1"/>
  <c r="L22" i="8"/>
  <c r="L23" i="8" s="1"/>
  <c r="K34" i="9"/>
  <c r="L34" i="9"/>
  <c r="N34" i="9"/>
  <c r="P34" i="9"/>
  <c r="M34" i="9"/>
  <c r="O34" i="9"/>
  <c r="J13" i="9"/>
  <c r="K32" i="9"/>
  <c r="M33" i="9"/>
  <c r="O22" i="8"/>
  <c r="O23" i="8" s="1"/>
  <c r="N22" i="8"/>
  <c r="N23" i="8" s="1"/>
  <c r="M22" i="8"/>
  <c r="M23" i="8" s="1"/>
  <c r="P22" i="8"/>
  <c r="P23" i="8" s="1"/>
  <c r="H10" i="7"/>
  <c r="G10" i="7"/>
  <c r="F10" i="7"/>
  <c r="E10" i="7"/>
  <c r="D10" i="7"/>
  <c r="C10" i="7"/>
  <c r="H9" i="7"/>
  <c r="G9" i="7"/>
  <c r="F9" i="7"/>
  <c r="E9" i="7"/>
  <c r="D9" i="7"/>
  <c r="C9" i="7"/>
  <c r="H8" i="7"/>
  <c r="G8" i="7"/>
  <c r="F8" i="7"/>
  <c r="E8" i="7"/>
  <c r="D8" i="7"/>
  <c r="C8" i="7"/>
  <c r="P3" i="7"/>
  <c r="P4" i="7" s="1"/>
  <c r="K3" i="7"/>
  <c r="K4" i="7" s="1"/>
  <c r="O3" i="7"/>
  <c r="O4" i="7" s="1"/>
  <c r="N3" i="7"/>
  <c r="N4" i="7" s="1"/>
  <c r="M3" i="7"/>
  <c r="M4" i="7" s="1"/>
  <c r="L3" i="7"/>
  <c r="L4" i="7" s="1"/>
  <c r="J3" i="7"/>
  <c r="H26" i="6"/>
  <c r="G26" i="6"/>
  <c r="F26" i="6"/>
  <c r="E26" i="6"/>
  <c r="D26" i="6"/>
  <c r="C26" i="6"/>
  <c r="H25" i="6"/>
  <c r="G25" i="6"/>
  <c r="F25" i="6"/>
  <c r="E25" i="6"/>
  <c r="D25" i="6"/>
  <c r="C25" i="6"/>
  <c r="H24" i="6"/>
  <c r="G24" i="6"/>
  <c r="F24" i="6"/>
  <c r="E24" i="6"/>
  <c r="D24" i="6"/>
  <c r="C24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P3" i="6"/>
  <c r="P4" i="6" s="1"/>
  <c r="P5" i="6" s="1"/>
  <c r="P6" i="6" s="1"/>
  <c r="P7" i="6" s="1"/>
  <c r="P8" i="6" s="1"/>
  <c r="P9" i="6" s="1"/>
  <c r="P10" i="6" s="1"/>
  <c r="P11" i="6" s="1"/>
  <c r="P12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K3" i="6"/>
  <c r="K4" i="6" s="1"/>
  <c r="K5" i="6" s="1"/>
  <c r="K6" i="6" s="1"/>
  <c r="K7" i="6" s="1"/>
  <c r="K8" i="6" s="1"/>
  <c r="K9" i="6" s="1"/>
  <c r="K10" i="6" s="1"/>
  <c r="K11" i="6" s="1"/>
  <c r="K12" i="6" s="1"/>
  <c r="J3" i="6"/>
  <c r="H30" i="5"/>
  <c r="G30" i="5"/>
  <c r="F30" i="5"/>
  <c r="E30" i="5"/>
  <c r="D30" i="5"/>
  <c r="C30" i="5"/>
  <c r="H29" i="5"/>
  <c r="G29" i="5"/>
  <c r="F29" i="5"/>
  <c r="E29" i="5"/>
  <c r="D29" i="5"/>
  <c r="C29" i="5"/>
  <c r="H28" i="5"/>
  <c r="G28" i="5"/>
  <c r="F28" i="5"/>
  <c r="E28" i="5"/>
  <c r="D28" i="5"/>
  <c r="C28" i="5"/>
  <c r="H27" i="5"/>
  <c r="G27" i="5"/>
  <c r="F27" i="5"/>
  <c r="E27" i="5"/>
  <c r="D27" i="5"/>
  <c r="C27" i="5"/>
  <c r="H26" i="5"/>
  <c r="G26" i="5"/>
  <c r="F26" i="5"/>
  <c r="E26" i="5"/>
  <c r="D26" i="5"/>
  <c r="C26" i="5"/>
  <c r="H25" i="5"/>
  <c r="G25" i="5"/>
  <c r="F25" i="5"/>
  <c r="E25" i="5"/>
  <c r="D25" i="5"/>
  <c r="C25" i="5"/>
  <c r="H24" i="5"/>
  <c r="G24" i="5"/>
  <c r="F24" i="5"/>
  <c r="E24" i="5"/>
  <c r="D24" i="5"/>
  <c r="C24" i="5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N3" i="5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J3" i="5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P3" i="4"/>
  <c r="P4" i="4" s="1"/>
  <c r="P5" i="4" s="1"/>
  <c r="P6" i="4" s="1"/>
  <c r="P7" i="4" s="1"/>
  <c r="P8" i="4" s="1"/>
  <c r="P9" i="4" s="1"/>
  <c r="P10" i="4" s="1"/>
  <c r="P11" i="4" s="1"/>
  <c r="O3" i="4"/>
  <c r="O4" i="4" s="1"/>
  <c r="O5" i="4" s="1"/>
  <c r="O6" i="4" s="1"/>
  <c r="O7" i="4" s="1"/>
  <c r="O8" i="4" s="1"/>
  <c r="O9" i="4" s="1"/>
  <c r="O10" i="4" s="1"/>
  <c r="O11" i="4" s="1"/>
  <c r="N3" i="4"/>
  <c r="N4" i="4" s="1"/>
  <c r="N5" i="4" s="1"/>
  <c r="N6" i="4" s="1"/>
  <c r="N7" i="4" s="1"/>
  <c r="N8" i="4" s="1"/>
  <c r="N9" i="4" s="1"/>
  <c r="N10" i="4" s="1"/>
  <c r="N11" i="4" s="1"/>
  <c r="M3" i="4"/>
  <c r="M4" i="4" s="1"/>
  <c r="M5" i="4" s="1"/>
  <c r="M6" i="4" s="1"/>
  <c r="M7" i="4" s="1"/>
  <c r="M8" i="4" s="1"/>
  <c r="M9" i="4" s="1"/>
  <c r="M10" i="4" s="1"/>
  <c r="M11" i="4" s="1"/>
  <c r="L3" i="4"/>
  <c r="L4" i="4" s="1"/>
  <c r="L5" i="4" s="1"/>
  <c r="L6" i="4" s="1"/>
  <c r="L7" i="4" s="1"/>
  <c r="L8" i="4" s="1"/>
  <c r="L9" i="4" s="1"/>
  <c r="L10" i="4" s="1"/>
  <c r="L11" i="4" s="1"/>
  <c r="K3" i="4"/>
  <c r="K4" i="4" s="1"/>
  <c r="K5" i="4" s="1"/>
  <c r="K6" i="4" s="1"/>
  <c r="K7" i="4" s="1"/>
  <c r="K8" i="4" s="1"/>
  <c r="K9" i="4" s="1"/>
  <c r="K10" i="4" s="1"/>
  <c r="K11" i="4" s="1"/>
  <c r="J3" i="4"/>
  <c r="J4" i="5" l="1"/>
  <c r="P19" i="5"/>
  <c r="M19" i="5"/>
  <c r="K19" i="5"/>
  <c r="O19" i="5"/>
  <c r="N19" i="5"/>
  <c r="L19" i="5"/>
  <c r="J4" i="4"/>
  <c r="M15" i="4"/>
  <c r="L15" i="4"/>
  <c r="K15" i="4"/>
  <c r="P15" i="4"/>
  <c r="O15" i="4"/>
  <c r="N15" i="4"/>
  <c r="M35" i="9"/>
  <c r="N35" i="9"/>
  <c r="J14" i="9"/>
  <c r="K35" i="9"/>
  <c r="O35" i="9"/>
  <c r="P35" i="9"/>
  <c r="L35" i="9"/>
  <c r="J4" i="7"/>
  <c r="N9" i="7"/>
  <c r="K9" i="7"/>
  <c r="M9" i="7"/>
  <c r="L9" i="7"/>
  <c r="P9" i="7"/>
  <c r="O9" i="7"/>
  <c r="J4" i="6"/>
  <c r="N17" i="6"/>
  <c r="K17" i="6"/>
  <c r="M17" i="6"/>
  <c r="O17" i="6"/>
  <c r="L17" i="6"/>
  <c r="P17" i="6"/>
  <c r="N15" i="5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J3" i="3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N12" i="2"/>
  <c r="P3" i="2"/>
  <c r="P4" i="2" s="1"/>
  <c r="P5" i="2" s="1"/>
  <c r="P6" i="2" s="1"/>
  <c r="P7" i="2" s="1"/>
  <c r="P8" i="2" s="1"/>
  <c r="P9" i="2" s="1"/>
  <c r="P10" i="2" s="1"/>
  <c r="P11" i="2" s="1"/>
  <c r="P1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P3" i="1"/>
  <c r="P4" i="1" s="1"/>
  <c r="P5" i="1" s="1"/>
  <c r="P6" i="1" s="1"/>
  <c r="O3" i="1"/>
  <c r="O4" i="1" s="1"/>
  <c r="O5" i="1" s="1"/>
  <c r="O6" i="1" s="1"/>
  <c r="N3" i="1"/>
  <c r="N4" i="1" s="1"/>
  <c r="N5" i="1" s="1"/>
  <c r="N6" i="1" s="1"/>
  <c r="M3" i="1"/>
  <c r="M4" i="1" s="1"/>
  <c r="M5" i="1" s="1"/>
  <c r="M6" i="1" s="1"/>
  <c r="L3" i="1"/>
  <c r="L4" i="1" s="1"/>
  <c r="L5" i="1" s="1"/>
  <c r="L6" i="1" s="1"/>
  <c r="K3" i="1"/>
  <c r="K4" i="1" s="1"/>
  <c r="K5" i="1" s="1"/>
  <c r="K6" i="1" s="1"/>
  <c r="J3" i="1"/>
  <c r="J5" i="5" l="1"/>
  <c r="P20" i="5"/>
  <c r="N20" i="5"/>
  <c r="K20" i="5"/>
  <c r="O20" i="5"/>
  <c r="M20" i="5"/>
  <c r="L20" i="5"/>
  <c r="J4" i="2"/>
  <c r="O17" i="2"/>
  <c r="N17" i="2"/>
  <c r="L17" i="2"/>
  <c r="K17" i="2"/>
  <c r="P17" i="2"/>
  <c r="M17" i="2"/>
  <c r="J5" i="4"/>
  <c r="O16" i="4"/>
  <c r="N16" i="4"/>
  <c r="P16" i="4"/>
  <c r="M16" i="4"/>
  <c r="K16" i="4"/>
  <c r="L16" i="4"/>
  <c r="O36" i="9"/>
  <c r="P36" i="9"/>
  <c r="J15" i="9"/>
  <c r="K36" i="9"/>
  <c r="N36" i="9"/>
  <c r="L36" i="9"/>
  <c r="M36" i="9"/>
  <c r="M11" i="7"/>
  <c r="M12" i="7" s="1"/>
  <c r="N11" i="7"/>
  <c r="N12" i="7" s="1"/>
  <c r="P10" i="7"/>
  <c r="P11" i="7" s="1"/>
  <c r="P12" i="7" s="1"/>
  <c r="O10" i="7"/>
  <c r="O11" i="7" s="1"/>
  <c r="O12" i="7" s="1"/>
  <c r="M10" i="7"/>
  <c r="N10" i="7"/>
  <c r="L10" i="7"/>
  <c r="L11" i="7" s="1"/>
  <c r="L12" i="7" s="1"/>
  <c r="K10" i="7"/>
  <c r="K11" i="7" s="1"/>
  <c r="K12" i="7" s="1"/>
  <c r="J5" i="6"/>
  <c r="P18" i="6"/>
  <c r="O18" i="6"/>
  <c r="N18" i="6"/>
  <c r="M18" i="6"/>
  <c r="L18" i="6"/>
  <c r="K18" i="6"/>
  <c r="J4" i="3"/>
  <c r="L17" i="3"/>
  <c r="O17" i="3"/>
  <c r="N17" i="3"/>
  <c r="K17" i="3"/>
  <c r="M17" i="3"/>
  <c r="P17" i="3"/>
  <c r="J4" i="1"/>
  <c r="P10" i="1"/>
  <c r="O10" i="1"/>
  <c r="K10" i="1"/>
  <c r="N10" i="1"/>
  <c r="M10" i="1"/>
  <c r="L10" i="1"/>
  <c r="J6" i="5" l="1"/>
  <c r="L21" i="5"/>
  <c r="N21" i="5"/>
  <c r="K21" i="5"/>
  <c r="P21" i="5"/>
  <c r="O21" i="5"/>
  <c r="M21" i="5"/>
  <c r="J5" i="2"/>
  <c r="P18" i="2"/>
  <c r="L18" i="2"/>
  <c r="O18" i="2"/>
  <c r="N18" i="2"/>
  <c r="M18" i="2"/>
  <c r="K18" i="2"/>
  <c r="J6" i="4"/>
  <c r="M17" i="4"/>
  <c r="P17" i="4"/>
  <c r="K17" i="4"/>
  <c r="O17" i="4"/>
  <c r="N17" i="4"/>
  <c r="L17" i="4"/>
  <c r="L37" i="9"/>
  <c r="N37" i="9"/>
  <c r="O37" i="9"/>
  <c r="K37" i="9"/>
  <c r="J16" i="9"/>
  <c r="M37" i="9"/>
  <c r="P37" i="9"/>
  <c r="J6" i="6"/>
  <c r="O19" i="6"/>
  <c r="L19" i="6"/>
  <c r="K19" i="6"/>
  <c r="P19" i="6"/>
  <c r="N19" i="6"/>
  <c r="M19" i="6"/>
  <c r="J5" i="3"/>
  <c r="N18" i="3"/>
  <c r="O18" i="3"/>
  <c r="M18" i="3"/>
  <c r="L18" i="3"/>
  <c r="P18" i="3"/>
  <c r="K18" i="3"/>
  <c r="J5" i="1"/>
  <c r="K11" i="1"/>
  <c r="N11" i="1"/>
  <c r="P11" i="1"/>
  <c r="O11" i="1"/>
  <c r="M11" i="1"/>
  <c r="L11" i="1"/>
  <c r="J7" i="5" l="1"/>
  <c r="N22" i="5"/>
  <c r="K22" i="5"/>
  <c r="O22" i="5"/>
  <c r="M22" i="5"/>
  <c r="L22" i="5"/>
  <c r="P22" i="5"/>
  <c r="J6" i="2"/>
  <c r="K19" i="2"/>
  <c r="O19" i="2"/>
  <c r="P19" i="2"/>
  <c r="M19" i="2"/>
  <c r="N19" i="2"/>
  <c r="L19" i="2"/>
  <c r="J7" i="4"/>
  <c r="K18" i="4"/>
  <c r="L18" i="4"/>
  <c r="O18" i="4"/>
  <c r="N18" i="4"/>
  <c r="M18" i="4"/>
  <c r="P18" i="4"/>
  <c r="K38" i="9"/>
  <c r="L38" i="9"/>
  <c r="J17" i="9"/>
  <c r="O38" i="9"/>
  <c r="M38" i="9"/>
  <c r="N38" i="9"/>
  <c r="P38" i="9"/>
  <c r="J7" i="6"/>
  <c r="L20" i="6"/>
  <c r="K20" i="6"/>
  <c r="N20" i="6"/>
  <c r="M20" i="6"/>
  <c r="P20" i="6"/>
  <c r="O20" i="6"/>
  <c r="J6" i="3"/>
  <c r="P19" i="3"/>
  <c r="O19" i="3"/>
  <c r="K19" i="3"/>
  <c r="N19" i="3"/>
  <c r="M19" i="3"/>
  <c r="L19" i="3"/>
  <c r="J6" i="1"/>
  <c r="M12" i="1"/>
  <c r="L12" i="1"/>
  <c r="K12" i="1"/>
  <c r="O12" i="1"/>
  <c r="N12" i="1"/>
  <c r="P12" i="1"/>
  <c r="J8" i="5" l="1"/>
  <c r="P23" i="5"/>
  <c r="L23" i="5"/>
  <c r="K23" i="5"/>
  <c r="O23" i="5"/>
  <c r="N23" i="5"/>
  <c r="M23" i="5"/>
  <c r="J7" i="2"/>
  <c r="M20" i="2"/>
  <c r="P20" i="2"/>
  <c r="L20" i="2"/>
  <c r="N20" i="2"/>
  <c r="K20" i="2"/>
  <c r="O20" i="2"/>
  <c r="J8" i="4"/>
  <c r="M19" i="4"/>
  <c r="L19" i="4"/>
  <c r="K19" i="4"/>
  <c r="P19" i="4"/>
  <c r="O19" i="4"/>
  <c r="N19" i="4"/>
  <c r="M39" i="9"/>
  <c r="J18" i="9"/>
  <c r="N39" i="9"/>
  <c r="P39" i="9"/>
  <c r="L39" i="9"/>
  <c r="O39" i="9"/>
  <c r="K39" i="9"/>
  <c r="J8" i="6"/>
  <c r="N21" i="6"/>
  <c r="K21" i="6"/>
  <c r="P21" i="6"/>
  <c r="M21" i="6"/>
  <c r="L21" i="6"/>
  <c r="O21" i="6"/>
  <c r="J7" i="3"/>
  <c r="M20" i="3"/>
  <c r="L20" i="3"/>
  <c r="K20" i="3"/>
  <c r="P20" i="3"/>
  <c r="O20" i="3"/>
  <c r="N20" i="3"/>
  <c r="P13" i="1"/>
  <c r="P14" i="1" s="1"/>
  <c r="P15" i="1" s="1"/>
  <c r="O13" i="1"/>
  <c r="O14" i="1" s="1"/>
  <c r="O15" i="1" s="1"/>
  <c r="N13" i="1"/>
  <c r="N14" i="1" s="1"/>
  <c r="N15" i="1" s="1"/>
  <c r="M13" i="1"/>
  <c r="M14" i="1" s="1"/>
  <c r="M15" i="1" s="1"/>
  <c r="L13" i="1"/>
  <c r="L14" i="1" s="1"/>
  <c r="L15" i="1" s="1"/>
  <c r="K13" i="1"/>
  <c r="K14" i="1" s="1"/>
  <c r="K15" i="1" s="1"/>
  <c r="J9" i="5" l="1"/>
  <c r="P24" i="5"/>
  <c r="O24" i="5"/>
  <c r="L24" i="5"/>
  <c r="N24" i="5"/>
  <c r="M24" i="5"/>
  <c r="K24" i="5"/>
  <c r="J8" i="2"/>
  <c r="O21" i="2"/>
  <c r="N21" i="2"/>
  <c r="K21" i="2"/>
  <c r="M21" i="2"/>
  <c r="L21" i="2"/>
  <c r="P21" i="2"/>
  <c r="J9" i="4"/>
  <c r="O20" i="4"/>
  <c r="N20" i="4"/>
  <c r="P20" i="4"/>
  <c r="M20" i="4"/>
  <c r="L20" i="4"/>
  <c r="K20" i="4"/>
  <c r="O40" i="9"/>
  <c r="P40" i="9"/>
  <c r="L40" i="9"/>
  <c r="M40" i="9"/>
  <c r="J19" i="9"/>
  <c r="K40" i="9"/>
  <c r="N40" i="9"/>
  <c r="J9" i="6"/>
  <c r="P22" i="6"/>
  <c r="O22" i="6"/>
  <c r="N22" i="6"/>
  <c r="M22" i="6"/>
  <c r="L22" i="6"/>
  <c r="K22" i="6"/>
  <c r="J8" i="3"/>
  <c r="L21" i="3"/>
  <c r="N21" i="3"/>
  <c r="M21" i="3"/>
  <c r="K21" i="3"/>
  <c r="O21" i="3"/>
  <c r="P21" i="3"/>
  <c r="J10" i="5" l="1"/>
  <c r="L25" i="5"/>
  <c r="P25" i="5"/>
  <c r="O25" i="5"/>
  <c r="M25" i="5"/>
  <c r="K25" i="5"/>
  <c r="N25" i="5"/>
  <c r="J9" i="2"/>
  <c r="K22" i="2"/>
  <c r="P22" i="2"/>
  <c r="L22" i="2"/>
  <c r="O22" i="2"/>
  <c r="N22" i="2"/>
  <c r="M22" i="2"/>
  <c r="J10" i="4"/>
  <c r="L21" i="4"/>
  <c r="P21" i="4"/>
  <c r="M21" i="4"/>
  <c r="K21" i="4"/>
  <c r="O21" i="4"/>
  <c r="N21" i="4"/>
  <c r="M41" i="9"/>
  <c r="P41" i="9"/>
  <c r="K41" i="9"/>
  <c r="L41" i="9"/>
  <c r="N41" i="9"/>
  <c r="O41" i="9"/>
  <c r="J20" i="9"/>
  <c r="J10" i="6"/>
  <c r="O23" i="6"/>
  <c r="L23" i="6"/>
  <c r="P23" i="6"/>
  <c r="K23" i="6"/>
  <c r="N23" i="6"/>
  <c r="M23" i="6"/>
  <c r="J9" i="3"/>
  <c r="N22" i="3"/>
  <c r="M22" i="3"/>
  <c r="L22" i="3"/>
  <c r="K22" i="3"/>
  <c r="P22" i="3"/>
  <c r="O22" i="3"/>
  <c r="J11" i="5" l="1"/>
  <c r="N26" i="5"/>
  <c r="P26" i="5"/>
  <c r="M26" i="5"/>
  <c r="L26" i="5"/>
  <c r="K26" i="5"/>
  <c r="O26" i="5"/>
  <c r="J10" i="2"/>
  <c r="K23" i="2"/>
  <c r="O23" i="2"/>
  <c r="L23" i="2"/>
  <c r="P23" i="2"/>
  <c r="M23" i="2"/>
  <c r="N23" i="2"/>
  <c r="J11" i="4"/>
  <c r="K22" i="4"/>
  <c r="M22" i="4"/>
  <c r="L22" i="4"/>
  <c r="N22" i="4"/>
  <c r="P22" i="4"/>
  <c r="O22" i="4"/>
  <c r="K42" i="9"/>
  <c r="J21" i="9"/>
  <c r="L42" i="9"/>
  <c r="N42" i="9"/>
  <c r="M42" i="9"/>
  <c r="O42" i="9"/>
  <c r="P42" i="9"/>
  <c r="J11" i="6"/>
  <c r="L24" i="6"/>
  <c r="K24" i="6"/>
  <c r="M24" i="6"/>
  <c r="P24" i="6"/>
  <c r="O24" i="6"/>
  <c r="N24" i="6"/>
  <c r="J10" i="3"/>
  <c r="P23" i="3"/>
  <c r="O23" i="3"/>
  <c r="L23" i="3"/>
  <c r="N23" i="3"/>
  <c r="K23" i="3"/>
  <c r="M23" i="3"/>
  <c r="J12" i="5" l="1"/>
  <c r="P27" i="5"/>
  <c r="O27" i="5"/>
  <c r="N27" i="5"/>
  <c r="M27" i="5"/>
  <c r="L27" i="5"/>
  <c r="K27" i="5"/>
  <c r="J11" i="2"/>
  <c r="M24" i="2"/>
  <c r="L24" i="2"/>
  <c r="K24" i="2"/>
  <c r="P24" i="2"/>
  <c r="O24" i="2"/>
  <c r="N24" i="2"/>
  <c r="M23" i="4"/>
  <c r="M24" i="4" s="1"/>
  <c r="M25" i="4" s="1"/>
  <c r="L23" i="4"/>
  <c r="L24" i="4" s="1"/>
  <c r="L25" i="4" s="1"/>
  <c r="P23" i="4"/>
  <c r="P24" i="4" s="1"/>
  <c r="P25" i="4" s="1"/>
  <c r="K23" i="4"/>
  <c r="K24" i="4" s="1"/>
  <c r="K25" i="4" s="1"/>
  <c r="O23" i="4"/>
  <c r="O24" i="4" s="1"/>
  <c r="O25" i="4" s="1"/>
  <c r="N23" i="4"/>
  <c r="N24" i="4" s="1"/>
  <c r="N25" i="4" s="1"/>
  <c r="M43" i="9"/>
  <c r="M44" i="9" s="1"/>
  <c r="M45" i="9" s="1"/>
  <c r="N43" i="9"/>
  <c r="N44" i="9" s="1"/>
  <c r="N45" i="9" s="1"/>
  <c r="K43" i="9"/>
  <c r="K44" i="9" s="1"/>
  <c r="K45" i="9" s="1"/>
  <c r="O43" i="9"/>
  <c r="O44" i="9" s="1"/>
  <c r="O45" i="9" s="1"/>
  <c r="P43" i="9"/>
  <c r="P44" i="9" s="1"/>
  <c r="P45" i="9" s="1"/>
  <c r="L43" i="9"/>
  <c r="L44" i="9" s="1"/>
  <c r="L45" i="9" s="1"/>
  <c r="J12" i="6"/>
  <c r="N25" i="6"/>
  <c r="O25" i="6"/>
  <c r="M25" i="6"/>
  <c r="L25" i="6"/>
  <c r="K25" i="6"/>
  <c r="P25" i="6"/>
  <c r="J11" i="3"/>
  <c r="N24" i="3"/>
  <c r="L24" i="3"/>
  <c r="M24" i="3"/>
  <c r="P24" i="3"/>
  <c r="K24" i="3"/>
  <c r="O24" i="3"/>
  <c r="J13" i="5" l="1"/>
  <c r="P28" i="5"/>
  <c r="N28" i="5"/>
  <c r="M28" i="5"/>
  <c r="K28" i="5"/>
  <c r="O28" i="5"/>
  <c r="L28" i="5"/>
  <c r="J12" i="2"/>
  <c r="O25" i="2"/>
  <c r="N25" i="2"/>
  <c r="K25" i="2"/>
  <c r="P25" i="2"/>
  <c r="M25" i="2"/>
  <c r="L25" i="2"/>
  <c r="P26" i="6"/>
  <c r="P27" i="6" s="1"/>
  <c r="P28" i="6" s="1"/>
  <c r="O26" i="6"/>
  <c r="O27" i="6" s="1"/>
  <c r="O28" i="6" s="1"/>
  <c r="M26" i="6"/>
  <c r="M27" i="6" s="1"/>
  <c r="M28" i="6" s="1"/>
  <c r="N26" i="6"/>
  <c r="N27" i="6" s="1"/>
  <c r="N28" i="6" s="1"/>
  <c r="L26" i="6"/>
  <c r="L27" i="6" s="1"/>
  <c r="L28" i="6" s="1"/>
  <c r="K26" i="6"/>
  <c r="K27" i="6" s="1"/>
  <c r="K28" i="6" s="1"/>
  <c r="J12" i="3"/>
  <c r="L25" i="3"/>
  <c r="M25" i="3"/>
  <c r="K25" i="3"/>
  <c r="N25" i="3"/>
  <c r="P25" i="3"/>
  <c r="O25" i="3"/>
  <c r="J14" i="5" l="1"/>
  <c r="L29" i="5"/>
  <c r="P29" i="5"/>
  <c r="N29" i="5"/>
  <c r="K29" i="5"/>
  <c r="O29" i="5"/>
  <c r="M29" i="5"/>
  <c r="P26" i="2"/>
  <c r="P27" i="2" s="1"/>
  <c r="P28" i="2" s="1"/>
  <c r="N26" i="2"/>
  <c r="N27" i="2" s="1"/>
  <c r="N28" i="2" s="1"/>
  <c r="L26" i="2"/>
  <c r="L27" i="2" s="1"/>
  <c r="L28" i="2" s="1"/>
  <c r="K26" i="2"/>
  <c r="K27" i="2" s="1"/>
  <c r="K28" i="2" s="1"/>
  <c r="O26" i="2"/>
  <c r="O27" i="2" s="1"/>
  <c r="O28" i="2" s="1"/>
  <c r="M26" i="2"/>
  <c r="M27" i="2" s="1"/>
  <c r="M28" i="2" s="1"/>
  <c r="J13" i="3"/>
  <c r="N26" i="3"/>
  <c r="M26" i="3"/>
  <c r="O26" i="3"/>
  <c r="L26" i="3"/>
  <c r="P26" i="3"/>
  <c r="K26" i="3"/>
  <c r="J15" i="5" l="1"/>
  <c r="N30" i="5"/>
  <c r="O30" i="5"/>
  <c r="M30" i="5"/>
  <c r="L30" i="5"/>
  <c r="K30" i="5"/>
  <c r="P30" i="5"/>
  <c r="P27" i="3"/>
  <c r="P28" i="3" s="1"/>
  <c r="P29" i="3" s="1"/>
  <c r="K27" i="3"/>
  <c r="K28" i="3" s="1"/>
  <c r="K29" i="3" s="1"/>
  <c r="O27" i="3"/>
  <c r="O28" i="3" s="1"/>
  <c r="O29" i="3" s="1"/>
  <c r="N27" i="3"/>
  <c r="N28" i="3" s="1"/>
  <c r="N29" i="3" s="1"/>
  <c r="M27" i="3"/>
  <c r="M28" i="3" s="1"/>
  <c r="M29" i="3" s="1"/>
  <c r="L27" i="3"/>
  <c r="L28" i="3" s="1"/>
  <c r="L29" i="3" s="1"/>
  <c r="P31" i="5" l="1"/>
  <c r="P32" i="5" s="1"/>
  <c r="P33" i="5" s="1"/>
  <c r="N31" i="5"/>
  <c r="N32" i="5" s="1"/>
  <c r="N33" i="5" s="1"/>
  <c r="M31" i="5"/>
  <c r="M32" i="5" s="1"/>
  <c r="M33" i="5" s="1"/>
  <c r="K31" i="5"/>
  <c r="K32" i="5" s="1"/>
  <c r="K33" i="5" s="1"/>
  <c r="O31" i="5"/>
  <c r="O32" i="5" s="1"/>
  <c r="O33" i="5" s="1"/>
  <c r="L31" i="5"/>
  <c r="L32" i="5" s="1"/>
  <c r="L33" i="5" s="1"/>
</calcChain>
</file>

<file path=xl/sharedStrings.xml><?xml version="1.0" encoding="utf-8"?>
<sst xmlns="http://schemas.openxmlformats.org/spreadsheetml/2006/main" count="565" uniqueCount="117">
  <si>
    <t>ALÉM PARAÍBA</t>
  </si>
  <si>
    <t>ESTRELA DALVA</t>
  </si>
  <si>
    <t>PIRAPETINGA</t>
  </si>
  <si>
    <t>SANTO ANTÔNIO DO AVENTUREIRO</t>
  </si>
  <si>
    <t>VOLTA GRANDE</t>
  </si>
  <si>
    <t>CARANGOLA</t>
  </si>
  <si>
    <t>CAIANA</t>
  </si>
  <si>
    <t>CAPARAÓ</t>
  </si>
  <si>
    <t>DIVINO</t>
  </si>
  <si>
    <t>ESPERA FELIZ</t>
  </si>
  <si>
    <t>FARIA LEMOS</t>
  </si>
  <si>
    <t>FERVEDOURO</t>
  </si>
  <si>
    <t>ORIZÂNIA</t>
  </si>
  <si>
    <t>PEDRA BONITA</t>
  </si>
  <si>
    <t>PEDRA DOURADA</t>
  </si>
  <si>
    <t>TOMBOS</t>
  </si>
  <si>
    <t>JUIZ DE FORA</t>
  </si>
  <si>
    <t>BELMIRO BRAGA</t>
  </si>
  <si>
    <t>CHÁCARA</t>
  </si>
  <si>
    <t>CHIADOR</t>
  </si>
  <si>
    <t>CORONEL PACHECO</t>
  </si>
  <si>
    <t>EWBANK DA CÂMARA</t>
  </si>
  <si>
    <t>GOIANÁ</t>
  </si>
  <si>
    <t>MATIAS BARBOSA</t>
  </si>
  <si>
    <t>PIAU</t>
  </si>
  <si>
    <t>RIO NOVO</t>
  </si>
  <si>
    <t>SANTANA DO DESERTO</t>
  </si>
  <si>
    <t>SIMÃO PEREIRA</t>
  </si>
  <si>
    <t>ARGIRITA</t>
  </si>
  <si>
    <t>ASTOLFO DUTRA</t>
  </si>
  <si>
    <t>CATAGUASES</t>
  </si>
  <si>
    <t>DONA EUZÉBIA</t>
  </si>
  <si>
    <t>ITAMARATI DE MINAS</t>
  </si>
  <si>
    <t>LARANJAL</t>
  </si>
  <si>
    <t>LEOPOLDINA</t>
  </si>
  <si>
    <t>PALMA</t>
  </si>
  <si>
    <t>RECREIO</t>
  </si>
  <si>
    <t>SANTANA DE CATAGUASES</t>
  </si>
  <si>
    <t>LIMA DUARTE</t>
  </si>
  <si>
    <t>ANDRELÂNDIA</t>
  </si>
  <si>
    <t>ARANTINA</t>
  </si>
  <si>
    <t>BIAS FORTES</t>
  </si>
  <si>
    <t>BOCAINA DE MINAS</t>
  </si>
  <si>
    <t>BOM JARDIM DE MINAS</t>
  </si>
  <si>
    <t>LIBERDADE</t>
  </si>
  <si>
    <t>OLARIA</t>
  </si>
  <si>
    <t>PASSA VINTE</t>
  </si>
  <si>
    <t>PEDRO TEIXEIRA</t>
  </si>
  <si>
    <t>RIO PRETO</t>
  </si>
  <si>
    <t>SANTA BÁRBARA DO MONTE VERDE</t>
  </si>
  <si>
    <t>SANTA RITA DE JACUTINGA</t>
  </si>
  <si>
    <t>MURIAÉ</t>
  </si>
  <si>
    <t>ANTÔNIO PRADO DE MINAS</t>
  </si>
  <si>
    <t>BARÃO DE MONTE ALTO</t>
  </si>
  <si>
    <t>EUGENÓPOLIS</t>
  </si>
  <si>
    <t>MIRADOURO</t>
  </si>
  <si>
    <t>MIRAÍ</t>
  </si>
  <si>
    <t>PATROCÍNIO DO MURIAÉ</t>
  </si>
  <si>
    <t>ROSÁRIO DA LIMEIRA</t>
  </si>
  <si>
    <t>SÃO FRANCISCO DO GLÓRIA</t>
  </si>
  <si>
    <t>SÃO SEBASTIÃO DA VARGEM ALEGRE</t>
  </si>
  <si>
    <t>VIEIRAS</t>
  </si>
  <si>
    <t>SANTOS DUMONT</t>
  </si>
  <si>
    <t>ARACITABA</t>
  </si>
  <si>
    <t>OLIVEIRA FORTES</t>
  </si>
  <si>
    <t>BICAS</t>
  </si>
  <si>
    <t>DESCOBERTO</t>
  </si>
  <si>
    <t>GUARARÁ</t>
  </si>
  <si>
    <t>MAR DE ESPANHA</t>
  </si>
  <si>
    <t>MARIPÁ DE MINAS</t>
  </si>
  <si>
    <t>PEQUERI</t>
  </si>
  <si>
    <t>ROCHEDO DE MINAS</t>
  </si>
  <si>
    <t>SÃO JOÃO NEPOMUCENO</t>
  </si>
  <si>
    <t>SENADOR CORTES</t>
  </si>
  <si>
    <t>UBÁ</t>
  </si>
  <si>
    <t>BRÁS PIRES</t>
  </si>
  <si>
    <t>COIMBRA</t>
  </si>
  <si>
    <t>DIVINÉSIA</t>
  </si>
  <si>
    <t>DORES DO TURVO</t>
  </si>
  <si>
    <t>ERVÁLIA</t>
  </si>
  <si>
    <t>GUARANI</t>
  </si>
  <si>
    <t>GUIDOVAL</t>
  </si>
  <si>
    <t>GUIRICEMA</t>
  </si>
  <si>
    <t>MERCÊS</t>
  </si>
  <si>
    <t>PIRAÚBA</t>
  </si>
  <si>
    <t>PRESIDENTE BERNARDES</t>
  </si>
  <si>
    <t>RIO POMBA</t>
  </si>
  <si>
    <t>RODEIRO</t>
  </si>
  <si>
    <t>SÃO GERALDO</t>
  </si>
  <si>
    <t>SENADOR FIRMINO</t>
  </si>
  <si>
    <t>SILVEIRÂNIA</t>
  </si>
  <si>
    <t>TABULEIRO</t>
  </si>
  <si>
    <t>TOCANTINS</t>
  </si>
  <si>
    <t>VISCONDE DO RIO BRANCO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</si>
  <si>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</si>
  <si>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</si>
  <si>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</si>
  <si>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</si>
  <si>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</si>
  <si>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</si>
  <si>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</si>
  <si>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</si>
  <si>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</si>
  <si>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</si>
  <si>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</si>
  <si>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</si>
  <si>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</si>
  <si>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</si>
  <si>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</si>
  <si>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</si>
  <si>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</si>
  <si>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</si>
  <si>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</si>
  <si>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</si>
  <si>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</si>
  <si>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</si>
  <si>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SÃO DOMINGOS DO 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</si>
</sst>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0" fillId="8" borderId="1" xfId="0" applyFill="1" applyBorder="1"/>
    <xf numFmtId="0" fontId="2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2" fillId="7" borderId="1" xfId="0" applyFont="1" applyFill="1" applyBorder="1" applyAlignment="1">
      <alignment horizontal="left" indent="2"/>
    </xf>
    <xf numFmtId="2" fontId="0" fillId="0" borderId="2" xfId="0" applyNumberFormat="1" applyBorder="1"/>
    <xf numFmtId="2" fontId="0" fillId="0" borderId="1" xfId="1" applyNumberFormat="1" applyFont="1" applyBorder="1"/>
    <xf numFmtId="0" fontId="0" fillId="0" borderId="1" xfId="0" applyBorder="1" applyAlignment="1">
      <alignment horizontal="left" indent="2"/>
    </xf>
    <xf numFmtId="10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indent="2"/>
    </xf>
    <xf numFmtId="10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'ALÉM PARAÍBA'!$J$1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PARAÍBA'!$J$2:$J$6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50-437F-977F-AC0A0AA9D7F5}"/>
            </c:ext>
          </c:extLst>
        </c:ser>
        <c:ser>
          <c:idx val="1"/>
          <c:order val="1"/>
          <c:tx>
            <c:strRef>
              <c:f>'ALÉM PARAÍBA'!$K$1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PARAÍBA'!$K$2:$K$6</c:f>
              <c:numCache>
                <c:formatCode>0.00</c:formatCode>
                <c:ptCount val="5"/>
                <c:pt idx="0">
                  <c:v>0</c:v>
                </c:pt>
                <c:pt idx="1">
                  <c:v>5.4545454545454543E-2</c:v>
                </c:pt>
                <c:pt idx="2">
                  <c:v>0.25454545454545457</c:v>
                </c:pt>
                <c:pt idx="3">
                  <c:v>0.52727272727272734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50-437F-977F-AC0A0AA9D7F5}"/>
            </c:ext>
          </c:extLst>
        </c:ser>
        <c:ser>
          <c:idx val="2"/>
          <c:order val="2"/>
          <c:tx>
            <c:strRef>
              <c:f>'ALÉM PARAÍBA'!$L$1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PARAÍBA'!$L$2:$L$6</c:f>
              <c:numCache>
                <c:formatCode>0.00</c:formatCode>
                <c:ptCount val="5"/>
                <c:pt idx="0">
                  <c:v>0.21739130434782608</c:v>
                </c:pt>
                <c:pt idx="1">
                  <c:v>0.2608695652173913</c:v>
                </c:pt>
                <c:pt idx="2">
                  <c:v>0.52173913043478259</c:v>
                </c:pt>
                <c:pt idx="3">
                  <c:v>0.69565217391304346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50-437F-977F-AC0A0AA9D7F5}"/>
            </c:ext>
          </c:extLst>
        </c:ser>
        <c:ser>
          <c:idx val="3"/>
          <c:order val="3"/>
          <c:tx>
            <c:strRef>
              <c:f>'ALÉM PARAÍBA'!$M$1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PARAÍBA'!$M$2:$M$6</c:f>
              <c:numCache>
                <c:formatCode>0.00</c:formatCode>
                <c:ptCount val="5"/>
                <c:pt idx="0">
                  <c:v>0</c:v>
                </c:pt>
                <c:pt idx="1">
                  <c:v>3.5714285714285712E-2</c:v>
                </c:pt>
                <c:pt idx="2">
                  <c:v>0.17857142857142855</c:v>
                </c:pt>
                <c:pt idx="3">
                  <c:v>0.6071428571428571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50-437F-977F-AC0A0AA9D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59184"/>
        <c:axId val="388353424"/>
      </c:scatterChart>
      <c:valAx>
        <c:axId val="3883591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53424"/>
        <c:crosses val="autoZero"/>
        <c:crossBetween val="midCat"/>
      </c:valAx>
      <c:valAx>
        <c:axId val="388353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5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'ALÉM PARAÍBA'!$J$1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PARAÍBA'!$J$2:$J$6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6-46A1-BAAC-B65B4FF36EA3}"/>
            </c:ext>
          </c:extLst>
        </c:ser>
        <c:ser>
          <c:idx val="1"/>
          <c:order val="1"/>
          <c:tx>
            <c:strRef>
              <c:f>'ALÉM PARAÍBA'!$N$1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PARAÍBA'!$N$2:$N$6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4.3478260869565216E-2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6-46A1-BAAC-B65B4FF36EA3}"/>
            </c:ext>
          </c:extLst>
        </c:ser>
        <c:ser>
          <c:idx val="2"/>
          <c:order val="2"/>
          <c:tx>
            <c:strRef>
              <c:f>'ALÉM PARAÍBA'!$O$1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PARAÍBA'!$O$2:$O$6</c:f>
              <c:numCache>
                <c:formatCode>0.00</c:formatCode>
                <c:ptCount val="5"/>
                <c:pt idx="0">
                  <c:v>0</c:v>
                </c:pt>
                <c:pt idx="1">
                  <c:v>8.8235294117647065E-2</c:v>
                </c:pt>
                <c:pt idx="2">
                  <c:v>0.14705882352941177</c:v>
                </c:pt>
                <c:pt idx="3">
                  <c:v>0.61764705882352944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6-46A1-BAAC-B65B4FF36EA3}"/>
            </c:ext>
          </c:extLst>
        </c:ser>
        <c:ser>
          <c:idx val="3"/>
          <c:order val="3"/>
          <c:tx>
            <c:strRef>
              <c:f>'ALÉM PARAÍBA'!$P$1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PARAÍBA'!$P$2:$P$6</c:f>
              <c:numCache>
                <c:formatCode>0.00</c:formatCode>
                <c:ptCount val="5"/>
                <c:pt idx="0">
                  <c:v>5.2631578947368418E-2</c:v>
                </c:pt>
                <c:pt idx="1">
                  <c:v>5.2631578947368418E-2</c:v>
                </c:pt>
                <c:pt idx="2">
                  <c:v>0.26315789473684209</c:v>
                </c:pt>
                <c:pt idx="3">
                  <c:v>0.57894736842105265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36-46A1-BAAC-B65B4FF36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7488"/>
        <c:axId val="388102384"/>
      </c:scatterChart>
      <c:valAx>
        <c:axId val="195387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102384"/>
        <c:crosses val="autoZero"/>
        <c:crossBetween val="midCat"/>
      </c:valAx>
      <c:valAx>
        <c:axId val="388102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CARANGOLA!$J$1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CARANGOLA!$J$2:$J$12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9-4B9C-8DE0-FD0D7A5DFB33}"/>
            </c:ext>
          </c:extLst>
        </c:ser>
        <c:ser>
          <c:idx val="1"/>
          <c:order val="1"/>
          <c:tx>
            <c:strRef>
              <c:f>CARANGOLA!$K$1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CARANGOLA!$K$2:$K$12</c:f>
              <c:numCache>
                <c:formatCode>0.00</c:formatCode>
                <c:ptCount val="11"/>
                <c:pt idx="0">
                  <c:v>1.4184397163120567E-2</c:v>
                </c:pt>
                <c:pt idx="1">
                  <c:v>1.4184397163120567E-2</c:v>
                </c:pt>
                <c:pt idx="2">
                  <c:v>6.3829787234042562E-2</c:v>
                </c:pt>
                <c:pt idx="3">
                  <c:v>0.12056737588652483</c:v>
                </c:pt>
                <c:pt idx="4">
                  <c:v>0.18439716312056736</c:v>
                </c:pt>
                <c:pt idx="5">
                  <c:v>0.19148936170212766</c:v>
                </c:pt>
                <c:pt idx="6">
                  <c:v>0.29078014184397161</c:v>
                </c:pt>
                <c:pt idx="7">
                  <c:v>0.34751773049645385</c:v>
                </c:pt>
                <c:pt idx="8">
                  <c:v>0.51773049645390068</c:v>
                </c:pt>
                <c:pt idx="9">
                  <c:v>0.73758865248226946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19-4B9C-8DE0-FD0D7A5DFB33}"/>
            </c:ext>
          </c:extLst>
        </c:ser>
        <c:ser>
          <c:idx val="2"/>
          <c:order val="2"/>
          <c:tx>
            <c:strRef>
              <c:f>CARANGOLA!$L$1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CARANGOLA!$L$2:$L$12</c:f>
              <c:numCache>
                <c:formatCode>0.00</c:formatCode>
                <c:ptCount val="11"/>
                <c:pt idx="0">
                  <c:v>6.0606060606060608E-2</c:v>
                </c:pt>
                <c:pt idx="1">
                  <c:v>7.575757575757576E-2</c:v>
                </c:pt>
                <c:pt idx="2">
                  <c:v>0.12121212121212122</c:v>
                </c:pt>
                <c:pt idx="3">
                  <c:v>0.12121212121212122</c:v>
                </c:pt>
                <c:pt idx="4">
                  <c:v>0.16666666666666669</c:v>
                </c:pt>
                <c:pt idx="5">
                  <c:v>0.19696969696969699</c:v>
                </c:pt>
                <c:pt idx="6">
                  <c:v>0.22727272727272729</c:v>
                </c:pt>
                <c:pt idx="7">
                  <c:v>0.33333333333333337</c:v>
                </c:pt>
                <c:pt idx="8">
                  <c:v>0.46969696969696972</c:v>
                </c:pt>
                <c:pt idx="9">
                  <c:v>0.5757575757575758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19-4B9C-8DE0-FD0D7A5DFB33}"/>
            </c:ext>
          </c:extLst>
        </c:ser>
        <c:ser>
          <c:idx val="3"/>
          <c:order val="3"/>
          <c:tx>
            <c:strRef>
              <c:f>CARANGOLA!$M$1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CARANGOLA!$M$2:$M$12</c:f>
              <c:numCache>
                <c:formatCode>0.00</c:formatCode>
                <c:ptCount val="11"/>
                <c:pt idx="0">
                  <c:v>4.4117647058823532E-2</c:v>
                </c:pt>
                <c:pt idx="1">
                  <c:v>0.16176470588235295</c:v>
                </c:pt>
                <c:pt idx="2">
                  <c:v>0.23529411764705882</c:v>
                </c:pt>
                <c:pt idx="3">
                  <c:v>0.25</c:v>
                </c:pt>
                <c:pt idx="4">
                  <c:v>0.3529411764705882</c:v>
                </c:pt>
                <c:pt idx="5">
                  <c:v>0.44117647058823528</c:v>
                </c:pt>
                <c:pt idx="6">
                  <c:v>0.5</c:v>
                </c:pt>
                <c:pt idx="7">
                  <c:v>0.63235294117647056</c:v>
                </c:pt>
                <c:pt idx="8">
                  <c:v>0.77941176470588236</c:v>
                </c:pt>
                <c:pt idx="9">
                  <c:v>0.82352941176470584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19-4B9C-8DE0-FD0D7A5D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20176"/>
        <c:axId val="195390848"/>
      </c:scatterChart>
      <c:valAx>
        <c:axId val="4150201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0848"/>
        <c:crosses val="autoZero"/>
        <c:crossBetween val="midCat"/>
      </c:valAx>
      <c:valAx>
        <c:axId val="1953908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20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CARANGOLA!$J$1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CARANGOLA!$J$2:$J$12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C9-40F1-9DC1-2548F77EA9BF}"/>
            </c:ext>
          </c:extLst>
        </c:ser>
        <c:ser>
          <c:idx val="1"/>
          <c:order val="1"/>
          <c:tx>
            <c:strRef>
              <c:f>CARANGOLA!$N$1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CARANGOLA!$N$2:$N$12</c:f>
              <c:numCache>
                <c:formatCode>0.00</c:formatCode>
                <c:ptCount val="11"/>
                <c:pt idx="0">
                  <c:v>1.1363636363636364E-2</c:v>
                </c:pt>
                <c:pt idx="1">
                  <c:v>3.9772727272727272E-2</c:v>
                </c:pt>
                <c:pt idx="2">
                  <c:v>9.6590909090909088E-2</c:v>
                </c:pt>
                <c:pt idx="3">
                  <c:v>0.13636363636363635</c:v>
                </c:pt>
                <c:pt idx="4">
                  <c:v>0.18181818181818182</c:v>
                </c:pt>
                <c:pt idx="5">
                  <c:v>0.24431818181818182</c:v>
                </c:pt>
                <c:pt idx="6">
                  <c:v>0.29545454545454547</c:v>
                </c:pt>
                <c:pt idx="7">
                  <c:v>0.375</c:v>
                </c:pt>
                <c:pt idx="8">
                  <c:v>0.54545454545454541</c:v>
                </c:pt>
                <c:pt idx="9">
                  <c:v>0.80113636363636354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C9-40F1-9DC1-2548F77EA9BF}"/>
            </c:ext>
          </c:extLst>
        </c:ser>
        <c:ser>
          <c:idx val="2"/>
          <c:order val="2"/>
          <c:tx>
            <c:strRef>
              <c:f>CARANGOLA!$O$1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CARANGOLA!$O$2:$O$12</c:f>
              <c:numCache>
                <c:formatCode>0.00</c:formatCode>
                <c:ptCount val="11"/>
                <c:pt idx="0">
                  <c:v>2.7027027027027029E-2</c:v>
                </c:pt>
                <c:pt idx="1">
                  <c:v>4.5045045045045043E-2</c:v>
                </c:pt>
                <c:pt idx="2">
                  <c:v>0.1081081081081081</c:v>
                </c:pt>
                <c:pt idx="3">
                  <c:v>0.13513513513513514</c:v>
                </c:pt>
                <c:pt idx="4">
                  <c:v>0.1891891891891892</c:v>
                </c:pt>
                <c:pt idx="5">
                  <c:v>0.26126126126126126</c:v>
                </c:pt>
                <c:pt idx="6">
                  <c:v>0.29729729729729731</c:v>
                </c:pt>
                <c:pt idx="7">
                  <c:v>0.34234234234234234</c:v>
                </c:pt>
                <c:pt idx="8">
                  <c:v>0.46846846846846846</c:v>
                </c:pt>
                <c:pt idx="9">
                  <c:v>0.77477477477477474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C9-40F1-9DC1-2548F77EA9BF}"/>
            </c:ext>
          </c:extLst>
        </c:ser>
        <c:ser>
          <c:idx val="3"/>
          <c:order val="3"/>
          <c:tx>
            <c:strRef>
              <c:f>CARANGOLA!$P$1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CARANGOLA!$P$2:$P$12</c:f>
              <c:numCache>
                <c:formatCode>0.00</c:formatCode>
                <c:ptCount val="11"/>
                <c:pt idx="0">
                  <c:v>2.0408163265306121E-2</c:v>
                </c:pt>
                <c:pt idx="1">
                  <c:v>6.1224489795918366E-2</c:v>
                </c:pt>
                <c:pt idx="2">
                  <c:v>8.1632653061224483E-2</c:v>
                </c:pt>
                <c:pt idx="3">
                  <c:v>0.12244897959183673</c:v>
                </c:pt>
                <c:pt idx="4">
                  <c:v>0.14285714285714285</c:v>
                </c:pt>
                <c:pt idx="5">
                  <c:v>0.22448979591836732</c:v>
                </c:pt>
                <c:pt idx="6">
                  <c:v>0.32653061224489793</c:v>
                </c:pt>
                <c:pt idx="7">
                  <c:v>0.46938775510204078</c:v>
                </c:pt>
                <c:pt idx="8">
                  <c:v>0.53061224489795911</c:v>
                </c:pt>
                <c:pt idx="9">
                  <c:v>0.79591836734693877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C9-40F1-9DC1-2548F77EA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84640"/>
        <c:axId val="1918573120"/>
      </c:scatterChart>
      <c:valAx>
        <c:axId val="1918584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573120"/>
        <c:crosses val="autoZero"/>
        <c:crossBetween val="midCat"/>
      </c:valAx>
      <c:valAx>
        <c:axId val="1918573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58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'JUIZ DE FORA'!$J$1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FORA'!$J$2:$J$13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2-4FFC-9102-E9F1AA2A571B}"/>
            </c:ext>
          </c:extLst>
        </c:ser>
        <c:ser>
          <c:idx val="1"/>
          <c:order val="1"/>
          <c:tx>
            <c:strRef>
              <c:f>'JUIZ DE FORA'!$K$1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FORA'!$K$2:$K$13</c:f>
              <c:numCache>
                <c:formatCode>0.00</c:formatCode>
                <c:ptCount val="12"/>
                <c:pt idx="0">
                  <c:v>1.020408163265306E-2</c:v>
                </c:pt>
                <c:pt idx="1">
                  <c:v>1.8950437317784258E-2</c:v>
                </c:pt>
                <c:pt idx="2">
                  <c:v>2.7696793002915453E-2</c:v>
                </c:pt>
                <c:pt idx="3">
                  <c:v>4.0816326530612249E-2</c:v>
                </c:pt>
                <c:pt idx="4">
                  <c:v>4.8104956268221574E-2</c:v>
                </c:pt>
                <c:pt idx="5">
                  <c:v>5.6851311953352773E-2</c:v>
                </c:pt>
                <c:pt idx="6">
                  <c:v>6.1224489795918373E-2</c:v>
                </c:pt>
                <c:pt idx="7">
                  <c:v>6.4139941690962099E-2</c:v>
                </c:pt>
                <c:pt idx="8">
                  <c:v>7.1428571428571425E-2</c:v>
                </c:pt>
                <c:pt idx="9">
                  <c:v>9.4752186588921275E-2</c:v>
                </c:pt>
                <c:pt idx="10">
                  <c:v>0.11661807580174927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02-4FFC-9102-E9F1AA2A571B}"/>
            </c:ext>
          </c:extLst>
        </c:ser>
        <c:ser>
          <c:idx val="2"/>
          <c:order val="2"/>
          <c:tx>
            <c:strRef>
              <c:f>'JUIZ DE FORA'!$L$1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FORA'!$L$2:$L$13</c:f>
              <c:numCache>
                <c:formatCode>0.00</c:formatCode>
                <c:ptCount val="12"/>
                <c:pt idx="0">
                  <c:v>3.246753246753247E-3</c:v>
                </c:pt>
                <c:pt idx="1">
                  <c:v>9.74025974025974E-3</c:v>
                </c:pt>
                <c:pt idx="2">
                  <c:v>1.2987012987012988E-2</c:v>
                </c:pt>
                <c:pt idx="3">
                  <c:v>2.5974025974025976E-2</c:v>
                </c:pt>
                <c:pt idx="4">
                  <c:v>2.5974025974025976E-2</c:v>
                </c:pt>
                <c:pt idx="5">
                  <c:v>2.5974025974025976E-2</c:v>
                </c:pt>
                <c:pt idx="6">
                  <c:v>3.5714285714285712E-2</c:v>
                </c:pt>
                <c:pt idx="7">
                  <c:v>3.896103896103896E-2</c:v>
                </c:pt>
                <c:pt idx="8">
                  <c:v>4.2207792207792208E-2</c:v>
                </c:pt>
                <c:pt idx="9">
                  <c:v>6.1688311688311688E-2</c:v>
                </c:pt>
                <c:pt idx="10">
                  <c:v>8.1168831168831168E-2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02-4FFC-9102-E9F1AA2A571B}"/>
            </c:ext>
          </c:extLst>
        </c:ser>
        <c:ser>
          <c:idx val="3"/>
          <c:order val="3"/>
          <c:tx>
            <c:strRef>
              <c:f>'JUIZ DE FORA'!$M$1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FORA'!$M$2:$M$13</c:f>
              <c:numCache>
                <c:formatCode>0.00</c:formatCode>
                <c:ptCount val="12"/>
                <c:pt idx="0">
                  <c:v>7.4074074074074077E-3</c:v>
                </c:pt>
                <c:pt idx="1">
                  <c:v>9.876543209876543E-3</c:v>
                </c:pt>
                <c:pt idx="2">
                  <c:v>9.876543209876543E-3</c:v>
                </c:pt>
                <c:pt idx="3">
                  <c:v>9.876543209876543E-3</c:v>
                </c:pt>
                <c:pt idx="4">
                  <c:v>1.9753086419753086E-2</c:v>
                </c:pt>
                <c:pt idx="5">
                  <c:v>2.7160493827160494E-2</c:v>
                </c:pt>
                <c:pt idx="6">
                  <c:v>2.9629629629629631E-2</c:v>
                </c:pt>
                <c:pt idx="7">
                  <c:v>3.2098765432098768E-2</c:v>
                </c:pt>
                <c:pt idx="8">
                  <c:v>3.2098765432098768E-2</c:v>
                </c:pt>
                <c:pt idx="9">
                  <c:v>6.6666666666666666E-2</c:v>
                </c:pt>
                <c:pt idx="10">
                  <c:v>7.6543209876543214E-2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02-4FFC-9102-E9F1AA2A5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45456"/>
        <c:axId val="309836336"/>
      </c:scatterChart>
      <c:valAx>
        <c:axId val="309845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6336"/>
        <c:crosses val="autoZero"/>
        <c:crossBetween val="midCat"/>
      </c:valAx>
      <c:valAx>
        <c:axId val="309836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'JUIZ DE FORA'!$J$1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FORA'!$J$2:$J$13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39-4CB5-B475-0D03580F950E}"/>
            </c:ext>
          </c:extLst>
        </c:ser>
        <c:ser>
          <c:idx val="1"/>
          <c:order val="1"/>
          <c:tx>
            <c:strRef>
              <c:f>'JUIZ DE FORA'!$N$1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FORA'!$N$2:$N$13</c:f>
              <c:numCache>
                <c:formatCode>0.00</c:formatCode>
                <c:ptCount val="12"/>
                <c:pt idx="0">
                  <c:v>3.4602076124567475E-3</c:v>
                </c:pt>
                <c:pt idx="1">
                  <c:v>6.920415224913495E-3</c:v>
                </c:pt>
                <c:pt idx="2">
                  <c:v>1.384083044982699E-2</c:v>
                </c:pt>
                <c:pt idx="3">
                  <c:v>1.5570934256055364E-2</c:v>
                </c:pt>
                <c:pt idx="4">
                  <c:v>3.1141868512110725E-2</c:v>
                </c:pt>
                <c:pt idx="5">
                  <c:v>4.6712802768166084E-2</c:v>
                </c:pt>
                <c:pt idx="6">
                  <c:v>5.3633217993079581E-2</c:v>
                </c:pt>
                <c:pt idx="7">
                  <c:v>5.8823529411764705E-2</c:v>
                </c:pt>
                <c:pt idx="8">
                  <c:v>6.4013840830449822E-2</c:v>
                </c:pt>
                <c:pt idx="9">
                  <c:v>7.6124567474048443E-2</c:v>
                </c:pt>
                <c:pt idx="10">
                  <c:v>9.1695501730103809E-2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39-4CB5-B475-0D03580F950E}"/>
            </c:ext>
          </c:extLst>
        </c:ser>
        <c:ser>
          <c:idx val="2"/>
          <c:order val="2"/>
          <c:tx>
            <c:strRef>
              <c:f>'JUIZ DE FORA'!$O$1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FORA'!$O$2:$O$13</c:f>
              <c:numCache>
                <c:formatCode>0.00</c:formatCode>
                <c:ptCount val="12"/>
                <c:pt idx="0">
                  <c:v>3.90625E-3</c:v>
                </c:pt>
                <c:pt idx="1">
                  <c:v>5.859375E-3</c:v>
                </c:pt>
                <c:pt idx="2">
                  <c:v>9.765625E-3</c:v>
                </c:pt>
                <c:pt idx="3">
                  <c:v>1.171875E-2</c:v>
                </c:pt>
                <c:pt idx="4">
                  <c:v>2.5390625E-2</c:v>
                </c:pt>
                <c:pt idx="5">
                  <c:v>2.9296875E-2</c:v>
                </c:pt>
                <c:pt idx="6">
                  <c:v>3.7109375E-2</c:v>
                </c:pt>
                <c:pt idx="7">
                  <c:v>3.90625E-2</c:v>
                </c:pt>
                <c:pt idx="8">
                  <c:v>3.90625E-2</c:v>
                </c:pt>
                <c:pt idx="9">
                  <c:v>5.2734375E-2</c:v>
                </c:pt>
                <c:pt idx="10">
                  <c:v>8.984375E-2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39-4CB5-B475-0D03580F950E}"/>
            </c:ext>
          </c:extLst>
        </c:ser>
        <c:ser>
          <c:idx val="3"/>
          <c:order val="3"/>
          <c:tx>
            <c:strRef>
              <c:f>'JUIZ DE FORA'!$P$1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FORA'!$P$2:$P$13</c:f>
              <c:numCache>
                <c:formatCode>0.00</c:formatCode>
                <c:ptCount val="12"/>
                <c:pt idx="0">
                  <c:v>7.874015748031496E-3</c:v>
                </c:pt>
                <c:pt idx="1">
                  <c:v>7.874015748031496E-3</c:v>
                </c:pt>
                <c:pt idx="2">
                  <c:v>1.0498687664041995E-2</c:v>
                </c:pt>
                <c:pt idx="3">
                  <c:v>1.0498687664041995E-2</c:v>
                </c:pt>
                <c:pt idx="4">
                  <c:v>1.5748031496062992E-2</c:v>
                </c:pt>
                <c:pt idx="5">
                  <c:v>1.8372703412073491E-2</c:v>
                </c:pt>
                <c:pt idx="6">
                  <c:v>2.0997375328083989E-2</c:v>
                </c:pt>
                <c:pt idx="7">
                  <c:v>2.6246719160104987E-2</c:v>
                </c:pt>
                <c:pt idx="8">
                  <c:v>3.1496062992125984E-2</c:v>
                </c:pt>
                <c:pt idx="9">
                  <c:v>4.1994750656167978E-2</c:v>
                </c:pt>
                <c:pt idx="10">
                  <c:v>5.5118110236220472E-2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39-4CB5-B475-0D03580F9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680512"/>
        <c:axId val="355686752"/>
      </c:scatterChart>
      <c:valAx>
        <c:axId val="3556805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5686752"/>
        <c:crosses val="autoZero"/>
        <c:crossBetween val="midCat"/>
      </c:valAx>
      <c:valAx>
        <c:axId val="355686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568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'LEOPOLDINA-CATAGUASES'!$J$1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'LEOPOLDINA-CATAGUASES'!$J$2:$J$11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6A-485E-B6E8-3014B9C4ADCC}"/>
            </c:ext>
          </c:extLst>
        </c:ser>
        <c:ser>
          <c:idx val="1"/>
          <c:order val="1"/>
          <c:tx>
            <c:strRef>
              <c:f>'LEOPOLDINA-CATAGUASES'!$K$1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'LEOPOLDINA-CATAGUASES'!$K$2:$K$11</c:f>
              <c:numCache>
                <c:formatCode>0.00</c:formatCode>
                <c:ptCount val="10"/>
                <c:pt idx="0">
                  <c:v>4.878048780487805E-2</c:v>
                </c:pt>
                <c:pt idx="1">
                  <c:v>9.7560975609756101E-2</c:v>
                </c:pt>
                <c:pt idx="2">
                  <c:v>0.17073170731707316</c:v>
                </c:pt>
                <c:pt idx="3">
                  <c:v>0.2113821138211382</c:v>
                </c:pt>
                <c:pt idx="4">
                  <c:v>0.24390243902439024</c:v>
                </c:pt>
                <c:pt idx="5">
                  <c:v>0.27642276422764228</c:v>
                </c:pt>
                <c:pt idx="6">
                  <c:v>0.34959349593495936</c:v>
                </c:pt>
                <c:pt idx="7">
                  <c:v>0.3902439024390244</c:v>
                </c:pt>
                <c:pt idx="8">
                  <c:v>0.64227642276422769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6A-485E-B6E8-3014B9C4ADCC}"/>
            </c:ext>
          </c:extLst>
        </c:ser>
        <c:ser>
          <c:idx val="2"/>
          <c:order val="2"/>
          <c:tx>
            <c:strRef>
              <c:f>'LEOPOLDINA-CATAGUASES'!$L$1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'LEOPOLDINA-CATAGUASES'!$L$2:$L$11</c:f>
              <c:numCache>
                <c:formatCode>0.00</c:formatCode>
                <c:ptCount val="10"/>
                <c:pt idx="0">
                  <c:v>0</c:v>
                </c:pt>
                <c:pt idx="1">
                  <c:v>1.4084507042253521E-2</c:v>
                </c:pt>
                <c:pt idx="2">
                  <c:v>4.2253521126760563E-2</c:v>
                </c:pt>
                <c:pt idx="3">
                  <c:v>0.12676056338028169</c:v>
                </c:pt>
                <c:pt idx="4">
                  <c:v>0.19718309859154931</c:v>
                </c:pt>
                <c:pt idx="5">
                  <c:v>0.21126760563380284</c:v>
                </c:pt>
                <c:pt idx="6">
                  <c:v>0.36619718309859156</c:v>
                </c:pt>
                <c:pt idx="7">
                  <c:v>0.46478873239436619</c:v>
                </c:pt>
                <c:pt idx="8">
                  <c:v>0.647887323943662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6A-485E-B6E8-3014B9C4ADCC}"/>
            </c:ext>
          </c:extLst>
        </c:ser>
        <c:ser>
          <c:idx val="3"/>
          <c:order val="3"/>
          <c:tx>
            <c:strRef>
              <c:f>'LEOPOLDINA-CATAGUASES'!$M$1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'LEOPOLDINA-CATAGUASES'!$M$2:$M$11</c:f>
              <c:numCache>
                <c:formatCode>0.00</c:formatCode>
                <c:ptCount val="10"/>
                <c:pt idx="0">
                  <c:v>1.3333333333333334E-2</c:v>
                </c:pt>
                <c:pt idx="1">
                  <c:v>2.6666666666666668E-2</c:v>
                </c:pt>
                <c:pt idx="2">
                  <c:v>0.08</c:v>
                </c:pt>
                <c:pt idx="3">
                  <c:v>0.14666666666666667</c:v>
                </c:pt>
                <c:pt idx="4">
                  <c:v>0.18666666666666668</c:v>
                </c:pt>
                <c:pt idx="5">
                  <c:v>0.2</c:v>
                </c:pt>
                <c:pt idx="6">
                  <c:v>0.29333333333333333</c:v>
                </c:pt>
                <c:pt idx="7">
                  <c:v>0.38666666666666666</c:v>
                </c:pt>
                <c:pt idx="8">
                  <c:v>0.62666666666666671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6A-485E-B6E8-3014B9C4A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64464"/>
        <c:axId val="388362544"/>
      </c:scatterChart>
      <c:valAx>
        <c:axId val="388364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2544"/>
        <c:crosses val="autoZero"/>
        <c:crossBetween val="midCat"/>
      </c:valAx>
      <c:valAx>
        <c:axId val="388362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'LEOPOLDINA-CATAGUASES'!$J$1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'LEOPOLDINA-CATAGUASES'!$J$2:$J$11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6C-40EF-9C30-EB3BAC62923C}"/>
            </c:ext>
          </c:extLst>
        </c:ser>
        <c:ser>
          <c:idx val="1"/>
          <c:order val="1"/>
          <c:tx>
            <c:strRef>
              <c:f>'LEOPOLDINA-CATAGUASES'!$N$1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'LEOPOLDINA-CATAGUASES'!$N$2:$N$11</c:f>
              <c:numCache>
                <c:formatCode>0.00</c:formatCode>
                <c:ptCount val="10"/>
                <c:pt idx="0">
                  <c:v>7.6923076923076927E-3</c:v>
                </c:pt>
                <c:pt idx="1">
                  <c:v>7.6923076923076927E-2</c:v>
                </c:pt>
                <c:pt idx="2">
                  <c:v>0.1</c:v>
                </c:pt>
                <c:pt idx="3">
                  <c:v>0.16153846153846155</c:v>
                </c:pt>
                <c:pt idx="4">
                  <c:v>0.17692307692307693</c:v>
                </c:pt>
                <c:pt idx="5">
                  <c:v>0.23846153846153847</c:v>
                </c:pt>
                <c:pt idx="6">
                  <c:v>0.32307692307692309</c:v>
                </c:pt>
                <c:pt idx="7">
                  <c:v>0.38461538461538464</c:v>
                </c:pt>
                <c:pt idx="8">
                  <c:v>0.5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6C-40EF-9C30-EB3BAC62923C}"/>
            </c:ext>
          </c:extLst>
        </c:ser>
        <c:ser>
          <c:idx val="2"/>
          <c:order val="2"/>
          <c:tx>
            <c:strRef>
              <c:f>'LEOPOLDINA-CATAGUASES'!$O$1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'LEOPOLDINA-CATAGUASES'!$O$2:$O$11</c:f>
              <c:numCache>
                <c:formatCode>0.00</c:formatCode>
                <c:ptCount val="10"/>
                <c:pt idx="0">
                  <c:v>1.2500000000000001E-2</c:v>
                </c:pt>
                <c:pt idx="1">
                  <c:v>0.05</c:v>
                </c:pt>
                <c:pt idx="2">
                  <c:v>8.7499999999999994E-2</c:v>
                </c:pt>
                <c:pt idx="3">
                  <c:v>0.125</c:v>
                </c:pt>
                <c:pt idx="4">
                  <c:v>0.17499999999999999</c:v>
                </c:pt>
                <c:pt idx="5">
                  <c:v>0.25</c:v>
                </c:pt>
                <c:pt idx="6">
                  <c:v>0.41249999999999998</c:v>
                </c:pt>
                <c:pt idx="7">
                  <c:v>0.5625</c:v>
                </c:pt>
                <c:pt idx="8">
                  <c:v>0.6875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6C-40EF-9C30-EB3BAC62923C}"/>
            </c:ext>
          </c:extLst>
        </c:ser>
        <c:ser>
          <c:idx val="3"/>
          <c:order val="3"/>
          <c:tx>
            <c:strRef>
              <c:f>'LEOPOLDINA-CATAGUASES'!$P$1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'LEOPOLDINA-CATAGUASES'!$P$2:$P$11</c:f>
              <c:numCache>
                <c:formatCode>0.00</c:formatCode>
                <c:ptCount val="10"/>
                <c:pt idx="0">
                  <c:v>2.7027027027027029E-2</c:v>
                </c:pt>
                <c:pt idx="1">
                  <c:v>2.7027027027027029E-2</c:v>
                </c:pt>
                <c:pt idx="2">
                  <c:v>5.4054054054054057E-2</c:v>
                </c:pt>
                <c:pt idx="3">
                  <c:v>0.13513513513513514</c:v>
                </c:pt>
                <c:pt idx="4">
                  <c:v>0.13513513513513514</c:v>
                </c:pt>
                <c:pt idx="5">
                  <c:v>0.1891891891891892</c:v>
                </c:pt>
                <c:pt idx="6">
                  <c:v>0.35135135135135137</c:v>
                </c:pt>
                <c:pt idx="7">
                  <c:v>0.35135135135135137</c:v>
                </c:pt>
                <c:pt idx="8">
                  <c:v>0.62162162162162171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6C-40EF-9C30-EB3BAC629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73104"/>
        <c:axId val="388373584"/>
      </c:scatterChart>
      <c:valAx>
        <c:axId val="388373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3584"/>
        <c:crosses val="autoZero"/>
        <c:crossBetween val="midCat"/>
      </c:valAx>
      <c:valAx>
        <c:axId val="388373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'LIMA DUARTE'!$J$1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DUARTE'!$J$2:$J$15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50-4319-8445-447C8B650464}"/>
            </c:ext>
          </c:extLst>
        </c:ser>
        <c:ser>
          <c:idx val="1"/>
          <c:order val="1"/>
          <c:tx>
            <c:strRef>
              <c:f>'LIMA DUARTE'!$K$1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DUARTE'!$K$2:$K$15</c:f>
              <c:numCache>
                <c:formatCode>0.00</c:formatCode>
                <c:ptCount val="14"/>
                <c:pt idx="0">
                  <c:v>1.4492753623188406E-2</c:v>
                </c:pt>
                <c:pt idx="1">
                  <c:v>4.3478260869565216E-2</c:v>
                </c:pt>
                <c:pt idx="2">
                  <c:v>4.3478260869565216E-2</c:v>
                </c:pt>
                <c:pt idx="3">
                  <c:v>4.3478260869565216E-2</c:v>
                </c:pt>
                <c:pt idx="4">
                  <c:v>8.6956521739130432E-2</c:v>
                </c:pt>
                <c:pt idx="5">
                  <c:v>0.3188405797101449</c:v>
                </c:pt>
                <c:pt idx="6">
                  <c:v>0.36231884057971009</c:v>
                </c:pt>
                <c:pt idx="7">
                  <c:v>0.3768115942028985</c:v>
                </c:pt>
                <c:pt idx="8">
                  <c:v>0.43478260869565211</c:v>
                </c:pt>
                <c:pt idx="9">
                  <c:v>0.47826086956521729</c:v>
                </c:pt>
                <c:pt idx="10">
                  <c:v>0.52173913043478248</c:v>
                </c:pt>
                <c:pt idx="11">
                  <c:v>0.56521739130434767</c:v>
                </c:pt>
                <c:pt idx="12">
                  <c:v>0.62318840579710133</c:v>
                </c:pt>
                <c:pt idx="13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50-4319-8445-447C8B650464}"/>
            </c:ext>
          </c:extLst>
        </c:ser>
        <c:ser>
          <c:idx val="2"/>
          <c:order val="2"/>
          <c:tx>
            <c:strRef>
              <c:f>'LIMA DUARTE'!$L$1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DUARTE'!$L$2:$L$15</c:f>
              <c:numCache>
                <c:formatCode>0.00</c:formatCode>
                <c:ptCount val="14"/>
                <c:pt idx="0">
                  <c:v>0</c:v>
                </c:pt>
                <c:pt idx="1">
                  <c:v>5.5555555555555552E-2</c:v>
                </c:pt>
                <c:pt idx="2">
                  <c:v>5.5555555555555552E-2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0.3611111111111111</c:v>
                </c:pt>
                <c:pt idx="6">
                  <c:v>0.3888888888888889</c:v>
                </c:pt>
                <c:pt idx="7">
                  <c:v>0.3888888888888889</c:v>
                </c:pt>
                <c:pt idx="8">
                  <c:v>0.47222222222222221</c:v>
                </c:pt>
                <c:pt idx="9">
                  <c:v>0.52777777777777779</c:v>
                </c:pt>
                <c:pt idx="10">
                  <c:v>0.61111111111111116</c:v>
                </c:pt>
                <c:pt idx="11">
                  <c:v>0.77777777777777779</c:v>
                </c:pt>
                <c:pt idx="12">
                  <c:v>0.83333333333333337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50-4319-8445-447C8B650464}"/>
            </c:ext>
          </c:extLst>
        </c:ser>
        <c:ser>
          <c:idx val="3"/>
          <c:order val="3"/>
          <c:tx>
            <c:strRef>
              <c:f>'LIMA DUARTE'!$M$1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DUARTE'!$M$2:$M$15</c:f>
              <c:numCache>
                <c:formatCode>0.00</c:formatCode>
                <c:ptCount val="14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9.375E-2</c:v>
                </c:pt>
                <c:pt idx="4">
                  <c:v>0.15625</c:v>
                </c:pt>
                <c:pt idx="5">
                  <c:v>0.40625</c:v>
                </c:pt>
                <c:pt idx="6">
                  <c:v>0.40625</c:v>
                </c:pt>
                <c:pt idx="7">
                  <c:v>0.46875</c:v>
                </c:pt>
                <c:pt idx="8">
                  <c:v>0.59375</c:v>
                </c:pt>
                <c:pt idx="9">
                  <c:v>0.65625</c:v>
                </c:pt>
                <c:pt idx="10">
                  <c:v>0.6875</c:v>
                </c:pt>
                <c:pt idx="11">
                  <c:v>0.71875</c:v>
                </c:pt>
                <c:pt idx="12">
                  <c:v>0.75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50-4319-8445-447C8B650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61104"/>
        <c:axId val="366061584"/>
      </c:scatterChart>
      <c:valAx>
        <c:axId val="366061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1584"/>
        <c:crosses val="autoZero"/>
        <c:crossBetween val="midCat"/>
      </c:valAx>
      <c:valAx>
        <c:axId val="366061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'LIMA DUARTE'!$J$1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DUARTE'!$J$2:$J$15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53-4334-903A-58367B4524C7}"/>
            </c:ext>
          </c:extLst>
        </c:ser>
        <c:ser>
          <c:idx val="1"/>
          <c:order val="1"/>
          <c:tx>
            <c:strRef>
              <c:f>'LIMA DUARTE'!$N$1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DUARTE'!$N$2:$N$15</c:f>
              <c:numCache>
                <c:formatCode>0.00</c:formatCode>
                <c:ptCount val="14"/>
                <c:pt idx="0">
                  <c:v>0.03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0.15000000000000002</c:v>
                </c:pt>
                <c:pt idx="5">
                  <c:v>0.44</c:v>
                </c:pt>
                <c:pt idx="6">
                  <c:v>0.45</c:v>
                </c:pt>
                <c:pt idx="7">
                  <c:v>0.48</c:v>
                </c:pt>
                <c:pt idx="8">
                  <c:v>0.54</c:v>
                </c:pt>
                <c:pt idx="9">
                  <c:v>0.57000000000000006</c:v>
                </c:pt>
                <c:pt idx="10">
                  <c:v>0.60000000000000009</c:v>
                </c:pt>
                <c:pt idx="11">
                  <c:v>0.66000000000000014</c:v>
                </c:pt>
                <c:pt idx="12">
                  <c:v>0.7200000000000002</c:v>
                </c:pt>
                <c:pt idx="13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53-4334-903A-58367B4524C7}"/>
            </c:ext>
          </c:extLst>
        </c:ser>
        <c:ser>
          <c:idx val="2"/>
          <c:order val="2"/>
          <c:tx>
            <c:strRef>
              <c:f>'LIMA DUARTE'!$O$1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DUARTE'!$O$2:$O$15</c:f>
              <c:numCache>
                <c:formatCode>0.00</c:formatCode>
                <c:ptCount val="14"/>
                <c:pt idx="0">
                  <c:v>0</c:v>
                </c:pt>
                <c:pt idx="1">
                  <c:v>2.2222222222222223E-2</c:v>
                </c:pt>
                <c:pt idx="2">
                  <c:v>7.7777777777777779E-2</c:v>
                </c:pt>
                <c:pt idx="3">
                  <c:v>0.1</c:v>
                </c:pt>
                <c:pt idx="4">
                  <c:v>0.11111111111111112</c:v>
                </c:pt>
                <c:pt idx="5">
                  <c:v>0.28888888888888892</c:v>
                </c:pt>
                <c:pt idx="6">
                  <c:v>0.31111111111111112</c:v>
                </c:pt>
                <c:pt idx="7">
                  <c:v>0.32222222222222224</c:v>
                </c:pt>
                <c:pt idx="8">
                  <c:v>0.35555555555555557</c:v>
                </c:pt>
                <c:pt idx="9">
                  <c:v>0.37777777777777777</c:v>
                </c:pt>
                <c:pt idx="10">
                  <c:v>0.3888888888888889</c:v>
                </c:pt>
                <c:pt idx="11">
                  <c:v>0.41111111111111109</c:v>
                </c:pt>
                <c:pt idx="12">
                  <c:v>0.51111111111111107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53-4334-903A-58367B4524C7}"/>
            </c:ext>
          </c:extLst>
        </c:ser>
        <c:ser>
          <c:idx val="3"/>
          <c:order val="3"/>
          <c:tx>
            <c:strRef>
              <c:f>'LIMA DUARTE'!$P$1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DUARTE'!$P$2:$P$15</c:f>
              <c:numCache>
                <c:formatCode>0.00</c:formatCode>
                <c:ptCount val="14"/>
                <c:pt idx="0">
                  <c:v>6.3829787234042548E-2</c:v>
                </c:pt>
                <c:pt idx="1">
                  <c:v>0.10638297872340424</c:v>
                </c:pt>
                <c:pt idx="2">
                  <c:v>0.14893617021276595</c:v>
                </c:pt>
                <c:pt idx="3">
                  <c:v>0.19148936170212766</c:v>
                </c:pt>
                <c:pt idx="4">
                  <c:v>0.19148936170212766</c:v>
                </c:pt>
                <c:pt idx="5">
                  <c:v>0.55319148936170215</c:v>
                </c:pt>
                <c:pt idx="6">
                  <c:v>0.57446808510638303</c:v>
                </c:pt>
                <c:pt idx="7">
                  <c:v>0.63829787234042556</c:v>
                </c:pt>
                <c:pt idx="8">
                  <c:v>0.7021276595744681</c:v>
                </c:pt>
                <c:pt idx="9">
                  <c:v>0.72340425531914898</c:v>
                </c:pt>
                <c:pt idx="10">
                  <c:v>0.72340425531914898</c:v>
                </c:pt>
                <c:pt idx="11">
                  <c:v>0.82978723404255328</c:v>
                </c:pt>
                <c:pt idx="12">
                  <c:v>0.82978723404255328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53-4334-903A-58367B452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47376"/>
        <c:axId val="600956496"/>
      </c:scatterChart>
      <c:valAx>
        <c:axId val="6009473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956496"/>
        <c:crosses val="autoZero"/>
        <c:crossBetween val="midCat"/>
      </c:valAx>
      <c:valAx>
        <c:axId val="600956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94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MURIAÉ!$J$1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MURIAÉ!$J$2:$J$12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E5-4817-AC2F-66135E08EB55}"/>
            </c:ext>
          </c:extLst>
        </c:ser>
        <c:ser>
          <c:idx val="1"/>
          <c:order val="1"/>
          <c:tx>
            <c:strRef>
              <c:f>MURIAÉ!$K$1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MURIAÉ!$K$2:$K$12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6.0810810810810814E-2</c:v>
                </c:pt>
                <c:pt idx="4">
                  <c:v>7.4324324324324328E-2</c:v>
                </c:pt>
                <c:pt idx="5">
                  <c:v>8.7837837837837843E-2</c:v>
                </c:pt>
                <c:pt idx="6">
                  <c:v>9.45945945945946E-2</c:v>
                </c:pt>
                <c:pt idx="7">
                  <c:v>0.13513513513513514</c:v>
                </c:pt>
                <c:pt idx="8">
                  <c:v>0.1891891891891892</c:v>
                </c:pt>
                <c:pt idx="9">
                  <c:v>0.24324324324324326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E5-4817-AC2F-66135E08EB55}"/>
            </c:ext>
          </c:extLst>
        </c:ser>
        <c:ser>
          <c:idx val="2"/>
          <c:order val="2"/>
          <c:tx>
            <c:strRef>
              <c:f>MURIAÉ!$L$1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MURIAÉ!$L$2:$L$12</c:f>
              <c:numCache>
                <c:formatCode>0.00</c:formatCode>
                <c:ptCount val="11"/>
                <c:pt idx="0">
                  <c:v>1.0101010101010102E-2</c:v>
                </c:pt>
                <c:pt idx="1">
                  <c:v>2.0202020202020204E-2</c:v>
                </c:pt>
                <c:pt idx="2">
                  <c:v>4.0404040404040407E-2</c:v>
                </c:pt>
                <c:pt idx="3">
                  <c:v>0.1111111111111111</c:v>
                </c:pt>
                <c:pt idx="4">
                  <c:v>0.1212121212121212</c:v>
                </c:pt>
                <c:pt idx="5">
                  <c:v>0.14141414141414141</c:v>
                </c:pt>
                <c:pt idx="6">
                  <c:v>0.1616161616161616</c:v>
                </c:pt>
                <c:pt idx="7">
                  <c:v>0.1818181818181818</c:v>
                </c:pt>
                <c:pt idx="8">
                  <c:v>0.2424242424242424</c:v>
                </c:pt>
                <c:pt idx="9">
                  <c:v>0.28282828282828282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E5-4817-AC2F-66135E08EB55}"/>
            </c:ext>
          </c:extLst>
        </c:ser>
        <c:ser>
          <c:idx val="3"/>
          <c:order val="3"/>
          <c:tx>
            <c:strRef>
              <c:f>MURIAÉ!$M$1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MURIAÉ!$M$2:$M$12</c:f>
              <c:numCache>
                <c:formatCode>0.00</c:formatCode>
                <c:ptCount val="11"/>
                <c:pt idx="0">
                  <c:v>0</c:v>
                </c:pt>
                <c:pt idx="1">
                  <c:v>1.6129032258064516E-2</c:v>
                </c:pt>
                <c:pt idx="2">
                  <c:v>5.6451612903225805E-2</c:v>
                </c:pt>
                <c:pt idx="3">
                  <c:v>6.4516129032258063E-2</c:v>
                </c:pt>
                <c:pt idx="4">
                  <c:v>8.8709677419354843E-2</c:v>
                </c:pt>
                <c:pt idx="5">
                  <c:v>0.13709677419354838</c:v>
                </c:pt>
                <c:pt idx="6">
                  <c:v>0.20161290322580644</c:v>
                </c:pt>
                <c:pt idx="7">
                  <c:v>0.23387096774193547</c:v>
                </c:pt>
                <c:pt idx="8">
                  <c:v>0.282258064516129</c:v>
                </c:pt>
                <c:pt idx="9">
                  <c:v>0.30645161290322576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E5-4817-AC2F-66135E08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72144"/>
        <c:axId val="388366384"/>
      </c:scatterChart>
      <c:valAx>
        <c:axId val="3883721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6384"/>
        <c:crosses val="autoZero"/>
        <c:crossBetween val="midCat"/>
      </c:valAx>
      <c:valAx>
        <c:axId val="3883663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2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MURIAÉ!$J$1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MURIAÉ!$J$2:$J$12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24-4CF8-9EAC-855353C92014}"/>
            </c:ext>
          </c:extLst>
        </c:ser>
        <c:ser>
          <c:idx val="1"/>
          <c:order val="1"/>
          <c:tx>
            <c:strRef>
              <c:f>MURIAÉ!$N$1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MURIAÉ!$N$2:$N$12</c:f>
              <c:numCache>
                <c:formatCode>0.00</c:formatCode>
                <c:ptCount val="11"/>
                <c:pt idx="0">
                  <c:v>5.8823529411764705E-3</c:v>
                </c:pt>
                <c:pt idx="1">
                  <c:v>2.9411764705882353E-2</c:v>
                </c:pt>
                <c:pt idx="2">
                  <c:v>5.8823529411764705E-2</c:v>
                </c:pt>
                <c:pt idx="3">
                  <c:v>0.10588235294117647</c:v>
                </c:pt>
                <c:pt idx="4">
                  <c:v>0.11764705882352941</c:v>
                </c:pt>
                <c:pt idx="5">
                  <c:v>0.1764705882352941</c:v>
                </c:pt>
                <c:pt idx="6">
                  <c:v>0.21176470588235291</c:v>
                </c:pt>
                <c:pt idx="7">
                  <c:v>0.26470588235294112</c:v>
                </c:pt>
                <c:pt idx="8">
                  <c:v>0.31764705882352934</c:v>
                </c:pt>
                <c:pt idx="9">
                  <c:v>0.38823529411764701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24-4CF8-9EAC-855353C92014}"/>
            </c:ext>
          </c:extLst>
        </c:ser>
        <c:ser>
          <c:idx val="2"/>
          <c:order val="2"/>
          <c:tx>
            <c:strRef>
              <c:f>MURIAÉ!$O$1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MURIAÉ!$O$2:$O$12</c:f>
              <c:numCache>
                <c:formatCode>0.00</c:formatCode>
                <c:ptCount val="11"/>
                <c:pt idx="0">
                  <c:v>0</c:v>
                </c:pt>
                <c:pt idx="1">
                  <c:v>2.9126213592233011E-2</c:v>
                </c:pt>
                <c:pt idx="2">
                  <c:v>6.7961165048543687E-2</c:v>
                </c:pt>
                <c:pt idx="3">
                  <c:v>0.1553398058252427</c:v>
                </c:pt>
                <c:pt idx="4">
                  <c:v>0.22330097087378639</c:v>
                </c:pt>
                <c:pt idx="5">
                  <c:v>0.23300970873786406</c:v>
                </c:pt>
                <c:pt idx="6">
                  <c:v>0.28155339805825241</c:v>
                </c:pt>
                <c:pt idx="7">
                  <c:v>0.31067961165048541</c:v>
                </c:pt>
                <c:pt idx="8">
                  <c:v>0.40776699029126212</c:v>
                </c:pt>
                <c:pt idx="9">
                  <c:v>0.4854368932038835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24-4CF8-9EAC-855353C92014}"/>
            </c:ext>
          </c:extLst>
        </c:ser>
        <c:ser>
          <c:idx val="3"/>
          <c:order val="3"/>
          <c:tx>
            <c:strRef>
              <c:f>MURIAÉ!$P$1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MURIAÉ!$P$2:$P$12</c:f>
              <c:numCache>
                <c:formatCode>0.00</c:formatCode>
                <c:ptCount val="11"/>
                <c:pt idx="0">
                  <c:v>1.9607843137254902E-2</c:v>
                </c:pt>
                <c:pt idx="1">
                  <c:v>1.9607843137254902E-2</c:v>
                </c:pt>
                <c:pt idx="2">
                  <c:v>1.9607843137254902E-2</c:v>
                </c:pt>
                <c:pt idx="3">
                  <c:v>9.8039215686274508E-2</c:v>
                </c:pt>
                <c:pt idx="4">
                  <c:v>9.8039215686274508E-2</c:v>
                </c:pt>
                <c:pt idx="5">
                  <c:v>0.13725490196078433</c:v>
                </c:pt>
                <c:pt idx="6">
                  <c:v>0.19607843137254904</c:v>
                </c:pt>
                <c:pt idx="7">
                  <c:v>0.23529411764705885</c:v>
                </c:pt>
                <c:pt idx="8">
                  <c:v>0.37254901960784315</c:v>
                </c:pt>
                <c:pt idx="9">
                  <c:v>0.45098039215686275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24-4CF8-9EAC-855353C92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19200"/>
        <c:axId val="1918610080"/>
      </c:scatterChart>
      <c:valAx>
        <c:axId val="19186192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0080"/>
        <c:crosses val="autoZero"/>
        <c:crossBetween val="midCat"/>
      </c:valAx>
      <c:valAx>
        <c:axId val="1918610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'SANTOS DUMONT'!$J$1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DUMONT'!$J$2:$J$4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80-4BF7-A09D-D6E27970ECA4}"/>
            </c:ext>
          </c:extLst>
        </c:ser>
        <c:ser>
          <c:idx val="1"/>
          <c:order val="1"/>
          <c:tx>
            <c:strRef>
              <c:f>'SANTOS DUMONT'!$K$1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DUMONT'!$K$2:$K$4</c:f>
              <c:numCache>
                <c:formatCode>0.00</c:formatCode>
                <c:ptCount val="3"/>
                <c:pt idx="0">
                  <c:v>3.8461538461538464E-2</c:v>
                </c:pt>
                <c:pt idx="1">
                  <c:v>7.6923076923076927E-2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80-4BF7-A09D-D6E27970ECA4}"/>
            </c:ext>
          </c:extLst>
        </c:ser>
        <c:ser>
          <c:idx val="2"/>
          <c:order val="2"/>
          <c:tx>
            <c:strRef>
              <c:f>'SANTOS DUMONT'!$L$1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DUMONT'!$L$2:$L$4</c:f>
              <c:numCache>
                <c:formatCode>0.00</c:formatCode>
                <c:ptCount val="3"/>
                <c:pt idx="0">
                  <c:v>0</c:v>
                </c:pt>
                <c:pt idx="1">
                  <c:v>8.6956521739130432E-2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80-4BF7-A09D-D6E27970ECA4}"/>
            </c:ext>
          </c:extLst>
        </c:ser>
        <c:ser>
          <c:idx val="3"/>
          <c:order val="3"/>
          <c:tx>
            <c:strRef>
              <c:f>'SANTOS DUMONT'!$M$1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DUMONT'!$M$2:$M$4</c:f>
              <c:numCache>
                <c:formatCode>0.00</c:formatCode>
                <c:ptCount val="3"/>
                <c:pt idx="0">
                  <c:v>3.8461538461538464E-2</c:v>
                </c:pt>
                <c:pt idx="1">
                  <c:v>9.6153846153846159E-2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80-4BF7-A09D-D6E27970E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757792"/>
        <c:axId val="388759232"/>
      </c:scatterChart>
      <c:valAx>
        <c:axId val="388757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59232"/>
        <c:crosses val="autoZero"/>
        <c:crossBetween val="midCat"/>
      </c:valAx>
      <c:valAx>
        <c:axId val="3887592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5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'SANTOS DUMONT'!$J$1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DUMONT'!$J$2:$J$4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1-4688-B1F4-E03058351D1A}"/>
            </c:ext>
          </c:extLst>
        </c:ser>
        <c:ser>
          <c:idx val="1"/>
          <c:order val="1"/>
          <c:tx>
            <c:strRef>
              <c:f>'SANTOS DUMONT'!$N$1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DUMONT'!$N$2:$N$4</c:f>
              <c:numCache>
                <c:formatCode>0.00</c:formatCode>
                <c:ptCount val="3"/>
                <c:pt idx="0">
                  <c:v>0.13114754098360656</c:v>
                </c:pt>
                <c:pt idx="1">
                  <c:v>0.18032786885245902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C1-4688-B1F4-E03058351D1A}"/>
            </c:ext>
          </c:extLst>
        </c:ser>
        <c:ser>
          <c:idx val="2"/>
          <c:order val="2"/>
          <c:tx>
            <c:strRef>
              <c:f>'SANTOS DUMONT'!$O$1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DUMONT'!$O$2:$O$4</c:f>
              <c:numCache>
                <c:formatCode>0.00</c:formatCode>
                <c:ptCount val="3"/>
                <c:pt idx="0">
                  <c:v>8.6206896551724144E-2</c:v>
                </c:pt>
                <c:pt idx="1">
                  <c:v>8.6206896551724144E-2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C1-4688-B1F4-E03058351D1A}"/>
            </c:ext>
          </c:extLst>
        </c:ser>
        <c:ser>
          <c:idx val="3"/>
          <c:order val="3"/>
          <c:tx>
            <c:strRef>
              <c:f>'SANTOS DUMONT'!$P$1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DUMONT'!$P$2:$P$4</c:f>
              <c:numCache>
                <c:formatCode>0.00</c:formatCode>
                <c:ptCount val="3"/>
                <c:pt idx="0">
                  <c:v>0.13333333333333333</c:v>
                </c:pt>
                <c:pt idx="1">
                  <c:v>0.4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C1-4688-B1F4-E03058351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16416"/>
        <c:axId val="154330816"/>
      </c:scatterChart>
      <c:valAx>
        <c:axId val="154316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0816"/>
        <c:crosses val="autoZero"/>
        <c:crossBetween val="midCat"/>
      </c:valAx>
      <c:valAx>
        <c:axId val="1543308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1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NEPOMUCENO-BICAS'!$J$1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NEPOMUCENO-BICAS'!$J$2:$J$10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0C-4D7A-A930-3C6666CDCF0F}"/>
            </c:ext>
          </c:extLst>
        </c:ser>
        <c:ser>
          <c:idx val="1"/>
          <c:order val="1"/>
          <c:tx>
            <c:strRef>
              <c:f>'SÃO JOÃO NEPOMUCENO-BICAS'!$K$1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NEPOMUCENO-BICAS'!$K$2:$K$10</c:f>
              <c:numCache>
                <c:formatCode>0.00</c:formatCode>
                <c:ptCount val="9"/>
                <c:pt idx="0">
                  <c:v>4.6153846153846156E-2</c:v>
                </c:pt>
                <c:pt idx="1">
                  <c:v>4.6153846153846156E-2</c:v>
                </c:pt>
                <c:pt idx="2">
                  <c:v>6.1538461538461542E-2</c:v>
                </c:pt>
                <c:pt idx="3">
                  <c:v>0.1076923076923077</c:v>
                </c:pt>
                <c:pt idx="4">
                  <c:v>0.15384615384615385</c:v>
                </c:pt>
                <c:pt idx="5">
                  <c:v>0.2153846153846154</c:v>
                </c:pt>
                <c:pt idx="6">
                  <c:v>0.43076923076923079</c:v>
                </c:pt>
                <c:pt idx="7">
                  <c:v>0.64615384615384619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0C-4D7A-A930-3C6666CDCF0F}"/>
            </c:ext>
          </c:extLst>
        </c:ser>
        <c:ser>
          <c:idx val="2"/>
          <c:order val="2"/>
          <c:tx>
            <c:strRef>
              <c:f>'SÃO JOÃO NEPOMUCENO-BICAS'!$L$1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NEPOMUCENO-BICAS'!$L$2:$L$10</c:f>
              <c:numCache>
                <c:formatCode>0.00</c:formatCode>
                <c:ptCount val="9"/>
                <c:pt idx="0">
                  <c:v>0</c:v>
                </c:pt>
                <c:pt idx="1">
                  <c:v>3.2258064516129031E-2</c:v>
                </c:pt>
                <c:pt idx="2">
                  <c:v>0.12903225806451613</c:v>
                </c:pt>
                <c:pt idx="3">
                  <c:v>0.25806451612903225</c:v>
                </c:pt>
                <c:pt idx="4">
                  <c:v>0.29032258064516125</c:v>
                </c:pt>
                <c:pt idx="5">
                  <c:v>0.29032258064516125</c:v>
                </c:pt>
                <c:pt idx="6">
                  <c:v>0.35483870967741932</c:v>
                </c:pt>
                <c:pt idx="7">
                  <c:v>0.54838709677419351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0C-4D7A-A930-3C6666CDCF0F}"/>
            </c:ext>
          </c:extLst>
        </c:ser>
        <c:ser>
          <c:idx val="3"/>
          <c:order val="3"/>
          <c:tx>
            <c:strRef>
              <c:f>'SÃO JOÃO NEPOMUCENO-BICAS'!$M$1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NEPOMUCENO-BICAS'!$M$2:$M$10</c:f>
              <c:numCache>
                <c:formatCode>0.00</c:formatCode>
                <c:ptCount val="9"/>
                <c:pt idx="0">
                  <c:v>0</c:v>
                </c:pt>
                <c:pt idx="1">
                  <c:v>5.7142857142857141E-2</c:v>
                </c:pt>
                <c:pt idx="2">
                  <c:v>0.17142857142857143</c:v>
                </c:pt>
                <c:pt idx="3">
                  <c:v>0.2</c:v>
                </c:pt>
                <c:pt idx="4">
                  <c:v>0.22857142857142859</c:v>
                </c:pt>
                <c:pt idx="5">
                  <c:v>0.28571428571428575</c:v>
                </c:pt>
                <c:pt idx="6">
                  <c:v>0.68571428571428572</c:v>
                </c:pt>
                <c:pt idx="7">
                  <c:v>0.82857142857142851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0C-4D7A-A930-3C6666CDC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20640"/>
        <c:axId val="1918622080"/>
      </c:scatterChart>
      <c:valAx>
        <c:axId val="1918620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22080"/>
        <c:crosses val="autoZero"/>
        <c:crossBetween val="midCat"/>
      </c:valAx>
      <c:valAx>
        <c:axId val="191862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20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NEPOMUCENO-BICAS'!$J$1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NEPOMUCENO-BICAS'!$J$2:$J$10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F1-431E-AC8D-9E36B1E9ECC2}"/>
            </c:ext>
          </c:extLst>
        </c:ser>
        <c:ser>
          <c:idx val="1"/>
          <c:order val="1"/>
          <c:tx>
            <c:strRef>
              <c:f>'SÃO JOÃO NEPOMUCENO-BICAS'!$N$1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NEPOMUCENO-BICAS'!$N$2:$N$10</c:f>
              <c:numCache>
                <c:formatCode>0.00</c:formatCode>
                <c:ptCount val="9"/>
                <c:pt idx="0">
                  <c:v>1.1111111111111112E-2</c:v>
                </c:pt>
                <c:pt idx="1">
                  <c:v>3.3333333333333333E-2</c:v>
                </c:pt>
                <c:pt idx="2">
                  <c:v>5.5555555555555552E-2</c:v>
                </c:pt>
                <c:pt idx="3">
                  <c:v>0.1111111111111111</c:v>
                </c:pt>
                <c:pt idx="4">
                  <c:v>0.12222222222222222</c:v>
                </c:pt>
                <c:pt idx="5">
                  <c:v>0.16666666666666666</c:v>
                </c:pt>
                <c:pt idx="6">
                  <c:v>0.25555555555555554</c:v>
                </c:pt>
                <c:pt idx="7">
                  <c:v>0.47777777777777775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F1-431E-AC8D-9E36B1E9ECC2}"/>
            </c:ext>
          </c:extLst>
        </c:ser>
        <c:ser>
          <c:idx val="2"/>
          <c:order val="2"/>
          <c:tx>
            <c:strRef>
              <c:f>'SÃO JOÃO NEPOMUCENO-BICAS'!$O$1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NEPOMUCENO-BICAS'!$O$2:$O$10</c:f>
              <c:numCache>
                <c:formatCode>0.00</c:formatCode>
                <c:ptCount val="9"/>
                <c:pt idx="0">
                  <c:v>6.7796610169491525E-2</c:v>
                </c:pt>
                <c:pt idx="1">
                  <c:v>8.4745762711864403E-2</c:v>
                </c:pt>
                <c:pt idx="2">
                  <c:v>0.15254237288135591</c:v>
                </c:pt>
                <c:pt idx="3">
                  <c:v>0.16949152542372881</c:v>
                </c:pt>
                <c:pt idx="4">
                  <c:v>0.1864406779661017</c:v>
                </c:pt>
                <c:pt idx="5">
                  <c:v>0.30508474576271188</c:v>
                </c:pt>
                <c:pt idx="6">
                  <c:v>0.33898305084745767</c:v>
                </c:pt>
                <c:pt idx="7">
                  <c:v>0.42372881355932207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F1-431E-AC8D-9E36B1E9ECC2}"/>
            </c:ext>
          </c:extLst>
        </c:ser>
        <c:ser>
          <c:idx val="3"/>
          <c:order val="3"/>
          <c:tx>
            <c:strRef>
              <c:f>'SÃO JOÃO NEPOMUCENO-BICAS'!$P$1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NEPOMUCENO-BICAS'!$P$2:$P$10</c:f>
              <c:numCache>
                <c:formatCode>0.00</c:formatCode>
                <c:ptCount val="9"/>
                <c:pt idx="0">
                  <c:v>2.1739130434782608E-2</c:v>
                </c:pt>
                <c:pt idx="1">
                  <c:v>8.6956521739130432E-2</c:v>
                </c:pt>
                <c:pt idx="2">
                  <c:v>8.6956521739130432E-2</c:v>
                </c:pt>
                <c:pt idx="3">
                  <c:v>0.21739130434782608</c:v>
                </c:pt>
                <c:pt idx="4">
                  <c:v>0.2391304347826087</c:v>
                </c:pt>
                <c:pt idx="5">
                  <c:v>0.28260869565217395</c:v>
                </c:pt>
                <c:pt idx="6">
                  <c:v>0.39130434782608697</c:v>
                </c:pt>
                <c:pt idx="7">
                  <c:v>0.47826086956521741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F1-431E-AC8D-9E36B1E9E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4576"/>
        <c:axId val="154332256"/>
      </c:scatterChart>
      <c:valAx>
        <c:axId val="1543245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2256"/>
        <c:crosses val="autoZero"/>
        <c:crossBetween val="midCat"/>
      </c:valAx>
      <c:valAx>
        <c:axId val="154332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2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UBÁ!$J$2:$J$21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C7-41FB-BC3D-91DBFE1BBECF}"/>
            </c:ext>
          </c:extLst>
        </c:ser>
        <c:ser>
          <c:idx val="1"/>
          <c:order val="1"/>
          <c:tx>
            <c:strRef>
              <c:f>UBÁ!$K$1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UBÁ!$K$2:$K$21</c:f>
              <c:numCache>
                <c:formatCode>0.00</c:formatCode>
                <c:ptCount val="20"/>
                <c:pt idx="0">
                  <c:v>1.4354066985645933E-2</c:v>
                </c:pt>
                <c:pt idx="1">
                  <c:v>3.3492822966507178E-2</c:v>
                </c:pt>
                <c:pt idx="2">
                  <c:v>6.2200956937799048E-2</c:v>
                </c:pt>
                <c:pt idx="3">
                  <c:v>7.6555023923444987E-2</c:v>
                </c:pt>
                <c:pt idx="4">
                  <c:v>9.0909090909090925E-2</c:v>
                </c:pt>
                <c:pt idx="5">
                  <c:v>0.11483253588516748</c:v>
                </c:pt>
                <c:pt idx="6">
                  <c:v>0.11961722488038279</c:v>
                </c:pt>
                <c:pt idx="7">
                  <c:v>0.15311004784688997</c:v>
                </c:pt>
                <c:pt idx="8">
                  <c:v>0.15789473684210528</c:v>
                </c:pt>
                <c:pt idx="9">
                  <c:v>0.17703349282296652</c:v>
                </c:pt>
                <c:pt idx="10">
                  <c:v>0.20095693779904306</c:v>
                </c:pt>
                <c:pt idx="11">
                  <c:v>0.22488038277511962</c:v>
                </c:pt>
                <c:pt idx="12">
                  <c:v>0.28229665071770338</c:v>
                </c:pt>
                <c:pt idx="13">
                  <c:v>0.30622009569377995</c:v>
                </c:pt>
                <c:pt idx="14">
                  <c:v>0.35406698564593309</c:v>
                </c:pt>
                <c:pt idx="15">
                  <c:v>0.41626794258373212</c:v>
                </c:pt>
                <c:pt idx="16">
                  <c:v>0.56459330143540676</c:v>
                </c:pt>
                <c:pt idx="17">
                  <c:v>0.58851674641148333</c:v>
                </c:pt>
                <c:pt idx="18">
                  <c:v>0.67464114832535893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C7-41FB-BC3D-91DBFE1BBECF}"/>
            </c:ext>
          </c:extLst>
        </c:ser>
        <c:ser>
          <c:idx val="2"/>
          <c:order val="2"/>
          <c:tx>
            <c:strRef>
              <c:f>UBÁ!$L$1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UBÁ!$L$2:$L$21</c:f>
              <c:numCache>
                <c:formatCode>0.00</c:formatCode>
                <c:ptCount val="20"/>
                <c:pt idx="0">
                  <c:v>1.6528925619834711E-2</c:v>
                </c:pt>
                <c:pt idx="1">
                  <c:v>4.1322314049586778E-2</c:v>
                </c:pt>
                <c:pt idx="2">
                  <c:v>5.7851239669421489E-2</c:v>
                </c:pt>
                <c:pt idx="3">
                  <c:v>7.43801652892562E-2</c:v>
                </c:pt>
                <c:pt idx="4">
                  <c:v>0.14049586776859505</c:v>
                </c:pt>
                <c:pt idx="5">
                  <c:v>0.16528925619834711</c:v>
                </c:pt>
                <c:pt idx="6">
                  <c:v>0.16528925619834711</c:v>
                </c:pt>
                <c:pt idx="7">
                  <c:v>0.23140495867768596</c:v>
                </c:pt>
                <c:pt idx="8">
                  <c:v>0.24793388429752067</c:v>
                </c:pt>
                <c:pt idx="9">
                  <c:v>0.24793388429752067</c:v>
                </c:pt>
                <c:pt idx="10">
                  <c:v>0.26446280991735538</c:v>
                </c:pt>
                <c:pt idx="11">
                  <c:v>0.28099173553719009</c:v>
                </c:pt>
                <c:pt idx="12">
                  <c:v>0.30578512396694213</c:v>
                </c:pt>
                <c:pt idx="13">
                  <c:v>0.36363636363636365</c:v>
                </c:pt>
                <c:pt idx="14">
                  <c:v>0.36363636363636365</c:v>
                </c:pt>
                <c:pt idx="15">
                  <c:v>0.38016528925619836</c:v>
                </c:pt>
                <c:pt idx="16">
                  <c:v>0.56198347107438018</c:v>
                </c:pt>
                <c:pt idx="17">
                  <c:v>0.6776859504132231</c:v>
                </c:pt>
                <c:pt idx="18">
                  <c:v>0.7603305785123966</c:v>
                </c:pt>
                <c:pt idx="1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C7-41FB-BC3D-91DBFE1BBECF}"/>
            </c:ext>
          </c:extLst>
        </c:ser>
        <c:ser>
          <c:idx val="3"/>
          <c:order val="3"/>
          <c:tx>
            <c:strRef>
              <c:f>UBÁ!$M$1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UBÁ!$M$2:$M$21</c:f>
              <c:numCache>
                <c:formatCode>0.00</c:formatCode>
                <c:ptCount val="20"/>
                <c:pt idx="0">
                  <c:v>7.0921985815602835E-3</c:v>
                </c:pt>
                <c:pt idx="1">
                  <c:v>3.5460992907801414E-2</c:v>
                </c:pt>
                <c:pt idx="2">
                  <c:v>4.9645390070921981E-2</c:v>
                </c:pt>
                <c:pt idx="3">
                  <c:v>7.0921985815602828E-2</c:v>
                </c:pt>
                <c:pt idx="4">
                  <c:v>0.11347517730496454</c:v>
                </c:pt>
                <c:pt idx="5">
                  <c:v>0.11347517730496454</c:v>
                </c:pt>
                <c:pt idx="6">
                  <c:v>0.1276595744680851</c:v>
                </c:pt>
                <c:pt idx="7">
                  <c:v>0.18439716312056736</c:v>
                </c:pt>
                <c:pt idx="8">
                  <c:v>0.21985815602836878</c:v>
                </c:pt>
                <c:pt idx="9">
                  <c:v>0.22695035460992907</c:v>
                </c:pt>
                <c:pt idx="10">
                  <c:v>0.23404255319148937</c:v>
                </c:pt>
                <c:pt idx="11">
                  <c:v>0.24822695035460993</c:v>
                </c:pt>
                <c:pt idx="12">
                  <c:v>0.2978723404255319</c:v>
                </c:pt>
                <c:pt idx="13">
                  <c:v>0.3475177304964539</c:v>
                </c:pt>
                <c:pt idx="14">
                  <c:v>0.3546099290780142</c:v>
                </c:pt>
                <c:pt idx="15">
                  <c:v>0.43262411347517732</c:v>
                </c:pt>
                <c:pt idx="16">
                  <c:v>0.57446808510638303</c:v>
                </c:pt>
                <c:pt idx="17">
                  <c:v>0.59574468085106391</c:v>
                </c:pt>
                <c:pt idx="18">
                  <c:v>0.7092198581560285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C7-41FB-BC3D-91DBFE1BB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08544"/>
        <c:axId val="621102304"/>
      </c:scatterChart>
      <c:valAx>
        <c:axId val="6211085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02304"/>
        <c:crosses val="autoZero"/>
        <c:crossBetween val="midCat"/>
      </c:valAx>
      <c:valAx>
        <c:axId val="621102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0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UBÁ!$J$2:$J$21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8B-4B47-9538-95DE8D68B965}"/>
            </c:ext>
          </c:extLst>
        </c:ser>
        <c:ser>
          <c:idx val="1"/>
          <c:order val="1"/>
          <c:tx>
            <c:strRef>
              <c:f>UBÁ!$N$1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UBÁ!$N$2:$N$21</c:f>
              <c:numCache>
                <c:formatCode>0.00</c:formatCode>
                <c:ptCount val="20"/>
                <c:pt idx="0">
                  <c:v>7.6923076923076927E-3</c:v>
                </c:pt>
                <c:pt idx="1">
                  <c:v>2.6923076923076925E-2</c:v>
                </c:pt>
                <c:pt idx="2">
                  <c:v>0.05</c:v>
                </c:pt>
                <c:pt idx="3">
                  <c:v>7.3076923076923081E-2</c:v>
                </c:pt>
                <c:pt idx="4">
                  <c:v>0.1</c:v>
                </c:pt>
                <c:pt idx="5">
                  <c:v>0.1076923076923077</c:v>
                </c:pt>
                <c:pt idx="6">
                  <c:v>0.12307692307692308</c:v>
                </c:pt>
                <c:pt idx="7">
                  <c:v>0.15769230769230769</c:v>
                </c:pt>
                <c:pt idx="8">
                  <c:v>0.16538461538461538</c:v>
                </c:pt>
                <c:pt idx="9">
                  <c:v>0.18461538461538463</c:v>
                </c:pt>
                <c:pt idx="10">
                  <c:v>0.20384615384615384</c:v>
                </c:pt>
                <c:pt idx="11">
                  <c:v>0.26153846153846155</c:v>
                </c:pt>
                <c:pt idx="12">
                  <c:v>0.31538461538461537</c:v>
                </c:pt>
                <c:pt idx="13">
                  <c:v>0.33461538461538459</c:v>
                </c:pt>
                <c:pt idx="14">
                  <c:v>0.34615384615384615</c:v>
                </c:pt>
                <c:pt idx="15">
                  <c:v>0.40769230769230769</c:v>
                </c:pt>
                <c:pt idx="16">
                  <c:v>0.48461538461538461</c:v>
                </c:pt>
                <c:pt idx="17">
                  <c:v>0.56538461538461537</c:v>
                </c:pt>
                <c:pt idx="18">
                  <c:v>0.66538461538461535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8B-4B47-9538-95DE8D68B965}"/>
            </c:ext>
          </c:extLst>
        </c:ser>
        <c:ser>
          <c:idx val="2"/>
          <c:order val="2"/>
          <c:tx>
            <c:strRef>
              <c:f>UBÁ!$O$1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UBÁ!$O$2:$O$21</c:f>
              <c:numCache>
                <c:formatCode>0.00</c:formatCode>
                <c:ptCount val="20"/>
                <c:pt idx="0">
                  <c:v>7.7519379844961239E-3</c:v>
                </c:pt>
                <c:pt idx="1">
                  <c:v>2.7131782945736434E-2</c:v>
                </c:pt>
                <c:pt idx="2">
                  <c:v>5.4263565891472867E-2</c:v>
                </c:pt>
                <c:pt idx="3">
                  <c:v>7.364341085271317E-2</c:v>
                </c:pt>
                <c:pt idx="4">
                  <c:v>9.3023255813953487E-2</c:v>
                </c:pt>
                <c:pt idx="5">
                  <c:v>9.3023255813953487E-2</c:v>
                </c:pt>
                <c:pt idx="6">
                  <c:v>0.10852713178294573</c:v>
                </c:pt>
                <c:pt idx="7">
                  <c:v>0.14728682170542634</c:v>
                </c:pt>
                <c:pt idx="8">
                  <c:v>0.15116279069767441</c:v>
                </c:pt>
                <c:pt idx="9">
                  <c:v>0.16666666666666666</c:v>
                </c:pt>
                <c:pt idx="10">
                  <c:v>0.19767441860465115</c:v>
                </c:pt>
                <c:pt idx="11">
                  <c:v>0.24031007751937983</c:v>
                </c:pt>
                <c:pt idx="12">
                  <c:v>0.27519379844961239</c:v>
                </c:pt>
                <c:pt idx="13">
                  <c:v>0.30232558139534882</c:v>
                </c:pt>
                <c:pt idx="14">
                  <c:v>0.33333333333333331</c:v>
                </c:pt>
                <c:pt idx="15">
                  <c:v>0.38759689922480617</c:v>
                </c:pt>
                <c:pt idx="16">
                  <c:v>0.5</c:v>
                </c:pt>
                <c:pt idx="17">
                  <c:v>0.58914728682170547</c:v>
                </c:pt>
                <c:pt idx="18">
                  <c:v>0.69767441860465118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8B-4B47-9538-95DE8D68B965}"/>
            </c:ext>
          </c:extLst>
        </c:ser>
        <c:ser>
          <c:idx val="3"/>
          <c:order val="3"/>
          <c:tx>
            <c:strRef>
              <c:f>UBÁ!$P$1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UBÁ!$P$2:$P$21</c:f>
              <c:numCache>
                <c:formatCode>0.00</c:formatCode>
                <c:ptCount val="20"/>
                <c:pt idx="0">
                  <c:v>7.6923076923076927E-3</c:v>
                </c:pt>
                <c:pt idx="1">
                  <c:v>1.5384615384615385E-2</c:v>
                </c:pt>
                <c:pt idx="2">
                  <c:v>3.8461538461538464E-2</c:v>
                </c:pt>
                <c:pt idx="3">
                  <c:v>7.6923076923076927E-2</c:v>
                </c:pt>
                <c:pt idx="4">
                  <c:v>0.1</c:v>
                </c:pt>
                <c:pt idx="5">
                  <c:v>0.11538461538461539</c:v>
                </c:pt>
                <c:pt idx="6">
                  <c:v>0.14615384615384616</c:v>
                </c:pt>
                <c:pt idx="7">
                  <c:v>0.19230769230769232</c:v>
                </c:pt>
                <c:pt idx="8">
                  <c:v>0.2076923076923077</c:v>
                </c:pt>
                <c:pt idx="9">
                  <c:v>0.2153846153846154</c:v>
                </c:pt>
                <c:pt idx="10">
                  <c:v>0.22307692307692309</c:v>
                </c:pt>
                <c:pt idx="11">
                  <c:v>0.24615384615384617</c:v>
                </c:pt>
                <c:pt idx="12">
                  <c:v>0.30000000000000004</c:v>
                </c:pt>
                <c:pt idx="13">
                  <c:v>0.31538461538461543</c:v>
                </c:pt>
                <c:pt idx="14">
                  <c:v>0.33846153846153848</c:v>
                </c:pt>
                <c:pt idx="15">
                  <c:v>0.41538461538461541</c:v>
                </c:pt>
                <c:pt idx="16">
                  <c:v>0.47692307692307695</c:v>
                </c:pt>
                <c:pt idx="17">
                  <c:v>0.56153846153846154</c:v>
                </c:pt>
                <c:pt idx="18">
                  <c:v>0.63076923076923075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8B-4B47-9538-95DE8D68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55808"/>
        <c:axId val="562960608"/>
      </c:scatterChart>
      <c:valAx>
        <c:axId val="5629558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60608"/>
        <c:crosses val="autoZero"/>
        <c:crossBetween val="midCat"/>
      </c:valAx>
      <c:valAx>
        <c:axId val="562960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5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64770</xdr:rowOff>
    </xdr:from>
    <xdr:to>
      <xdr:col>23</xdr:col>
      <xdr:colOff>411480</xdr:colOff>
      <xdr:row>12</xdr:row>
      <xdr:rowOff>148590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7D2E1A1-A567-CACF-F6B2-27DF7E5AE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12</xdr:row>
      <xdr:rowOff>179070</xdr:rowOff>
    </xdr:from>
    <xdr:to>
      <xdr:col>23</xdr:col>
      <xdr:colOff>403860</xdr:colOff>
      <xdr:row>27</xdr:row>
      <xdr:rowOff>179070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8A44DFC-8647-0938-EF11-4A47A0522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26670</xdr:rowOff>
    </xdr:from>
    <xdr:to>
      <xdr:col>23</xdr:col>
      <xdr:colOff>403860</xdr:colOff>
      <xdr:row>13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8695997-986B-8F9D-C0F7-DEC6E3F62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13</xdr:row>
      <xdr:rowOff>156210</xdr:rowOff>
    </xdr:from>
    <xdr:to>
      <xdr:col>23</xdr:col>
      <xdr:colOff>403860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9FB6EFD-AFFD-A34C-B207-97687D56A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205740</xdr:colOff>
      <xdr:row>0</xdr:row>
      <xdr:rowOff>41910</xdr:rowOff>
    </xdr:from>
    <xdr:to>
      <xdr:col>23</xdr:col>
      <xdr:colOff>510540</xdr:colOff>
      <xdr:row>13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984824-0501-1023-75FB-FDB1DBBE5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160020</xdr:colOff>
      <xdr:row>13</xdr:row>
      <xdr:rowOff>140970</xdr:rowOff>
    </xdr:from>
    <xdr:to>
      <xdr:col>23</xdr:col>
      <xdr:colOff>464820</xdr:colOff>
      <xdr:row>27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3837957-9E49-CBA8-BF03-54CE39B81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41910</xdr:rowOff>
    </xdr:from>
    <xdr:to>
      <xdr:col>23</xdr:col>
      <xdr:colOff>381000</xdr:colOff>
      <xdr:row>12</xdr:row>
      <xdr:rowOff>308610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BEB191F-DEF2-C033-6F8F-1229DF25E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12</xdr:row>
      <xdr:rowOff>354330</xdr:rowOff>
    </xdr:from>
    <xdr:to>
      <xdr:col>23</xdr:col>
      <xdr:colOff>381000</xdr:colOff>
      <xdr:row>27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EDA917-5F9F-15D0-64D5-0E2CC6083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0</xdr:row>
      <xdr:rowOff>41910</xdr:rowOff>
    </xdr:from>
    <xdr:to>
      <xdr:col>23</xdr:col>
      <xdr:colOff>419100</xdr:colOff>
      <xdr:row>13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308224C-49C8-3CA4-11F2-E408B8FFE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114300</xdr:colOff>
      <xdr:row>13</xdr:row>
      <xdr:rowOff>148590</xdr:rowOff>
    </xdr:from>
    <xdr:to>
      <xdr:col>23</xdr:col>
      <xdr:colOff>419100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40591E2-2235-321B-E7FF-7BC3DCAF4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0</xdr:row>
      <xdr:rowOff>34290</xdr:rowOff>
    </xdr:from>
    <xdr:to>
      <xdr:col>23</xdr:col>
      <xdr:colOff>350520</xdr:colOff>
      <xdr:row>13</xdr:row>
      <xdr:rowOff>118110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BD342A0-4E0A-CC4A-4578-D14E14C22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13</xdr:row>
      <xdr:rowOff>163830</xdr:rowOff>
    </xdr:from>
    <xdr:to>
      <xdr:col>23</xdr:col>
      <xdr:colOff>365760</xdr:colOff>
      <xdr:row>27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6245D4F-8C93-3EAE-692E-29DBA9FF1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26670</xdr:rowOff>
    </xdr:from>
    <xdr:to>
      <xdr:col>23</xdr:col>
      <xdr:colOff>426720</xdr:colOff>
      <xdr:row>12</xdr:row>
      <xdr:rowOff>110490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FF9BED-6D15-BE4A-016A-53E2C4194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129540</xdr:colOff>
      <xdr:row>12</xdr:row>
      <xdr:rowOff>148590</xdr:rowOff>
    </xdr:from>
    <xdr:to>
      <xdr:col>23</xdr:col>
      <xdr:colOff>434340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64A02C7-D3B4-F50D-1066-B6F65D328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87630</xdr:rowOff>
    </xdr:from>
    <xdr:to>
      <xdr:col>23</xdr:col>
      <xdr:colOff>396240</xdr:colOff>
      <xdr:row>12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D569A8A-40B8-7AB6-BBD8-F88693763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13</xdr:row>
      <xdr:rowOff>19050</xdr:rowOff>
    </xdr:from>
    <xdr:to>
      <xdr:col>23</xdr:col>
      <xdr:colOff>388620</xdr:colOff>
      <xdr:row>28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982EF97-EB8F-169F-3E05-CCC55FF33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125691</xdr:colOff>
      <xdr:row>0</xdr:row>
      <xdr:rowOff>93482</xdr:rowOff>
    </xdr:from>
    <xdr:to>
      <xdr:col>23</xdr:col>
      <xdr:colOff>408495</xdr:colOff>
      <xdr:row>14</xdr:row>
      <xdr:rowOff>24352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F4BC4B-99A6-4F21-FB1D-374518DBB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117835</xdr:colOff>
      <xdr:row>14</xdr:row>
      <xdr:rowOff>85627</xdr:rowOff>
    </xdr:from>
    <xdr:to>
      <xdr:col>23</xdr:col>
      <xdr:colOff>400639</xdr:colOff>
      <xdr:row>28</xdr:row>
      <xdr:rowOff>110765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E3EC780-5C0B-3552-473C-4EC854290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D35C-D72E-4456-82E1-624D28492067}">
  <dimension ref="A1:P15"/>
  <sheetViews>
    <sheetView tabSelected="1" workbookViewId="0">
      <selection activeCell="A8" sqref="A8"/>
    </sheetView>
  </sheetViews>
  <sheetFormatPr defaultRowHeight="14.4" x14ac:dyDescent="0.3"/>
  <cols>
    <col min="1" max="1" width="13.6640625" customWidth="1"/>
  </cols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1</v>
      </c>
      <c r="B2" s="19">
        <v>4.0202755665487991E-2</v>
      </c>
      <c r="C2" s="19">
        <v>0</v>
      </c>
      <c r="D2" s="19">
        <v>0.21739130434782608</v>
      </c>
      <c r="E2" s="19">
        <v>0</v>
      </c>
      <c r="F2" s="19">
        <v>0</v>
      </c>
      <c r="G2" s="19">
        <v>0</v>
      </c>
      <c r="H2" s="19">
        <v>5.2631578947368418E-2</v>
      </c>
      <c r="I2" s="8">
        <v>4.0202755665487991E-2</v>
      </c>
      <c r="J2" s="20">
        <v>4.0202755665487991E-2</v>
      </c>
      <c r="K2" s="20">
        <v>0</v>
      </c>
      <c r="L2" s="20">
        <v>0.21739130434782608</v>
      </c>
      <c r="M2" s="20">
        <v>0</v>
      </c>
      <c r="N2" s="20">
        <v>0</v>
      </c>
      <c r="O2" s="20">
        <v>0</v>
      </c>
      <c r="P2" s="20">
        <v>5.2631578947368418E-2</v>
      </c>
    </row>
    <row r="3" spans="1:16" x14ac:dyDescent="0.3">
      <c r="A3" s="8" t="s">
        <v>3</v>
      </c>
      <c r="B3" s="19">
        <v>6.2742775523001615E-2</v>
      </c>
      <c r="C3" s="19">
        <v>5.4545454545454543E-2</v>
      </c>
      <c r="D3" s="19">
        <v>4.3478260869565216E-2</v>
      </c>
      <c r="E3" s="19">
        <v>3.5714285714285712E-2</v>
      </c>
      <c r="F3" s="19">
        <v>0</v>
      </c>
      <c r="G3" s="19">
        <v>8.8235294117647065E-2</v>
      </c>
      <c r="H3" s="19">
        <v>0</v>
      </c>
      <c r="I3" s="8">
        <v>0.10294553118848961</v>
      </c>
      <c r="J3" s="8">
        <f t="shared" ref="J3:P6" si="0">J2+B3</f>
        <v>0.10294553118848961</v>
      </c>
      <c r="K3" s="8">
        <f t="shared" si="0"/>
        <v>5.4545454545454543E-2</v>
      </c>
      <c r="L3" s="8">
        <f t="shared" si="0"/>
        <v>0.2608695652173913</v>
      </c>
      <c r="M3" s="8">
        <f t="shared" si="0"/>
        <v>3.5714285714285712E-2</v>
      </c>
      <c r="N3" s="8">
        <f t="shared" si="0"/>
        <v>0</v>
      </c>
      <c r="O3" s="8">
        <f t="shared" si="0"/>
        <v>8.8235294117647065E-2</v>
      </c>
      <c r="P3" s="8">
        <f t="shared" si="0"/>
        <v>5.2631578947368418E-2</v>
      </c>
    </row>
    <row r="4" spans="1:16" x14ac:dyDescent="0.3">
      <c r="A4" s="8" t="s">
        <v>4</v>
      </c>
      <c r="B4" s="19">
        <v>9.1797453360971282E-2</v>
      </c>
      <c r="C4" s="19">
        <v>0.2</v>
      </c>
      <c r="D4" s="19">
        <v>0.2608695652173913</v>
      </c>
      <c r="E4" s="19">
        <v>0.14285714285714285</v>
      </c>
      <c r="F4" s="19">
        <v>4.3478260869565216E-2</v>
      </c>
      <c r="G4" s="19">
        <v>5.8823529411764705E-2</v>
      </c>
      <c r="H4" s="19">
        <v>0.21052631578947367</v>
      </c>
      <c r="I4" s="8">
        <v>0.19474298454946087</v>
      </c>
      <c r="J4" s="8">
        <f t="shared" si="0"/>
        <v>0.19474298454946087</v>
      </c>
      <c r="K4" s="8">
        <f t="shared" si="0"/>
        <v>0.25454545454545457</v>
      </c>
      <c r="L4" s="8">
        <f t="shared" si="0"/>
        <v>0.52173913043478259</v>
      </c>
      <c r="M4" s="8">
        <f t="shared" si="0"/>
        <v>0.17857142857142855</v>
      </c>
      <c r="N4" s="8">
        <f t="shared" si="0"/>
        <v>4.3478260869565216E-2</v>
      </c>
      <c r="O4" s="8">
        <f t="shared" si="0"/>
        <v>0.14705882352941177</v>
      </c>
      <c r="P4" s="8">
        <f t="shared" si="0"/>
        <v>0.26315789473684209</v>
      </c>
    </row>
    <row r="5" spans="1:16" x14ac:dyDescent="0.3">
      <c r="A5" s="8" t="s">
        <v>2</v>
      </c>
      <c r="B5" s="19">
        <v>0.18796704349492241</v>
      </c>
      <c r="C5" s="19">
        <v>0.27272727272727271</v>
      </c>
      <c r="D5" s="19">
        <v>0.17391304347826086</v>
      </c>
      <c r="E5" s="19">
        <v>0.42857142857142855</v>
      </c>
      <c r="F5" s="19">
        <v>0.45652173913043476</v>
      </c>
      <c r="G5" s="19">
        <v>0.47058823529411764</v>
      </c>
      <c r="H5" s="19">
        <v>0.31578947368421051</v>
      </c>
      <c r="I5" s="8">
        <v>0.38271002804438325</v>
      </c>
      <c r="J5" s="8">
        <f t="shared" si="0"/>
        <v>0.38271002804438325</v>
      </c>
      <c r="K5" s="8">
        <f t="shared" si="0"/>
        <v>0.52727272727272734</v>
      </c>
      <c r="L5" s="8">
        <f t="shared" si="0"/>
        <v>0.69565217391304346</v>
      </c>
      <c r="M5" s="8">
        <f t="shared" si="0"/>
        <v>0.6071428571428571</v>
      </c>
      <c r="N5" s="8">
        <f t="shared" si="0"/>
        <v>0.5</v>
      </c>
      <c r="O5" s="8">
        <f t="shared" si="0"/>
        <v>0.61764705882352944</v>
      </c>
      <c r="P5" s="8">
        <f t="shared" si="0"/>
        <v>0.57894736842105265</v>
      </c>
    </row>
    <row r="6" spans="1:16" x14ac:dyDescent="0.3">
      <c r="A6" s="8" t="s">
        <v>0</v>
      </c>
      <c r="B6" s="19">
        <v>0.61728997195561675</v>
      </c>
      <c r="C6" s="19">
        <v>0.47272727272727272</v>
      </c>
      <c r="D6" s="19">
        <v>0.30434782608695654</v>
      </c>
      <c r="E6" s="19">
        <v>0.39285714285714285</v>
      </c>
      <c r="F6" s="19">
        <v>0.5</v>
      </c>
      <c r="G6" s="19">
        <v>0.38235294117647056</v>
      </c>
      <c r="H6" s="19">
        <v>0.42105263157894735</v>
      </c>
      <c r="I6" s="8">
        <v>1</v>
      </c>
      <c r="J6" s="8">
        <f t="shared" si="0"/>
        <v>1</v>
      </c>
      <c r="K6" s="8">
        <f t="shared" si="0"/>
        <v>1</v>
      </c>
      <c r="L6" s="8">
        <f t="shared" si="0"/>
        <v>1</v>
      </c>
      <c r="M6" s="8">
        <f t="shared" si="0"/>
        <v>1</v>
      </c>
      <c r="N6" s="8">
        <f t="shared" si="0"/>
        <v>1</v>
      </c>
      <c r="O6" s="8">
        <f t="shared" si="0"/>
        <v>1</v>
      </c>
      <c r="P6" s="8">
        <f t="shared" si="0"/>
        <v>1</v>
      </c>
    </row>
    <row r="8" spans="1:16" ht="28.8" x14ac:dyDescent="0.3">
      <c r="B8" s="1" t="s">
        <v>94</v>
      </c>
      <c r="C8" s="3" t="s">
        <v>102</v>
      </c>
      <c r="D8" s="3" t="s">
        <v>103</v>
      </c>
      <c r="E8" s="3" t="s">
        <v>104</v>
      </c>
      <c r="F8" s="3" t="s">
        <v>105</v>
      </c>
      <c r="G8" s="3" t="s">
        <v>106</v>
      </c>
      <c r="H8" s="3" t="s">
        <v>107</v>
      </c>
      <c r="J8" s="7"/>
      <c r="K8" s="9" t="s">
        <v>108</v>
      </c>
      <c r="L8" s="9" t="s">
        <v>109</v>
      </c>
      <c r="M8" s="9" t="s">
        <v>110</v>
      </c>
      <c r="N8" s="9" t="s">
        <v>111</v>
      </c>
      <c r="O8" s="9" t="s">
        <v>112</v>
      </c>
      <c r="P8" s="9" t="s">
        <v>113</v>
      </c>
    </row>
    <row r="9" spans="1:16" x14ac:dyDescent="0.3">
      <c r="B9" s="8" t="s">
        <v>1</v>
      </c>
      <c r="C9" s="8">
        <f>C2-B2</f>
        <v>-4.0202755665487991E-2</v>
      </c>
      <c r="D9" s="8">
        <f>D2-B2</f>
        <v>0.17718854868233808</v>
      </c>
      <c r="E9" s="8">
        <f>E2-B2</f>
        <v>-4.0202755665487991E-2</v>
      </c>
      <c r="F9" s="8">
        <f>F2-B2</f>
        <v>-4.0202755665487991E-2</v>
      </c>
      <c r="G9" s="8">
        <f>G2-B2</f>
        <v>-4.0202755665487991E-2</v>
      </c>
      <c r="H9" s="8">
        <f>H2-B2</f>
        <v>1.2428823281880427E-2</v>
      </c>
      <c r="J9" s="8" t="s">
        <v>1</v>
      </c>
      <c r="K9" s="7">
        <f>(J2-0) * ((K2+0))</f>
        <v>0</v>
      </c>
      <c r="L9" s="7">
        <f>(J2-0) * ((L2+0))</f>
        <v>8.7397294924973883E-3</v>
      </c>
      <c r="M9" s="7">
        <f>(J2-0) * ((M2+0))</f>
        <v>0</v>
      </c>
      <c r="N9" s="7">
        <f>(J2-0) * ((N2+0))</f>
        <v>0</v>
      </c>
      <c r="O9" s="7">
        <f>(J2-0) * ((O2+0))</f>
        <v>0</v>
      </c>
      <c r="P9" s="7">
        <f>(J2-0) * ((P2+0))</f>
        <v>2.115934508709894E-3</v>
      </c>
    </row>
    <row r="10" spans="1:16" x14ac:dyDescent="0.3">
      <c r="B10" s="8" t="s">
        <v>3</v>
      </c>
      <c r="C10" s="8">
        <f t="shared" ref="C10:C13" si="1">C3-B3</f>
        <v>-8.1973209775470721E-3</v>
      </c>
      <c r="D10" s="8">
        <f t="shared" ref="D10:D13" si="2">D3-B3</f>
        <v>-1.9264514653436399E-2</v>
      </c>
      <c r="E10" s="8">
        <f t="shared" ref="E10:E13" si="3">E3-B3</f>
        <v>-2.7028489808715903E-2</v>
      </c>
      <c r="F10" s="8">
        <f t="shared" ref="F10:F13" si="4">F3-B3</f>
        <v>-6.2742775523001615E-2</v>
      </c>
      <c r="G10" s="8">
        <f t="shared" ref="G10:G13" si="5">G3-B3</f>
        <v>2.549251859464545E-2</v>
      </c>
      <c r="H10" s="8">
        <f t="shared" ref="H10:H13" si="6">H3-B3</f>
        <v>-6.2742775523001615E-2</v>
      </c>
      <c r="J10" s="8" t="s">
        <v>3</v>
      </c>
      <c r="K10" s="7">
        <f>(J3-J2) * ((K3+K2))</f>
        <v>3.4223332103455423E-3</v>
      </c>
      <c r="L10" s="7">
        <f>(J3-J2) * ((L3+L2))</f>
        <v>3.0007414380565992E-2</v>
      </c>
      <c r="M10" s="7">
        <f>(J3-J2) * ((M3+M2))</f>
        <v>2.240813411535772E-3</v>
      </c>
      <c r="N10" s="7">
        <f>(J3-J2) * ((N3+N2))</f>
        <v>0</v>
      </c>
      <c r="O10" s="7">
        <f>(J3-J2) * ((O3+O2))</f>
        <v>5.5361272520295544E-3</v>
      </c>
      <c r="P10" s="7">
        <f>(J3-J2) * ((P3+P2))</f>
        <v>6.6045026866317488E-3</v>
      </c>
    </row>
    <row r="11" spans="1:16" x14ac:dyDescent="0.3">
      <c r="B11" s="8" t="s">
        <v>4</v>
      </c>
      <c r="C11" s="8">
        <f t="shared" si="1"/>
        <v>0.10820254663902873</v>
      </c>
      <c r="D11" s="8">
        <f t="shared" si="2"/>
        <v>0.16907211185642002</v>
      </c>
      <c r="E11" s="8">
        <f t="shared" si="3"/>
        <v>5.1059689496171567E-2</v>
      </c>
      <c r="F11" s="8">
        <f t="shared" si="4"/>
        <v>-4.8319192491406066E-2</v>
      </c>
      <c r="G11" s="8">
        <f t="shared" si="5"/>
        <v>-3.2973923949206577E-2</v>
      </c>
      <c r="H11" s="8">
        <f t="shared" si="6"/>
        <v>0.11872886242850239</v>
      </c>
      <c r="J11" s="8" t="s">
        <v>4</v>
      </c>
      <c r="K11" s="7">
        <f t="shared" ref="K11:K13" si="7">(J4-J3) * ((K4+K3))</f>
        <v>2.837375831157294E-2</v>
      </c>
      <c r="L11" s="7">
        <f t="shared" ref="L11:L13" si="8">(J4-J3) * ((L4+L3))</f>
        <v>7.184148523902098E-2</v>
      </c>
      <c r="M11" s="7">
        <f t="shared" ref="M11:M13" si="9">(J4-J3) * ((M4+M3))</f>
        <v>1.9670882863065269E-2</v>
      </c>
      <c r="N11" s="7">
        <f t="shared" ref="N11:N13" si="10">(J4-J3) * ((N4+N3))</f>
        <v>3.9911936243900549E-3</v>
      </c>
      <c r="O11" s="7">
        <f t="shared" ref="O11:O13" si="11">(J4-J3) * ((O4+O3))</f>
        <v>2.1599400790816767E-2</v>
      </c>
      <c r="P11" s="7">
        <f t="shared" ref="P11:P13" si="12">(J4-J3) * ((P4+P3))</f>
        <v>2.8988669482411977E-2</v>
      </c>
    </row>
    <row r="12" spans="1:16" x14ac:dyDescent="0.3">
      <c r="B12" s="8" t="s">
        <v>2</v>
      </c>
      <c r="C12" s="8">
        <f t="shared" si="1"/>
        <v>8.4760229232350298E-2</v>
      </c>
      <c r="D12" s="8">
        <f t="shared" si="2"/>
        <v>-1.4054000016661544E-2</v>
      </c>
      <c r="E12" s="8">
        <f t="shared" si="3"/>
        <v>0.24060438507650614</v>
      </c>
      <c r="F12" s="8">
        <f t="shared" si="4"/>
        <v>0.26855469563551237</v>
      </c>
      <c r="G12" s="8">
        <f t="shared" si="5"/>
        <v>0.2826211917991952</v>
      </c>
      <c r="H12" s="8">
        <f t="shared" si="6"/>
        <v>0.1278224301892881</v>
      </c>
      <c r="J12" s="8" t="s">
        <v>2</v>
      </c>
      <c r="K12" s="7">
        <f t="shared" si="7"/>
        <v>0.14695605218693936</v>
      </c>
      <c r="L12" s="7">
        <f t="shared" si="8"/>
        <v>0.22882944425468812</v>
      </c>
      <c r="M12" s="7">
        <f t="shared" si="9"/>
        <v>0.14768839131743899</v>
      </c>
      <c r="N12" s="7">
        <f t="shared" si="10"/>
        <v>0.10215600189941433</v>
      </c>
      <c r="O12" s="7">
        <f t="shared" si="11"/>
        <v>0.14373950384905831</v>
      </c>
      <c r="P12" s="7">
        <f t="shared" si="12"/>
        <v>0.15828803662730304</v>
      </c>
    </row>
    <row r="13" spans="1:16" x14ac:dyDescent="0.3">
      <c r="B13" s="8" t="s">
        <v>0</v>
      </c>
      <c r="C13" s="8">
        <f t="shared" si="1"/>
        <v>-0.14456269922834403</v>
      </c>
      <c r="D13" s="8">
        <f t="shared" si="2"/>
        <v>-0.3129421458686602</v>
      </c>
      <c r="E13" s="8">
        <f t="shared" si="3"/>
        <v>-0.2244328290984739</v>
      </c>
      <c r="F13" s="8">
        <f t="shared" si="4"/>
        <v>-0.11728997195561675</v>
      </c>
      <c r="G13" s="8">
        <f t="shared" si="5"/>
        <v>-0.23493703077914618</v>
      </c>
      <c r="H13" s="8">
        <f t="shared" si="6"/>
        <v>-0.1962373403766694</v>
      </c>
      <c r="J13" s="8" t="s">
        <v>0</v>
      </c>
      <c r="K13" s="7">
        <f t="shared" si="7"/>
        <v>0.94277013898676021</v>
      </c>
      <c r="L13" s="7">
        <f t="shared" si="8"/>
        <v>1.0467090828812631</v>
      </c>
      <c r="M13" s="7">
        <f t="shared" si="9"/>
        <v>0.99207316921438404</v>
      </c>
      <c r="N13" s="7">
        <f t="shared" si="10"/>
        <v>0.92593495793342506</v>
      </c>
      <c r="O13" s="7">
        <f t="shared" si="11"/>
        <v>0.9985573075752624</v>
      </c>
      <c r="P13" s="7">
        <f t="shared" si="12"/>
        <v>0.97466837677202645</v>
      </c>
    </row>
    <row r="14" spans="1:16" x14ac:dyDescent="0.3">
      <c r="J14" s="9" t="s">
        <v>114</v>
      </c>
      <c r="K14" s="9">
        <f>SUM(K9:K13)</f>
        <v>1.1215222826956182</v>
      </c>
      <c r="L14" s="9">
        <f t="shared" ref="L14:P14" si="13">SUM(L9:L13)</f>
        <v>1.3861271562480355</v>
      </c>
      <c r="M14" s="9">
        <f t="shared" si="13"/>
        <v>1.1616732568064241</v>
      </c>
      <c r="N14" s="9">
        <f t="shared" si="13"/>
        <v>1.0320821534572295</v>
      </c>
      <c r="O14" s="9">
        <f t="shared" si="13"/>
        <v>1.1694323394671671</v>
      </c>
      <c r="P14" s="9">
        <f t="shared" si="13"/>
        <v>1.170665520077083</v>
      </c>
    </row>
    <row r="15" spans="1:16" x14ac:dyDescent="0.3">
      <c r="J15" s="10" t="s">
        <v>115</v>
      </c>
      <c r="K15" s="10">
        <f>1-K14</f>
        <v>-0.12152228269561816</v>
      </c>
      <c r="L15" s="10">
        <f t="shared" ref="L15:P15" si="14">1-L14</f>
        <v>-0.38612715624803551</v>
      </c>
      <c r="M15" s="10">
        <f t="shared" si="14"/>
        <v>-0.16167325680642408</v>
      </c>
      <c r="N15" s="10">
        <f t="shared" si="14"/>
        <v>-3.2082153457229534E-2</v>
      </c>
      <c r="O15" s="10">
        <f t="shared" si="14"/>
        <v>-0.16943233946716707</v>
      </c>
      <c r="P15" s="10">
        <f t="shared" si="14"/>
        <v>-0.17066552007708302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142A-2B16-496E-AD05-A526A805E511}">
  <dimension ref="A1:P28"/>
  <sheetViews>
    <sheetView workbookViewId="0">
      <selection activeCell="A16" sqref="A16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14</v>
      </c>
      <c r="B2" s="18">
        <v>1.9804049034175333E-2</v>
      </c>
      <c r="C2" s="18">
        <v>1.4184397163120567E-2</v>
      </c>
      <c r="D2" s="18">
        <v>6.0606060606060608E-2</v>
      </c>
      <c r="E2" s="18">
        <v>4.4117647058823532E-2</v>
      </c>
      <c r="F2" s="18">
        <v>1.1363636363636364E-2</v>
      </c>
      <c r="G2" s="18">
        <v>2.7027027027027029E-2</v>
      </c>
      <c r="H2" s="18">
        <v>2.0408163265306121E-2</v>
      </c>
      <c r="I2" s="8">
        <v>1.9804049034175333E-2</v>
      </c>
      <c r="J2" s="20">
        <v>1.9804049034175333E-2</v>
      </c>
      <c r="K2" s="20">
        <v>1.4184397163120567E-2</v>
      </c>
      <c r="L2" s="20">
        <v>6.0606060606060608E-2</v>
      </c>
      <c r="M2" s="20">
        <v>4.4117647058823532E-2</v>
      </c>
      <c r="N2" s="20">
        <v>1.1363636363636364E-2</v>
      </c>
      <c r="O2" s="20">
        <v>2.7027027027027029E-2</v>
      </c>
      <c r="P2" s="20">
        <v>2.0408163265306121E-2</v>
      </c>
    </row>
    <row r="3" spans="1:16" x14ac:dyDescent="0.3">
      <c r="A3" s="8" t="s">
        <v>10</v>
      </c>
      <c r="B3" s="18">
        <v>2.4780212976721148E-2</v>
      </c>
      <c r="C3" s="18">
        <v>0</v>
      </c>
      <c r="D3" s="18">
        <v>1.5151515151515152E-2</v>
      </c>
      <c r="E3" s="18">
        <v>0.11764705882352941</v>
      </c>
      <c r="F3" s="18">
        <v>2.8409090909090908E-2</v>
      </c>
      <c r="G3" s="18">
        <v>1.8018018018018018E-2</v>
      </c>
      <c r="H3" s="18">
        <v>4.0816326530612242E-2</v>
      </c>
      <c r="I3" s="8">
        <v>4.4584262010896478E-2</v>
      </c>
      <c r="J3" s="8">
        <f>J2+B3</f>
        <v>4.4584262010896478E-2</v>
      </c>
      <c r="K3" s="8">
        <f>K2+C3</f>
        <v>1.4184397163120567E-2</v>
      </c>
      <c r="L3" s="8">
        <f t="shared" ref="L3:P12" si="0">L2+D3</f>
        <v>7.575757575757576E-2</v>
      </c>
      <c r="M3" s="8">
        <f t="shared" si="0"/>
        <v>0.16176470588235295</v>
      </c>
      <c r="N3" s="8">
        <f t="shared" si="0"/>
        <v>3.9772727272727272E-2</v>
      </c>
      <c r="O3" s="8">
        <f t="shared" si="0"/>
        <v>4.5045045045045043E-2</v>
      </c>
      <c r="P3" s="8">
        <f t="shared" si="0"/>
        <v>6.1224489795918366E-2</v>
      </c>
    </row>
    <row r="4" spans="1:16" x14ac:dyDescent="0.3">
      <c r="A4" s="8" t="s">
        <v>7</v>
      </c>
      <c r="B4" s="18">
        <v>4.2285785042100052E-2</v>
      </c>
      <c r="C4" s="18">
        <v>4.9645390070921988E-2</v>
      </c>
      <c r="D4" s="18">
        <v>4.5454545454545456E-2</v>
      </c>
      <c r="E4" s="18">
        <v>7.3529411764705885E-2</v>
      </c>
      <c r="F4" s="18">
        <v>5.6818181818181816E-2</v>
      </c>
      <c r="G4" s="18">
        <v>6.3063063063063057E-2</v>
      </c>
      <c r="H4" s="18">
        <v>2.0408163265306121E-2</v>
      </c>
      <c r="I4" s="8">
        <v>8.687004705299653E-2</v>
      </c>
      <c r="J4" s="8">
        <f t="shared" ref="J4:K12" si="1">J3+B4</f>
        <v>8.687004705299653E-2</v>
      </c>
      <c r="K4" s="8">
        <f t="shared" si="1"/>
        <v>6.3829787234042562E-2</v>
      </c>
      <c r="L4" s="8">
        <f t="shared" si="0"/>
        <v>0.12121212121212122</v>
      </c>
      <c r="M4" s="8">
        <f t="shared" si="0"/>
        <v>0.23529411764705882</v>
      </c>
      <c r="N4" s="8">
        <f t="shared" si="0"/>
        <v>9.6590909090909088E-2</v>
      </c>
      <c r="O4" s="8">
        <f t="shared" si="0"/>
        <v>0.1081081081081081</v>
      </c>
      <c r="P4" s="8">
        <f t="shared" si="0"/>
        <v>8.1632653061224483E-2</v>
      </c>
    </row>
    <row r="5" spans="1:16" x14ac:dyDescent="0.3">
      <c r="A5" s="8" t="s">
        <v>6</v>
      </c>
      <c r="B5" s="18">
        <v>4.3214462605250123E-2</v>
      </c>
      <c r="C5" s="18">
        <v>5.6737588652482268E-2</v>
      </c>
      <c r="D5" s="18">
        <v>0</v>
      </c>
      <c r="E5" s="18">
        <v>1.4705882352941176E-2</v>
      </c>
      <c r="F5" s="18">
        <v>3.9772727272727272E-2</v>
      </c>
      <c r="G5" s="18">
        <v>2.7027027027027029E-2</v>
      </c>
      <c r="H5" s="18">
        <v>4.0816326530612242E-2</v>
      </c>
      <c r="I5" s="8">
        <v>0.13008450965824664</v>
      </c>
      <c r="J5" s="8">
        <f t="shared" si="1"/>
        <v>0.13008450965824664</v>
      </c>
      <c r="K5" s="8">
        <f t="shared" si="1"/>
        <v>0.12056737588652483</v>
      </c>
      <c r="L5" s="8">
        <f t="shared" si="0"/>
        <v>0.12121212121212122</v>
      </c>
      <c r="M5" s="8">
        <f t="shared" si="0"/>
        <v>0.25</v>
      </c>
      <c r="N5" s="8">
        <f t="shared" si="0"/>
        <v>0.13636363636363635</v>
      </c>
      <c r="O5" s="8">
        <f t="shared" si="0"/>
        <v>0.13513513513513514</v>
      </c>
      <c r="P5" s="8">
        <f t="shared" si="0"/>
        <v>0.12244897959183673</v>
      </c>
    </row>
    <row r="6" spans="1:16" x14ac:dyDescent="0.3">
      <c r="A6" s="8" t="s">
        <v>13</v>
      </c>
      <c r="B6" s="18">
        <v>5.5387877662209012E-2</v>
      </c>
      <c r="C6" s="18">
        <v>6.3829787234042548E-2</v>
      </c>
      <c r="D6" s="18">
        <v>4.5454545454545456E-2</v>
      </c>
      <c r="E6" s="18">
        <v>0.10294117647058823</v>
      </c>
      <c r="F6" s="18">
        <v>4.5454545454545456E-2</v>
      </c>
      <c r="G6" s="18">
        <v>5.4054054054054057E-2</v>
      </c>
      <c r="H6" s="18">
        <v>2.0408163265306121E-2</v>
      </c>
      <c r="I6" s="8">
        <v>0.18547238732045565</v>
      </c>
      <c r="J6" s="8">
        <f t="shared" si="1"/>
        <v>0.18547238732045565</v>
      </c>
      <c r="K6" s="8">
        <f t="shared" si="1"/>
        <v>0.18439716312056736</v>
      </c>
      <c r="L6" s="8">
        <f t="shared" si="0"/>
        <v>0.16666666666666669</v>
      </c>
      <c r="M6" s="8">
        <f t="shared" si="0"/>
        <v>0.3529411764705882</v>
      </c>
      <c r="N6" s="8">
        <f t="shared" si="0"/>
        <v>0.18181818181818182</v>
      </c>
      <c r="O6" s="8">
        <f t="shared" si="0"/>
        <v>0.1891891891891892</v>
      </c>
      <c r="P6" s="8">
        <f t="shared" si="0"/>
        <v>0.14285714285714285</v>
      </c>
    </row>
    <row r="7" spans="1:16" x14ac:dyDescent="0.3">
      <c r="A7" s="8" t="s">
        <v>15</v>
      </c>
      <c r="B7" s="18">
        <v>5.9458580980683504E-2</v>
      </c>
      <c r="C7" s="18">
        <v>7.0921985815602835E-3</v>
      </c>
      <c r="D7" s="18">
        <v>3.0303030303030304E-2</v>
      </c>
      <c r="E7" s="18">
        <v>8.8235294117647065E-2</v>
      </c>
      <c r="F7" s="18">
        <v>6.25E-2</v>
      </c>
      <c r="G7" s="18">
        <v>7.2072072072072071E-2</v>
      </c>
      <c r="H7" s="18">
        <v>8.1632653061224483E-2</v>
      </c>
      <c r="I7" s="8">
        <v>0.24493096830113914</v>
      </c>
      <c r="J7" s="8">
        <f t="shared" si="1"/>
        <v>0.24493096830113914</v>
      </c>
      <c r="K7" s="8">
        <f t="shared" si="1"/>
        <v>0.19148936170212766</v>
      </c>
      <c r="L7" s="8">
        <f t="shared" si="0"/>
        <v>0.19696969696969699</v>
      </c>
      <c r="M7" s="8">
        <f t="shared" si="0"/>
        <v>0.44117647058823528</v>
      </c>
      <c r="N7" s="8">
        <f t="shared" si="0"/>
        <v>0.24431818181818182</v>
      </c>
      <c r="O7" s="8">
        <f t="shared" si="0"/>
        <v>0.26126126126126126</v>
      </c>
      <c r="P7" s="8">
        <f t="shared" si="0"/>
        <v>0.22448979591836732</v>
      </c>
    </row>
    <row r="8" spans="1:16" x14ac:dyDescent="0.3">
      <c r="A8" s="8" t="s">
        <v>12</v>
      </c>
      <c r="B8" s="18">
        <v>6.297981674096087E-2</v>
      </c>
      <c r="C8" s="18">
        <v>9.9290780141843976E-2</v>
      </c>
      <c r="D8" s="18">
        <v>3.0303030303030304E-2</v>
      </c>
      <c r="E8" s="18">
        <v>5.8823529411764705E-2</v>
      </c>
      <c r="F8" s="18">
        <v>5.113636363636364E-2</v>
      </c>
      <c r="G8" s="18">
        <v>3.6036036036036036E-2</v>
      </c>
      <c r="H8" s="18">
        <v>0.10204081632653061</v>
      </c>
      <c r="I8" s="8">
        <v>0.30791078504210001</v>
      </c>
      <c r="J8" s="8">
        <f t="shared" si="1"/>
        <v>0.30791078504210001</v>
      </c>
      <c r="K8" s="8">
        <f t="shared" si="1"/>
        <v>0.29078014184397161</v>
      </c>
      <c r="L8" s="8">
        <f t="shared" si="0"/>
        <v>0.22727272727272729</v>
      </c>
      <c r="M8" s="8">
        <f t="shared" si="0"/>
        <v>0.5</v>
      </c>
      <c r="N8" s="8">
        <f t="shared" si="0"/>
        <v>0.29545454545454547</v>
      </c>
      <c r="O8" s="8">
        <f t="shared" si="0"/>
        <v>0.29729729729729731</v>
      </c>
      <c r="P8" s="8">
        <f t="shared" si="0"/>
        <v>0.32653061224489793</v>
      </c>
    </row>
    <row r="9" spans="1:16" x14ac:dyDescent="0.3">
      <c r="A9" s="8" t="s">
        <v>11</v>
      </c>
      <c r="B9" s="18">
        <v>8.5902674591381872E-2</v>
      </c>
      <c r="C9" s="18">
        <v>5.6737588652482268E-2</v>
      </c>
      <c r="D9" s="18">
        <v>0.10606060606060606</v>
      </c>
      <c r="E9" s="18">
        <v>0.13235294117647059</v>
      </c>
      <c r="F9" s="18">
        <v>7.9545454545454544E-2</v>
      </c>
      <c r="G9" s="18">
        <v>4.5045045045045043E-2</v>
      </c>
      <c r="H9" s="18">
        <v>0.14285714285714285</v>
      </c>
      <c r="I9" s="8">
        <v>0.39381345963348191</v>
      </c>
      <c r="J9" s="8">
        <f t="shared" si="1"/>
        <v>0.39381345963348191</v>
      </c>
      <c r="K9" s="8">
        <f t="shared" si="1"/>
        <v>0.34751773049645385</v>
      </c>
      <c r="L9" s="8">
        <f t="shared" si="0"/>
        <v>0.33333333333333337</v>
      </c>
      <c r="M9" s="8">
        <f t="shared" si="0"/>
        <v>0.63235294117647056</v>
      </c>
      <c r="N9" s="8">
        <f t="shared" si="0"/>
        <v>0.375</v>
      </c>
      <c r="O9" s="8">
        <f t="shared" si="0"/>
        <v>0.34234234234234234</v>
      </c>
      <c r="P9" s="8">
        <f t="shared" si="0"/>
        <v>0.46938775510204078</v>
      </c>
    </row>
    <row r="10" spans="1:16" x14ac:dyDescent="0.3">
      <c r="A10" s="8" t="s">
        <v>8</v>
      </c>
      <c r="B10" s="18">
        <v>0.15493437345220407</v>
      </c>
      <c r="C10" s="18">
        <v>0.1702127659574468</v>
      </c>
      <c r="D10" s="18">
        <v>0.13636363636363635</v>
      </c>
      <c r="E10" s="18">
        <v>0.14705882352941177</v>
      </c>
      <c r="F10" s="18">
        <v>0.17045454545454544</v>
      </c>
      <c r="G10" s="18">
        <v>0.12612612612612611</v>
      </c>
      <c r="H10" s="18">
        <v>6.1224489795918366E-2</v>
      </c>
      <c r="I10" s="8">
        <v>0.54874783308568598</v>
      </c>
      <c r="J10" s="8">
        <f t="shared" si="1"/>
        <v>0.54874783308568598</v>
      </c>
      <c r="K10" s="8">
        <f t="shared" si="1"/>
        <v>0.51773049645390068</v>
      </c>
      <c r="L10" s="8">
        <f t="shared" si="0"/>
        <v>0.46969696969696972</v>
      </c>
      <c r="M10" s="8">
        <f t="shared" si="0"/>
        <v>0.77941176470588236</v>
      </c>
      <c r="N10" s="8">
        <f t="shared" si="0"/>
        <v>0.54545454545454541</v>
      </c>
      <c r="O10" s="8">
        <f t="shared" si="0"/>
        <v>0.46846846846846846</v>
      </c>
      <c r="P10" s="8">
        <f t="shared" si="0"/>
        <v>0.53061224489795911</v>
      </c>
    </row>
    <row r="11" spans="1:16" x14ac:dyDescent="0.3">
      <c r="A11" s="8" t="s">
        <v>9</v>
      </c>
      <c r="B11" s="18">
        <v>0.1956955794947994</v>
      </c>
      <c r="C11" s="18">
        <v>0.21985815602836881</v>
      </c>
      <c r="D11" s="18">
        <v>0.10606060606060606</v>
      </c>
      <c r="E11" s="18">
        <v>4.4117647058823532E-2</v>
      </c>
      <c r="F11" s="18">
        <v>0.25568181818181818</v>
      </c>
      <c r="G11" s="18">
        <v>0.30630630630630629</v>
      </c>
      <c r="H11" s="18">
        <v>0.26530612244897961</v>
      </c>
      <c r="I11" s="8">
        <v>0.74444341258048541</v>
      </c>
      <c r="J11" s="8">
        <f t="shared" si="1"/>
        <v>0.74444341258048541</v>
      </c>
      <c r="K11" s="8">
        <f t="shared" si="1"/>
        <v>0.73758865248226946</v>
      </c>
      <c r="L11" s="8">
        <f t="shared" si="0"/>
        <v>0.5757575757575758</v>
      </c>
      <c r="M11" s="8">
        <f t="shared" si="0"/>
        <v>0.82352941176470584</v>
      </c>
      <c r="N11" s="8">
        <f t="shared" si="0"/>
        <v>0.80113636363636354</v>
      </c>
      <c r="O11" s="8">
        <f t="shared" si="0"/>
        <v>0.77477477477477474</v>
      </c>
      <c r="P11" s="8">
        <f t="shared" si="0"/>
        <v>0.79591836734693877</v>
      </c>
    </row>
    <row r="12" spans="1:16" x14ac:dyDescent="0.3">
      <c r="A12" s="8" t="s">
        <v>5</v>
      </c>
      <c r="B12" s="18">
        <v>0.25555658741951459</v>
      </c>
      <c r="C12" s="18">
        <v>0.26241134751773049</v>
      </c>
      <c r="D12" s="18">
        <v>0.42424242424242425</v>
      </c>
      <c r="E12" s="18">
        <v>0.17647058823529413</v>
      </c>
      <c r="F12" s="18">
        <v>0.19886363636363635</v>
      </c>
      <c r="G12" s="18">
        <v>0.22522522522522523</v>
      </c>
      <c r="H12" s="18">
        <v>0.20408163265306123</v>
      </c>
      <c r="I12" s="8">
        <v>1</v>
      </c>
      <c r="J12" s="8">
        <f t="shared" si="1"/>
        <v>1</v>
      </c>
      <c r="K12" s="8">
        <f t="shared" si="1"/>
        <v>1</v>
      </c>
      <c r="L12" s="8">
        <f t="shared" si="0"/>
        <v>1</v>
      </c>
      <c r="M12" s="8">
        <f t="shared" si="0"/>
        <v>1</v>
      </c>
      <c r="N12" s="8">
        <f t="shared" si="0"/>
        <v>0.99999999999999989</v>
      </c>
      <c r="O12" s="8">
        <f t="shared" si="0"/>
        <v>1</v>
      </c>
      <c r="P12" s="8">
        <f t="shared" si="0"/>
        <v>1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9" t="s">
        <v>108</v>
      </c>
      <c r="L15" s="9" t="s">
        <v>109</v>
      </c>
      <c r="M15" s="9" t="s">
        <v>110</v>
      </c>
      <c r="N15" s="9" t="s">
        <v>111</v>
      </c>
      <c r="O15" s="9" t="s">
        <v>112</v>
      </c>
      <c r="P15" s="9" t="s">
        <v>113</v>
      </c>
    </row>
    <row r="16" spans="1:16" x14ac:dyDescent="0.3">
      <c r="B16" s="8" t="s">
        <v>14</v>
      </c>
      <c r="C16" s="8">
        <f>C2-B2</f>
        <v>-5.6196518710547663E-3</v>
      </c>
      <c r="D16" s="8">
        <f>D2-B2</f>
        <v>4.0802011571885274E-2</v>
      </c>
      <c r="E16" s="8">
        <f>E2-B2</f>
        <v>2.4313598024648199E-2</v>
      </c>
      <c r="F16" s="8">
        <f>F2-B2</f>
        <v>-8.4404126705389694E-3</v>
      </c>
      <c r="G16" s="8">
        <f>G2-B2</f>
        <v>7.2229779928516952E-3</v>
      </c>
      <c r="H16" s="8">
        <f>H2-B2</f>
        <v>6.0411423113078747E-4</v>
      </c>
      <c r="J16" s="8" t="s">
        <v>14</v>
      </c>
      <c r="K16" s="7">
        <f>(J2-0) * ((K2+0))</f>
        <v>2.8090849693865718E-4</v>
      </c>
      <c r="L16" s="7">
        <f>(J2-0) * ((L2+0))</f>
        <v>1.2002453960106264E-3</v>
      </c>
      <c r="M16" s="7">
        <f>(J2-0) * ((M2+0))</f>
        <v>8.7370804562538244E-4</v>
      </c>
      <c r="N16" s="7">
        <f>(J2-0) * ((N2+0))</f>
        <v>2.2504601175199243E-4</v>
      </c>
      <c r="O16" s="7">
        <f>(J2-0) * ((O2+0))</f>
        <v>5.3524456849122527E-4</v>
      </c>
      <c r="P16" s="7">
        <f>(J2-0) * ((P2+0))</f>
        <v>4.041642660035782E-4</v>
      </c>
    </row>
    <row r="17" spans="2:16" x14ac:dyDescent="0.3">
      <c r="B17" s="8" t="s">
        <v>10</v>
      </c>
      <c r="C17" s="8">
        <f t="shared" ref="C17:C26" si="2">C3-B3</f>
        <v>-2.4780212976721148E-2</v>
      </c>
      <c r="D17" s="8">
        <f t="shared" ref="D17:D26" si="3">D3-B3</f>
        <v>-9.6286978252059958E-3</v>
      </c>
      <c r="E17" s="8">
        <f t="shared" ref="E17:E26" si="4">E3-B3</f>
        <v>9.2866845846808266E-2</v>
      </c>
      <c r="F17" s="8">
        <f t="shared" ref="F17:F26" si="5">F3-B3</f>
        <v>3.6288779323697604E-3</v>
      </c>
      <c r="G17" s="8">
        <f t="shared" ref="G17:G26" si="6">G3-B3</f>
        <v>-6.7621949587031299E-3</v>
      </c>
      <c r="H17" s="8">
        <f t="shared" ref="H17:H26" si="7">H3-B3</f>
        <v>1.6036113553891094E-2</v>
      </c>
      <c r="J17" s="8" t="s">
        <v>10</v>
      </c>
      <c r="K17" s="7">
        <f>(J3-J2) * ((K3+K2))</f>
        <v>7.0298476529705373E-4</v>
      </c>
      <c r="L17" s="7">
        <f>(J3-J2) * ((L3+L2))</f>
        <v>3.3791199513710647E-3</v>
      </c>
      <c r="M17" s="7">
        <f>(J3-J2) * ((M3+M2))</f>
        <v>5.101808554030824E-3</v>
      </c>
      <c r="N17" s="7">
        <f>(J3-J2) * ((N3+N2))</f>
        <v>1.2671699817641494E-3</v>
      </c>
      <c r="O17" s="7">
        <f>(J3-J2) * ((O3+O2))</f>
        <v>1.7859612956195418E-3</v>
      </c>
      <c r="P17" s="7">
        <f>(J3-J2) * ((P3+P2))</f>
        <v>2.0228745287119302E-3</v>
      </c>
    </row>
    <row r="18" spans="2:16" x14ac:dyDescent="0.3">
      <c r="B18" s="8" t="s">
        <v>7</v>
      </c>
      <c r="C18" s="8">
        <f t="shared" si="2"/>
        <v>7.3596050288219361E-3</v>
      </c>
      <c r="D18" s="8">
        <f t="shared" si="3"/>
        <v>3.1687604124454039E-3</v>
      </c>
      <c r="E18" s="8">
        <f t="shared" si="4"/>
        <v>3.1243626722605833E-2</v>
      </c>
      <c r="F18" s="8">
        <f t="shared" si="5"/>
        <v>1.4532396776081764E-2</v>
      </c>
      <c r="G18" s="8">
        <f t="shared" si="6"/>
        <v>2.0777278020963005E-2</v>
      </c>
      <c r="H18" s="8">
        <f t="shared" si="7"/>
        <v>-2.1877621776793931E-2</v>
      </c>
      <c r="J18" s="8" t="s">
        <v>7</v>
      </c>
      <c r="K18" s="7">
        <f t="shared" ref="K18:K26" si="8">(J4-J3) * ((K4+K3))</f>
        <v>3.2988910316531957E-3</v>
      </c>
      <c r="L18" s="7">
        <f t="shared" ref="L18:L26" si="9">(J4-J3) * ((L4+L3))</f>
        <v>8.3290182658681908E-3</v>
      </c>
      <c r="M18" s="7">
        <f t="shared" ref="M18:M26" si="10">(J4-J3) * ((M4+M3))</f>
        <v>1.6789944060833846E-2</v>
      </c>
      <c r="N18" s="7">
        <f t="shared" ref="N18:N26" si="11">(J4-J3) * ((N4+N3))</f>
        <v>5.766243414831825E-3</v>
      </c>
      <c r="O18" s="7">
        <f t="shared" ref="O18:O26" si="12">(J4-J3) * ((O4+O3))</f>
        <v>6.4762013127540614E-3</v>
      </c>
      <c r="P18" s="7">
        <f t="shared" ref="P18:P26" si="13">(J4-J3) * ((P4+P3))</f>
        <v>6.0408264345857216E-3</v>
      </c>
    </row>
    <row r="19" spans="2:16" x14ac:dyDescent="0.3">
      <c r="B19" s="8" t="s">
        <v>6</v>
      </c>
      <c r="C19" s="8">
        <f t="shared" si="2"/>
        <v>1.3523126047232145E-2</v>
      </c>
      <c r="D19" s="8">
        <f t="shared" si="3"/>
        <v>-4.3214462605250123E-2</v>
      </c>
      <c r="E19" s="8">
        <f t="shared" si="4"/>
        <v>-2.8508580252308947E-2</v>
      </c>
      <c r="F19" s="8">
        <f t="shared" si="5"/>
        <v>-3.4417353325228509E-3</v>
      </c>
      <c r="G19" s="8">
        <f t="shared" si="6"/>
        <v>-1.6187435578223094E-2</v>
      </c>
      <c r="H19" s="8">
        <f t="shared" si="7"/>
        <v>-2.3981360746378813E-3</v>
      </c>
      <c r="J19" s="8" t="s">
        <v>6</v>
      </c>
      <c r="K19" s="7">
        <f t="shared" si="8"/>
        <v>7.9686243101879644E-3</v>
      </c>
      <c r="L19" s="7">
        <f t="shared" si="9"/>
        <v>1.0476233358848511E-2</v>
      </c>
      <c r="M19" s="7">
        <f t="shared" si="10"/>
        <v>2.0971724499606669E-2</v>
      </c>
      <c r="N19" s="7">
        <f t="shared" si="11"/>
        <v>1.0067005493268491E-2</v>
      </c>
      <c r="O19" s="7">
        <f t="shared" si="12"/>
        <v>1.0511626039114891E-2</v>
      </c>
      <c r="P19" s="7">
        <f t="shared" si="13"/>
        <v>8.8192780827041038E-3</v>
      </c>
    </row>
    <row r="20" spans="2:16" x14ac:dyDescent="0.3">
      <c r="B20" s="8" t="s">
        <v>13</v>
      </c>
      <c r="C20" s="8">
        <f t="shared" si="2"/>
        <v>8.4419095718335363E-3</v>
      </c>
      <c r="D20" s="8">
        <f t="shared" si="3"/>
        <v>-9.9333322076635561E-3</v>
      </c>
      <c r="E20" s="8">
        <f t="shared" si="4"/>
        <v>4.7553298808379219E-2</v>
      </c>
      <c r="F20" s="8">
        <f t="shared" si="5"/>
        <v>-9.9333322076635561E-3</v>
      </c>
      <c r="G20" s="8">
        <f t="shared" si="6"/>
        <v>-1.3338236081549548E-3</v>
      </c>
      <c r="H20" s="8">
        <f t="shared" si="7"/>
        <v>-3.4979714396902895E-2</v>
      </c>
      <c r="J20" s="8" t="s">
        <v>13</v>
      </c>
      <c r="K20" s="7">
        <f t="shared" si="8"/>
        <v>1.6891338577836791E-2</v>
      </c>
      <c r="L20" s="7">
        <f t="shared" si="9"/>
        <v>1.5944995084575322E-2</v>
      </c>
      <c r="M20" s="7">
        <f t="shared" si="10"/>
        <v>3.3395632119861317E-2</v>
      </c>
      <c r="N20" s="7">
        <f t="shared" si="11"/>
        <v>1.7623415619793775E-2</v>
      </c>
      <c r="O20" s="7">
        <f t="shared" si="12"/>
        <v>1.7963635998554276E-2</v>
      </c>
      <c r="P20" s="7">
        <f t="shared" si="13"/>
        <v>1.4694743053239123E-2</v>
      </c>
    </row>
    <row r="21" spans="2:16" x14ac:dyDescent="0.3">
      <c r="B21" s="8" t="s">
        <v>15</v>
      </c>
      <c r="C21" s="8">
        <f t="shared" si="2"/>
        <v>-5.2366382399123224E-2</v>
      </c>
      <c r="D21" s="8">
        <f t="shared" si="3"/>
        <v>-2.91555506776532E-2</v>
      </c>
      <c r="E21" s="8">
        <f t="shared" si="4"/>
        <v>2.8776713136963561E-2</v>
      </c>
      <c r="F21" s="8">
        <f t="shared" si="5"/>
        <v>3.0414190193164964E-3</v>
      </c>
      <c r="G21" s="8">
        <f t="shared" si="6"/>
        <v>1.2613491091388568E-2</v>
      </c>
      <c r="H21" s="8">
        <f t="shared" si="7"/>
        <v>2.217407208054098E-2</v>
      </c>
      <c r="J21" s="8" t="s">
        <v>15</v>
      </c>
      <c r="K21" s="7">
        <f t="shared" si="8"/>
        <v>2.2349679375717905E-2</v>
      </c>
      <c r="L21" s="7">
        <f t="shared" si="9"/>
        <v>2.1621302174793997E-2</v>
      </c>
      <c r="M21" s="7">
        <f t="shared" si="10"/>
        <v>4.7217108425836887E-2</v>
      </c>
      <c r="N21" s="7">
        <f t="shared" si="11"/>
        <v>2.5337463486086714E-2</v>
      </c>
      <c r="O21" s="7">
        <f t="shared" si="12"/>
        <v>2.6783144585893464E-2</v>
      </c>
      <c r="P21" s="7">
        <f t="shared" si="13"/>
        <v>2.1841927707189852E-2</v>
      </c>
    </row>
    <row r="22" spans="2:16" x14ac:dyDescent="0.3">
      <c r="B22" s="8" t="s">
        <v>12</v>
      </c>
      <c r="C22" s="8">
        <f t="shared" si="2"/>
        <v>3.6310963400883106E-2</v>
      </c>
      <c r="D22" s="8">
        <f t="shared" si="3"/>
        <v>-3.2676786437930566E-2</v>
      </c>
      <c r="E22" s="8">
        <f t="shared" si="4"/>
        <v>-4.1562873291961649E-3</v>
      </c>
      <c r="F22" s="8">
        <f t="shared" si="5"/>
        <v>-1.184345310459723E-2</v>
      </c>
      <c r="G22" s="8">
        <f t="shared" si="6"/>
        <v>-2.6943780704924834E-2</v>
      </c>
      <c r="H22" s="8">
        <f t="shared" si="7"/>
        <v>3.9060999585569744E-2</v>
      </c>
      <c r="J22" s="8" t="s">
        <v>12</v>
      </c>
      <c r="K22" s="7">
        <f t="shared" si="8"/>
        <v>3.0373244953087509E-2</v>
      </c>
      <c r="L22" s="7">
        <f t="shared" si="9"/>
        <v>2.6718710132528859E-2</v>
      </c>
      <c r="M22" s="7">
        <f t="shared" si="10"/>
        <v>5.9275121638551406E-2</v>
      </c>
      <c r="N22" s="7">
        <f t="shared" si="11"/>
        <v>3.3994787445405017E-2</v>
      </c>
      <c r="O22" s="7">
        <f t="shared" si="12"/>
        <v>3.5177915657113284E-2</v>
      </c>
      <c r="P22" s="7">
        <f t="shared" si="13"/>
        <v>3.4703164326651902E-2</v>
      </c>
    </row>
    <row r="23" spans="2:16" x14ac:dyDescent="0.3">
      <c r="B23" s="8" t="s">
        <v>11</v>
      </c>
      <c r="C23" s="8">
        <f t="shared" si="2"/>
        <v>-2.9165085938899604E-2</v>
      </c>
      <c r="D23" s="8">
        <f t="shared" si="3"/>
        <v>2.0157931469224191E-2</v>
      </c>
      <c r="E23" s="8">
        <f t="shared" si="4"/>
        <v>4.6450266585088718E-2</v>
      </c>
      <c r="F23" s="8">
        <f t="shared" si="5"/>
        <v>-6.3572200459273281E-3</v>
      </c>
      <c r="G23" s="8">
        <f t="shared" si="6"/>
        <v>-4.0857629546336829E-2</v>
      </c>
      <c r="H23" s="8">
        <f t="shared" si="7"/>
        <v>5.6954468265760977E-2</v>
      </c>
      <c r="J23" s="8" t="s">
        <v>11</v>
      </c>
      <c r="K23" s="7">
        <f t="shared" si="8"/>
        <v>5.4831494420030991E-2</v>
      </c>
      <c r="L23" s="7">
        <f t="shared" si="9"/>
        <v>4.815755999819895E-2</v>
      </c>
      <c r="M23" s="7">
        <f t="shared" si="10"/>
        <v>9.7272146228476561E-2</v>
      </c>
      <c r="N23" s="7">
        <f t="shared" si="11"/>
        <v>5.7593838646494679E-2</v>
      </c>
      <c r="O23" s="7">
        <f t="shared" si="12"/>
        <v>5.4946755819712749E-2</v>
      </c>
      <c r="P23" s="7">
        <f t="shared" si="13"/>
        <v>6.8371516511508038E-2</v>
      </c>
    </row>
    <row r="24" spans="2:16" x14ac:dyDescent="0.3">
      <c r="B24" s="8" t="s">
        <v>8</v>
      </c>
      <c r="C24" s="8">
        <f t="shared" si="2"/>
        <v>1.5278392505242738E-2</v>
      </c>
      <c r="D24" s="8">
        <f t="shared" si="3"/>
        <v>-1.8570737088567713E-2</v>
      </c>
      <c r="E24" s="8">
        <f t="shared" si="4"/>
        <v>-7.8755499227922965E-3</v>
      </c>
      <c r="F24" s="8">
        <f t="shared" si="5"/>
        <v>1.5520172002341376E-2</v>
      </c>
      <c r="G24" s="8">
        <f t="shared" si="6"/>
        <v>-2.8808247326077951E-2</v>
      </c>
      <c r="H24" s="8">
        <f t="shared" si="7"/>
        <v>-9.37098836562857E-2</v>
      </c>
      <c r="J24" s="8" t="s">
        <v>8</v>
      </c>
      <c r="K24" s="7">
        <f t="shared" si="8"/>
        <v>0.13405669192318365</v>
      </c>
      <c r="L24" s="7">
        <f t="shared" si="9"/>
        <v>0.12441699686313358</v>
      </c>
      <c r="M24" s="7">
        <f t="shared" si="10"/>
        <v>0.2187308801678175</v>
      </c>
      <c r="N24" s="7">
        <f t="shared" si="11"/>
        <v>0.14261004829123328</v>
      </c>
      <c r="O24" s="7">
        <f t="shared" si="12"/>
        <v>0.12562246496124652</v>
      </c>
      <c r="P24" s="7">
        <f t="shared" si="13"/>
        <v>0.15493437345220404</v>
      </c>
    </row>
    <row r="25" spans="2:16" x14ac:dyDescent="0.3">
      <c r="B25" s="8" t="s">
        <v>9</v>
      </c>
      <c r="C25" s="8">
        <f t="shared" si="2"/>
        <v>2.4162576533569402E-2</v>
      </c>
      <c r="D25" s="8">
        <f t="shared" si="3"/>
        <v>-8.9634973434193341E-2</v>
      </c>
      <c r="E25" s="8">
        <f t="shared" si="4"/>
        <v>-0.15157793243597587</v>
      </c>
      <c r="F25" s="8">
        <f t="shared" si="5"/>
        <v>5.9986238687018772E-2</v>
      </c>
      <c r="G25" s="8">
        <f t="shared" si="6"/>
        <v>0.11061072681150688</v>
      </c>
      <c r="H25" s="8">
        <f t="shared" si="7"/>
        <v>6.9610542954180205E-2</v>
      </c>
      <c r="J25" s="8" t="s">
        <v>9</v>
      </c>
      <c r="K25" s="7">
        <f t="shared" si="8"/>
        <v>0.24566040830198224</v>
      </c>
      <c r="L25" s="7">
        <f t="shared" si="9"/>
        <v>0.20459083310819939</v>
      </c>
      <c r="M25" s="7">
        <f t="shared" si="10"/>
        <v>0.31368850242548735</v>
      </c>
      <c r="N25" s="7">
        <f t="shared" si="11"/>
        <v>0.2635218882969742</v>
      </c>
      <c r="O25" s="7">
        <f t="shared" si="12"/>
        <v>0.24329720693948037</v>
      </c>
      <c r="P25" s="7">
        <f t="shared" si="13"/>
        <v>0.2595961768808564</v>
      </c>
    </row>
    <row r="26" spans="2:16" x14ac:dyDescent="0.3">
      <c r="B26" s="8" t="s">
        <v>5</v>
      </c>
      <c r="C26" s="8">
        <f t="shared" si="2"/>
        <v>6.8547600982158952E-3</v>
      </c>
      <c r="D26" s="8">
        <f t="shared" si="3"/>
        <v>0.16868583682290966</v>
      </c>
      <c r="E26" s="8">
        <f t="shared" si="4"/>
        <v>-7.9085999184220462E-2</v>
      </c>
      <c r="F26" s="8">
        <f t="shared" si="5"/>
        <v>-5.6692951055878238E-2</v>
      </c>
      <c r="G26" s="8">
        <f t="shared" si="6"/>
        <v>-3.0331362194289363E-2</v>
      </c>
      <c r="H26" s="8">
        <f t="shared" si="7"/>
        <v>-5.1474954766453362E-2</v>
      </c>
      <c r="J26" s="8" t="s">
        <v>5</v>
      </c>
      <c r="K26" s="7">
        <f t="shared" si="8"/>
        <v>0.44405222636724168</v>
      </c>
      <c r="L26" s="7">
        <f t="shared" si="9"/>
        <v>0.40269522866105328</v>
      </c>
      <c r="M26" s="7">
        <f t="shared" si="10"/>
        <v>0.46601495352970307</v>
      </c>
      <c r="N26" s="7">
        <f t="shared" si="11"/>
        <v>0.46029226256810291</v>
      </c>
      <c r="O26" s="7">
        <f t="shared" si="12"/>
        <v>0.45355538487967906</v>
      </c>
      <c r="P26" s="7">
        <f t="shared" si="13"/>
        <v>0.45895876924320989</v>
      </c>
    </row>
    <row r="27" spans="2:16" x14ac:dyDescent="0.3">
      <c r="J27" s="11" t="s">
        <v>114</v>
      </c>
      <c r="K27" s="9">
        <f>SUM(K16:K26)</f>
        <v>0.96046649252315763</v>
      </c>
      <c r="L27" s="9">
        <f t="shared" ref="L27:P27" si="14">SUM(L16:L26)</f>
        <v>0.8675302429945817</v>
      </c>
      <c r="M27" s="9">
        <f t="shared" si="14"/>
        <v>1.2793315296958307</v>
      </c>
      <c r="N27" s="9">
        <f t="shared" si="14"/>
        <v>1.0182991692557071</v>
      </c>
      <c r="O27" s="9">
        <f t="shared" si="14"/>
        <v>0.97665554205765936</v>
      </c>
      <c r="P27" s="9">
        <f t="shared" si="14"/>
        <v>1.0303878144868648</v>
      </c>
    </row>
    <row r="28" spans="2:16" x14ac:dyDescent="0.3">
      <c r="J28" s="12" t="s">
        <v>115</v>
      </c>
      <c r="K28" s="10">
        <f>1-K27</f>
        <v>3.9533507476842367E-2</v>
      </c>
      <c r="L28" s="10">
        <f t="shared" ref="L28:P28" si="15">1-L27</f>
        <v>0.1324697570054183</v>
      </c>
      <c r="M28" s="10">
        <f t="shared" si="15"/>
        <v>-0.27933152969583075</v>
      </c>
      <c r="N28" s="10">
        <f t="shared" si="15"/>
        <v>-1.8299169255707071E-2</v>
      </c>
      <c r="O28" s="10">
        <f t="shared" si="15"/>
        <v>2.3344457942340635E-2</v>
      </c>
      <c r="P28" s="10">
        <f t="shared" si="15"/>
        <v>-3.0387814486864784E-2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615D-9ED9-49F0-B91A-B62412E74A83}">
  <dimension ref="A1:P29"/>
  <sheetViews>
    <sheetView workbookViewId="0">
      <selection activeCell="A15" sqref="A15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27</v>
      </c>
      <c r="B2" s="19">
        <v>4.1551531984850574E-3</v>
      </c>
      <c r="C2" s="19">
        <v>1.020408163265306E-2</v>
      </c>
      <c r="D2" s="19">
        <v>3.246753246753247E-3</v>
      </c>
      <c r="E2" s="19">
        <v>7.4074074074074077E-3</v>
      </c>
      <c r="F2" s="19">
        <v>3.4602076124567475E-3</v>
      </c>
      <c r="G2" s="19">
        <v>3.90625E-3</v>
      </c>
      <c r="H2" s="19">
        <v>7.874015748031496E-3</v>
      </c>
      <c r="I2" s="8">
        <v>4.1551531984850574E-3</v>
      </c>
      <c r="J2" s="20">
        <v>4.1551531984850574E-3</v>
      </c>
      <c r="K2" s="20">
        <v>1.020408163265306E-2</v>
      </c>
      <c r="L2" s="20">
        <v>3.246753246753247E-3</v>
      </c>
      <c r="M2" s="20">
        <v>7.4074074074074077E-3</v>
      </c>
      <c r="N2" s="20">
        <v>3.4602076124567475E-3</v>
      </c>
      <c r="O2" s="20">
        <v>3.90625E-3</v>
      </c>
      <c r="P2" s="20">
        <v>7.874015748031496E-3</v>
      </c>
    </row>
    <row r="3" spans="1:16" x14ac:dyDescent="0.3">
      <c r="A3" s="8" t="s">
        <v>19</v>
      </c>
      <c r="B3" s="19">
        <v>4.2122251233784047E-3</v>
      </c>
      <c r="C3" s="19">
        <v>8.7463556851311956E-3</v>
      </c>
      <c r="D3" s="19">
        <v>6.4935064935064939E-3</v>
      </c>
      <c r="E3" s="19">
        <v>2.4691358024691358E-3</v>
      </c>
      <c r="F3" s="19">
        <v>3.4602076124567475E-3</v>
      </c>
      <c r="G3" s="19">
        <v>1.953125E-3</v>
      </c>
      <c r="H3" s="19">
        <v>0</v>
      </c>
      <c r="I3" s="8">
        <v>8.3673783218634612E-3</v>
      </c>
      <c r="J3" s="8">
        <f t="shared" ref="J3:P13" si="0">J2+B3</f>
        <v>8.3673783218634612E-3</v>
      </c>
      <c r="K3" s="8">
        <f t="shared" si="0"/>
        <v>1.8950437317784258E-2</v>
      </c>
      <c r="L3" s="13">
        <f t="shared" si="0"/>
        <v>9.74025974025974E-3</v>
      </c>
      <c r="M3" s="8">
        <f t="shared" si="0"/>
        <v>9.876543209876543E-3</v>
      </c>
      <c r="N3" s="8">
        <f t="shared" si="0"/>
        <v>6.920415224913495E-3</v>
      </c>
      <c r="O3" s="8">
        <f t="shared" si="0"/>
        <v>5.859375E-3</v>
      </c>
      <c r="P3" s="8">
        <f t="shared" si="0"/>
        <v>7.874015748031496E-3</v>
      </c>
    </row>
    <row r="4" spans="1:16" x14ac:dyDescent="0.3">
      <c r="A4" s="8" t="s">
        <v>24</v>
      </c>
      <c r="B4" s="19">
        <v>4.3105156606947238E-3</v>
      </c>
      <c r="C4" s="19">
        <v>8.7463556851311956E-3</v>
      </c>
      <c r="D4" s="19">
        <v>3.246753246753247E-3</v>
      </c>
      <c r="E4" s="19">
        <v>0</v>
      </c>
      <c r="F4" s="19">
        <v>6.920415224913495E-3</v>
      </c>
      <c r="G4" s="19">
        <v>3.90625E-3</v>
      </c>
      <c r="H4" s="19">
        <v>2.6246719160104987E-3</v>
      </c>
      <c r="I4" s="8">
        <v>1.2677893982558185E-2</v>
      </c>
      <c r="J4" s="8">
        <f t="shared" si="0"/>
        <v>1.2677893982558185E-2</v>
      </c>
      <c r="K4" s="8">
        <f t="shared" si="0"/>
        <v>2.7696793002915453E-2</v>
      </c>
      <c r="L4" s="13">
        <f t="shared" si="0"/>
        <v>1.2987012987012988E-2</v>
      </c>
      <c r="M4" s="8">
        <f t="shared" si="0"/>
        <v>9.876543209876543E-3</v>
      </c>
      <c r="N4" s="8">
        <f t="shared" si="0"/>
        <v>1.384083044982699E-2</v>
      </c>
      <c r="O4" s="8">
        <f t="shared" si="0"/>
        <v>9.765625E-3</v>
      </c>
      <c r="P4" s="8">
        <f t="shared" si="0"/>
        <v>1.0498687664041995E-2</v>
      </c>
    </row>
    <row r="5" spans="1:16" x14ac:dyDescent="0.3">
      <c r="A5" s="8" t="s">
        <v>20</v>
      </c>
      <c r="B5" s="19">
        <v>4.9066002095807908E-3</v>
      </c>
      <c r="C5" s="19">
        <v>1.3119533527696793E-2</v>
      </c>
      <c r="D5" s="19">
        <v>1.2987012987012988E-2</v>
      </c>
      <c r="E5" s="19">
        <v>0</v>
      </c>
      <c r="F5" s="19">
        <v>1.7301038062283738E-3</v>
      </c>
      <c r="G5" s="19">
        <v>1.953125E-3</v>
      </c>
      <c r="H5" s="19">
        <v>0</v>
      </c>
      <c r="I5" s="8">
        <v>1.7584494192138977E-2</v>
      </c>
      <c r="J5" s="8">
        <f t="shared" si="0"/>
        <v>1.7584494192138977E-2</v>
      </c>
      <c r="K5" s="8">
        <f t="shared" si="0"/>
        <v>4.0816326530612249E-2</v>
      </c>
      <c r="L5" s="13">
        <f t="shared" si="0"/>
        <v>2.5974025974025976E-2</v>
      </c>
      <c r="M5" s="8">
        <f t="shared" si="0"/>
        <v>9.876543209876543E-3</v>
      </c>
      <c r="N5" s="8">
        <f t="shared" si="0"/>
        <v>1.5570934256055364E-2</v>
      </c>
      <c r="O5" s="8">
        <f t="shared" si="0"/>
        <v>1.171875E-2</v>
      </c>
      <c r="P5" s="8">
        <f t="shared" si="0"/>
        <v>1.0498687664041995E-2</v>
      </c>
    </row>
    <row r="6" spans="1:16" x14ac:dyDescent="0.3">
      <c r="A6" s="8" t="s">
        <v>18</v>
      </c>
      <c r="B6" s="19">
        <v>5.0984252904723174E-3</v>
      </c>
      <c r="C6" s="19">
        <v>7.2886297376093291E-3</v>
      </c>
      <c r="D6" s="19">
        <v>0</v>
      </c>
      <c r="E6" s="19">
        <v>9.876543209876543E-3</v>
      </c>
      <c r="F6" s="19">
        <v>1.5570934256055362E-2</v>
      </c>
      <c r="G6" s="19">
        <v>1.3671875E-2</v>
      </c>
      <c r="H6" s="19">
        <v>5.2493438320209973E-3</v>
      </c>
      <c r="I6" s="8">
        <v>2.2682919482611294E-2</v>
      </c>
      <c r="J6" s="8">
        <f t="shared" si="0"/>
        <v>2.2682919482611294E-2</v>
      </c>
      <c r="K6" s="8">
        <f t="shared" si="0"/>
        <v>4.8104956268221574E-2</v>
      </c>
      <c r="L6" s="13">
        <f t="shared" si="0"/>
        <v>2.5974025974025976E-2</v>
      </c>
      <c r="M6" s="8">
        <f t="shared" si="0"/>
        <v>1.9753086419753086E-2</v>
      </c>
      <c r="N6" s="8">
        <f t="shared" si="0"/>
        <v>3.1141868512110725E-2</v>
      </c>
      <c r="O6" s="8">
        <f t="shared" si="0"/>
        <v>2.5390625E-2</v>
      </c>
      <c r="P6" s="8">
        <f t="shared" si="0"/>
        <v>1.5748031496062992E-2</v>
      </c>
    </row>
    <row r="7" spans="1:16" x14ac:dyDescent="0.3">
      <c r="A7" s="8" t="s">
        <v>17</v>
      </c>
      <c r="B7" s="19">
        <v>5.425003527362025E-3</v>
      </c>
      <c r="C7" s="19">
        <v>8.7463556851311956E-3</v>
      </c>
      <c r="D7" s="19">
        <v>0</v>
      </c>
      <c r="E7" s="19">
        <v>7.4074074074074077E-3</v>
      </c>
      <c r="F7" s="19">
        <v>1.5570934256055362E-2</v>
      </c>
      <c r="G7" s="19">
        <v>3.90625E-3</v>
      </c>
      <c r="H7" s="19">
        <v>2.6246719160104987E-3</v>
      </c>
      <c r="I7" s="8">
        <v>2.8107923009973321E-2</v>
      </c>
      <c r="J7" s="8">
        <f t="shared" si="0"/>
        <v>2.8107923009973321E-2</v>
      </c>
      <c r="K7" s="8">
        <f t="shared" si="0"/>
        <v>5.6851311953352773E-2</v>
      </c>
      <c r="L7" s="13">
        <f t="shared" si="0"/>
        <v>2.5974025974025976E-2</v>
      </c>
      <c r="M7" s="8">
        <f t="shared" si="0"/>
        <v>2.7160493827160494E-2</v>
      </c>
      <c r="N7" s="8">
        <f t="shared" si="0"/>
        <v>4.6712802768166084E-2</v>
      </c>
      <c r="O7" s="8">
        <f t="shared" si="0"/>
        <v>2.9296875E-2</v>
      </c>
      <c r="P7" s="8">
        <f t="shared" si="0"/>
        <v>1.8372703412073491E-2</v>
      </c>
    </row>
    <row r="8" spans="1:16" x14ac:dyDescent="0.3">
      <c r="A8" s="8" t="s">
        <v>21</v>
      </c>
      <c r="B8" s="19">
        <v>6.2335224633511049E-3</v>
      </c>
      <c r="C8" s="19">
        <v>4.3731778425655978E-3</v>
      </c>
      <c r="D8" s="19">
        <v>9.74025974025974E-3</v>
      </c>
      <c r="E8" s="19">
        <v>2.4691358024691358E-3</v>
      </c>
      <c r="F8" s="19">
        <v>6.920415224913495E-3</v>
      </c>
      <c r="G8" s="19">
        <v>7.8125E-3</v>
      </c>
      <c r="H8" s="19">
        <v>2.6246719160104987E-3</v>
      </c>
      <c r="I8" s="8">
        <v>3.4341445473324426E-2</v>
      </c>
      <c r="J8" s="8">
        <f t="shared" si="0"/>
        <v>3.4341445473324426E-2</v>
      </c>
      <c r="K8" s="8">
        <f t="shared" si="0"/>
        <v>6.1224489795918373E-2</v>
      </c>
      <c r="L8" s="13">
        <f t="shared" si="0"/>
        <v>3.5714285714285712E-2</v>
      </c>
      <c r="M8" s="8">
        <f t="shared" si="0"/>
        <v>2.9629629629629631E-2</v>
      </c>
      <c r="N8" s="8">
        <f t="shared" si="0"/>
        <v>5.3633217993079581E-2</v>
      </c>
      <c r="O8" s="8">
        <f t="shared" si="0"/>
        <v>3.7109375E-2</v>
      </c>
      <c r="P8" s="8">
        <f t="shared" si="0"/>
        <v>2.0997375328083989E-2</v>
      </c>
    </row>
    <row r="9" spans="1:16" x14ac:dyDescent="0.3">
      <c r="A9" s="8" t="s">
        <v>26</v>
      </c>
      <c r="B9" s="19">
        <v>6.3175450194440878E-3</v>
      </c>
      <c r="C9" s="19">
        <v>2.9154518950437317E-3</v>
      </c>
      <c r="D9" s="19">
        <v>3.246753246753247E-3</v>
      </c>
      <c r="E9" s="19">
        <v>2.4691358024691358E-3</v>
      </c>
      <c r="F9" s="19">
        <v>5.1903114186851208E-3</v>
      </c>
      <c r="G9" s="19">
        <v>1.953125E-3</v>
      </c>
      <c r="H9" s="19">
        <v>5.2493438320209973E-3</v>
      </c>
      <c r="I9" s="8">
        <v>4.0658990492768513E-2</v>
      </c>
      <c r="J9" s="8">
        <f t="shared" si="0"/>
        <v>4.0658990492768513E-2</v>
      </c>
      <c r="K9" s="8">
        <f t="shared" si="0"/>
        <v>6.4139941690962099E-2</v>
      </c>
      <c r="L9" s="13">
        <f t="shared" si="0"/>
        <v>3.896103896103896E-2</v>
      </c>
      <c r="M9" s="8">
        <f t="shared" si="0"/>
        <v>3.2098765432098768E-2</v>
      </c>
      <c r="N9" s="8">
        <f t="shared" si="0"/>
        <v>5.8823529411764705E-2</v>
      </c>
      <c r="O9" s="8">
        <f t="shared" si="0"/>
        <v>3.90625E-2</v>
      </c>
      <c r="P9" s="8">
        <f t="shared" si="0"/>
        <v>2.6246719160104987E-2</v>
      </c>
    </row>
    <row r="10" spans="1:16" x14ac:dyDescent="0.3">
      <c r="A10" s="8" t="s">
        <v>22</v>
      </c>
      <c r="B10" s="19">
        <v>6.3635196256081727E-3</v>
      </c>
      <c r="C10" s="19">
        <v>7.2886297376093291E-3</v>
      </c>
      <c r="D10" s="19">
        <v>3.246753246753247E-3</v>
      </c>
      <c r="E10" s="19">
        <v>0</v>
      </c>
      <c r="F10" s="19">
        <v>5.1903114186851208E-3</v>
      </c>
      <c r="G10" s="19">
        <v>0</v>
      </c>
      <c r="H10" s="19">
        <v>5.2493438320209973E-3</v>
      </c>
      <c r="I10" s="8">
        <v>4.7022510118376687E-2</v>
      </c>
      <c r="J10" s="8">
        <f t="shared" si="0"/>
        <v>4.7022510118376687E-2</v>
      </c>
      <c r="K10" s="8">
        <f t="shared" si="0"/>
        <v>7.1428571428571425E-2</v>
      </c>
      <c r="L10" s="13">
        <f t="shared" si="0"/>
        <v>4.2207792207792208E-2</v>
      </c>
      <c r="M10" s="8">
        <f t="shared" si="0"/>
        <v>3.2098765432098768E-2</v>
      </c>
      <c r="N10" s="8">
        <f t="shared" si="0"/>
        <v>6.4013840830449822E-2</v>
      </c>
      <c r="O10" s="8">
        <f t="shared" si="0"/>
        <v>3.90625E-2</v>
      </c>
      <c r="P10" s="8">
        <f t="shared" si="0"/>
        <v>3.1496062992125984E-2</v>
      </c>
    </row>
    <row r="11" spans="1:16" x14ac:dyDescent="0.3">
      <c r="A11" s="8" t="s">
        <v>25</v>
      </c>
      <c r="B11" s="19">
        <v>1.4210909298443363E-2</v>
      </c>
      <c r="C11" s="19">
        <v>2.3323615160349854E-2</v>
      </c>
      <c r="D11" s="19">
        <v>1.948051948051948E-2</v>
      </c>
      <c r="E11" s="19">
        <v>3.4567901234567898E-2</v>
      </c>
      <c r="F11" s="19">
        <v>1.2110726643598616E-2</v>
      </c>
      <c r="G11" s="19">
        <v>1.3671875E-2</v>
      </c>
      <c r="H11" s="19">
        <v>1.0498687664041995E-2</v>
      </c>
      <c r="I11" s="8">
        <v>6.1233419416820048E-2</v>
      </c>
      <c r="J11" s="8">
        <f t="shared" si="0"/>
        <v>6.1233419416820048E-2</v>
      </c>
      <c r="K11" s="8">
        <f t="shared" si="0"/>
        <v>9.4752186588921275E-2</v>
      </c>
      <c r="L11" s="13">
        <f t="shared" si="0"/>
        <v>6.1688311688311688E-2</v>
      </c>
      <c r="M11" s="8">
        <f t="shared" si="0"/>
        <v>6.6666666666666666E-2</v>
      </c>
      <c r="N11" s="8">
        <f t="shared" si="0"/>
        <v>7.6124567474048443E-2</v>
      </c>
      <c r="O11" s="8">
        <f t="shared" si="0"/>
        <v>5.2734375E-2</v>
      </c>
      <c r="P11" s="8">
        <f t="shared" si="0"/>
        <v>4.1994750656167978E-2</v>
      </c>
    </row>
    <row r="12" spans="1:16" x14ac:dyDescent="0.3">
      <c r="A12" s="8" t="s">
        <v>23</v>
      </c>
      <c r="B12" s="19">
        <v>2.3187054819169193E-2</v>
      </c>
      <c r="C12" s="19">
        <v>2.1865889212827987E-2</v>
      </c>
      <c r="D12" s="19">
        <v>1.948051948051948E-2</v>
      </c>
      <c r="E12" s="19">
        <v>9.876543209876543E-3</v>
      </c>
      <c r="F12" s="19">
        <v>1.5570934256055362E-2</v>
      </c>
      <c r="G12" s="19">
        <v>3.7109375E-2</v>
      </c>
      <c r="H12" s="19">
        <v>1.3123359580052493E-2</v>
      </c>
      <c r="I12" s="8">
        <v>8.4420474235989237E-2</v>
      </c>
      <c r="J12" s="8">
        <f t="shared" si="0"/>
        <v>8.4420474235989237E-2</v>
      </c>
      <c r="K12" s="8">
        <f t="shared" si="0"/>
        <v>0.11661807580174927</v>
      </c>
      <c r="L12" s="13">
        <f t="shared" si="0"/>
        <v>8.1168831168831168E-2</v>
      </c>
      <c r="M12" s="8">
        <f t="shared" si="0"/>
        <v>7.6543209876543214E-2</v>
      </c>
      <c r="N12" s="8">
        <f t="shared" si="0"/>
        <v>9.1695501730103809E-2</v>
      </c>
      <c r="O12" s="8">
        <f t="shared" si="0"/>
        <v>8.984375E-2</v>
      </c>
      <c r="P12" s="8">
        <f t="shared" si="0"/>
        <v>5.5118110236220472E-2</v>
      </c>
    </row>
    <row r="13" spans="1:16" x14ac:dyDescent="0.3">
      <c r="A13" s="8" t="s">
        <v>16</v>
      </c>
      <c r="B13" s="19">
        <v>0.9155795257640108</v>
      </c>
      <c r="C13" s="19">
        <v>0.88338192419825068</v>
      </c>
      <c r="D13" s="19">
        <v>0.91883116883116878</v>
      </c>
      <c r="E13" s="19">
        <v>0.92345679012345683</v>
      </c>
      <c r="F13" s="19">
        <v>0.90830449826989623</v>
      </c>
      <c r="G13" s="19">
        <v>0.91015625</v>
      </c>
      <c r="H13" s="19">
        <v>0.94488188976377951</v>
      </c>
      <c r="I13" s="8">
        <v>1</v>
      </c>
      <c r="J13" s="8">
        <f t="shared" si="0"/>
        <v>1</v>
      </c>
      <c r="K13" s="8">
        <f t="shared" si="0"/>
        <v>1</v>
      </c>
      <c r="L13" s="13">
        <f t="shared" si="0"/>
        <v>1</v>
      </c>
      <c r="M13" s="8">
        <f t="shared" si="0"/>
        <v>1</v>
      </c>
      <c r="N13" s="8">
        <f t="shared" si="0"/>
        <v>1</v>
      </c>
      <c r="O13" s="8">
        <f t="shared" si="0"/>
        <v>1</v>
      </c>
      <c r="P13" s="8">
        <f t="shared" si="0"/>
        <v>1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9" t="s">
        <v>108</v>
      </c>
      <c r="L15" s="9" t="s">
        <v>109</v>
      </c>
      <c r="M15" s="9" t="s">
        <v>110</v>
      </c>
      <c r="N15" s="9" t="s">
        <v>111</v>
      </c>
      <c r="O15" s="9" t="s">
        <v>112</v>
      </c>
      <c r="P15" s="9" t="s">
        <v>113</v>
      </c>
    </row>
    <row r="16" spans="1:16" x14ac:dyDescent="0.3">
      <c r="B16" s="8" t="s">
        <v>27</v>
      </c>
      <c r="C16" s="8">
        <f>C2-B2</f>
        <v>6.0489284341680031E-3</v>
      </c>
      <c r="D16" s="8">
        <f>D2-B2</f>
        <v>-9.0839995173181039E-4</v>
      </c>
      <c r="E16" s="8">
        <f>E2-B2</f>
        <v>3.2522542089223503E-3</v>
      </c>
      <c r="F16" s="8">
        <f>F2-B2</f>
        <v>-6.9494558602830984E-4</v>
      </c>
      <c r="G16" s="8">
        <f>G2-B2</f>
        <v>-2.4890319848505735E-4</v>
      </c>
      <c r="H16" s="8">
        <f>H2-B2</f>
        <v>3.7188625495464386E-3</v>
      </c>
      <c r="J16" s="8" t="s">
        <v>27</v>
      </c>
      <c r="K16" s="7">
        <f>($J2-0) * ((K2+0))</f>
        <v>4.239952243352099E-5</v>
      </c>
      <c r="L16" s="7">
        <f t="shared" ref="L16:P16" si="1">($J2-0) * ((L2+0))</f>
        <v>1.3490757137938499E-5</v>
      </c>
      <c r="M16" s="7">
        <f t="shared" si="1"/>
        <v>3.0778912581370798E-5</v>
      </c>
      <c r="N16" s="7">
        <f t="shared" si="1"/>
        <v>1.4377692728321999E-5</v>
      </c>
      <c r="O16" s="7">
        <f t="shared" si="1"/>
        <v>1.6231067181582255E-5</v>
      </c>
      <c r="P16" s="7">
        <f t="shared" si="1"/>
        <v>3.2717741720354785E-5</v>
      </c>
    </row>
    <row r="17" spans="2:16" x14ac:dyDescent="0.3">
      <c r="B17" s="8" t="s">
        <v>19</v>
      </c>
      <c r="C17" s="8">
        <f t="shared" ref="C17:C27" si="2">C3-B3</f>
        <v>4.5341305617527909E-3</v>
      </c>
      <c r="D17" s="8">
        <f t="shared" ref="D17:D27" si="3">D3-B3</f>
        <v>2.2812813701280892E-3</v>
      </c>
      <c r="E17" s="8">
        <f t="shared" ref="E17:E27" si="4">E3-B3</f>
        <v>-1.743089320909269E-3</v>
      </c>
      <c r="F17" s="8">
        <f t="shared" ref="F17:F27" si="5">F3-B3</f>
        <v>-7.520175109216572E-4</v>
      </c>
      <c r="G17" s="8">
        <f t="shared" ref="G17:G27" si="6">G3-B3</f>
        <v>-2.2591001233784047E-3</v>
      </c>
      <c r="H17" s="8">
        <f t="shared" ref="H17:H27" si="7">H3-B3</f>
        <v>-4.2122251233784047E-3</v>
      </c>
      <c r="J17" s="8" t="s">
        <v>19</v>
      </c>
      <c r="K17" s="7">
        <f>($J3-$J2) * ((K3+K2))</f>
        <v>1.2280539718304383E-4</v>
      </c>
      <c r="L17" s="7">
        <f t="shared" ref="L17:P17" si="8">($J3-$J2) * ((L3+L2))</f>
        <v>5.4704222381537715E-5</v>
      </c>
      <c r="M17" s="7">
        <f t="shared" si="8"/>
        <v>7.2803891021355142E-5</v>
      </c>
      <c r="N17" s="7">
        <f t="shared" si="8"/>
        <v>4.3725520311886545E-5</v>
      </c>
      <c r="O17" s="7">
        <f t="shared" si="8"/>
        <v>4.1135010970492227E-5</v>
      </c>
      <c r="P17" s="7">
        <f t="shared" si="8"/>
        <v>6.6334253911470929E-5</v>
      </c>
    </row>
    <row r="18" spans="2:16" x14ac:dyDescent="0.3">
      <c r="B18" s="8" t="s">
        <v>24</v>
      </c>
      <c r="C18" s="8">
        <f t="shared" si="2"/>
        <v>4.4358400244364719E-3</v>
      </c>
      <c r="D18" s="8">
        <f t="shared" si="3"/>
        <v>-1.0637624139414768E-3</v>
      </c>
      <c r="E18" s="8">
        <f t="shared" si="4"/>
        <v>-4.3105156606947238E-3</v>
      </c>
      <c r="F18" s="8">
        <f t="shared" si="5"/>
        <v>2.6098995642187713E-3</v>
      </c>
      <c r="G18" s="8">
        <f t="shared" si="6"/>
        <v>-4.0426566069472376E-4</v>
      </c>
      <c r="H18" s="8">
        <f t="shared" si="7"/>
        <v>-1.6858437446842251E-3</v>
      </c>
      <c r="J18" s="8" t="s">
        <v>24</v>
      </c>
      <c r="K18" s="7">
        <f t="shared" ref="K18:P27" si="9">($J4-$J3) * ((K4+K3))</f>
        <v>2.0107361682540989E-4</v>
      </c>
      <c r="L18" s="7">
        <f t="shared" si="9"/>
        <v>9.7966265015789184E-5</v>
      </c>
      <c r="M18" s="7">
        <f t="shared" si="9"/>
        <v>8.5145988359401942E-5</v>
      </c>
      <c r="N18" s="7">
        <f t="shared" si="9"/>
        <v>8.9491674616499451E-5</v>
      </c>
      <c r="O18" s="7">
        <f t="shared" si="9"/>
        <v>6.7351807198355059E-5</v>
      </c>
      <c r="P18" s="7">
        <f t="shared" si="9"/>
        <v>7.9195825787042171E-5</v>
      </c>
    </row>
    <row r="19" spans="2:16" x14ac:dyDescent="0.3">
      <c r="B19" s="8" t="s">
        <v>20</v>
      </c>
      <c r="C19" s="8">
        <f t="shared" si="2"/>
        <v>8.2129333181160027E-3</v>
      </c>
      <c r="D19" s="8">
        <f t="shared" si="3"/>
        <v>8.0804127774321971E-3</v>
      </c>
      <c r="E19" s="8">
        <f t="shared" si="4"/>
        <v>-4.9066002095807908E-3</v>
      </c>
      <c r="F19" s="8">
        <f t="shared" si="5"/>
        <v>-3.176496403352417E-3</v>
      </c>
      <c r="G19" s="8">
        <f t="shared" si="6"/>
        <v>-2.9534752095807908E-3</v>
      </c>
      <c r="H19" s="8">
        <f t="shared" si="7"/>
        <v>-4.9066002095807908E-3</v>
      </c>
      <c r="J19" s="8" t="s">
        <v>20</v>
      </c>
      <c r="K19" s="7">
        <f t="shared" si="9"/>
        <v>3.3616648666224094E-4</v>
      </c>
      <c r="L19" s="7">
        <f t="shared" si="9"/>
        <v>1.9116624193171917E-4</v>
      </c>
      <c r="M19" s="7">
        <f t="shared" si="9"/>
        <v>9.6920497967027992E-5</v>
      </c>
      <c r="N19" s="7">
        <f t="shared" si="9"/>
        <v>1.443117708700233E-4</v>
      </c>
      <c r="O19" s="7">
        <f t="shared" si="9"/>
        <v>1.0541523887771234E-4</v>
      </c>
      <c r="P19" s="7">
        <f t="shared" si="9"/>
        <v>1.0302572618542346E-4</v>
      </c>
    </row>
    <row r="20" spans="2:16" x14ac:dyDescent="0.3">
      <c r="B20" s="8" t="s">
        <v>18</v>
      </c>
      <c r="C20" s="8">
        <f t="shared" si="2"/>
        <v>2.1902044471370117E-3</v>
      </c>
      <c r="D20" s="8">
        <f t="shared" si="3"/>
        <v>-5.0984252904723174E-3</v>
      </c>
      <c r="E20" s="8">
        <f t="shared" si="4"/>
        <v>4.7781179194042256E-3</v>
      </c>
      <c r="F20" s="8">
        <f t="shared" si="5"/>
        <v>1.0472508965583046E-2</v>
      </c>
      <c r="G20" s="8">
        <f t="shared" si="6"/>
        <v>8.5734497095276835E-3</v>
      </c>
      <c r="H20" s="8">
        <f t="shared" si="7"/>
        <v>1.5091854154867992E-4</v>
      </c>
      <c r="J20" s="8" t="s">
        <v>18</v>
      </c>
      <c r="K20" s="7">
        <f t="shared" si="9"/>
        <v>4.5335851708281532E-4</v>
      </c>
      <c r="L20" s="7">
        <f t="shared" si="9"/>
        <v>2.6485326184271776E-4</v>
      </c>
      <c r="M20" s="7">
        <f t="shared" si="9"/>
        <v>1.510644530510316E-4</v>
      </c>
      <c r="N20" s="7">
        <f t="shared" si="9"/>
        <v>2.3816173502206323E-4</v>
      </c>
      <c r="O20" s="7">
        <f t="shared" si="9"/>
        <v>1.8919937601362112E-4</v>
      </c>
      <c r="P20" s="7">
        <f t="shared" si="9"/>
        <v>1.3381693675780358E-4</v>
      </c>
    </row>
    <row r="21" spans="2:16" x14ac:dyDescent="0.3">
      <c r="B21" s="8" t="s">
        <v>17</v>
      </c>
      <c r="C21" s="8">
        <f t="shared" si="2"/>
        <v>3.3213521577691706E-3</v>
      </c>
      <c r="D21" s="8">
        <f t="shared" si="3"/>
        <v>-5.425003527362025E-3</v>
      </c>
      <c r="E21" s="8">
        <f t="shared" si="4"/>
        <v>1.9824038800453827E-3</v>
      </c>
      <c r="F21" s="8">
        <f t="shared" si="5"/>
        <v>1.0145930728693337E-2</v>
      </c>
      <c r="G21" s="8">
        <f t="shared" si="6"/>
        <v>-1.518753527362025E-3</v>
      </c>
      <c r="H21" s="8">
        <f t="shared" si="7"/>
        <v>-2.8003316113515263E-3</v>
      </c>
      <c r="J21" s="8" t="s">
        <v>17</v>
      </c>
      <c r="K21" s="7">
        <f t="shared" si="9"/>
        <v>5.6938812532079583E-4</v>
      </c>
      <c r="L21" s="7">
        <f t="shared" si="9"/>
        <v>2.8181836505776763E-4</v>
      </c>
      <c r="M21" s="7">
        <f t="shared" si="9"/>
        <v>2.545063383206877E-4</v>
      </c>
      <c r="N21" s="7">
        <f t="shared" si="9"/>
        <v>4.2236186631711283E-4</v>
      </c>
      <c r="O21" s="7">
        <f t="shared" si="9"/>
        <v>2.9667988040261084E-4</v>
      </c>
      <c r="P21" s="7">
        <f t="shared" si="9"/>
        <v>1.8510510723282505E-4</v>
      </c>
    </row>
    <row r="22" spans="2:16" x14ac:dyDescent="0.3">
      <c r="B22" s="8" t="s">
        <v>21</v>
      </c>
      <c r="C22" s="8">
        <f t="shared" si="2"/>
        <v>-1.8603446207855071E-3</v>
      </c>
      <c r="D22" s="8">
        <f t="shared" si="3"/>
        <v>3.5067372769086351E-3</v>
      </c>
      <c r="E22" s="8">
        <f t="shared" si="4"/>
        <v>-3.7643866608819691E-3</v>
      </c>
      <c r="F22" s="8">
        <f t="shared" si="5"/>
        <v>6.8689276156239012E-4</v>
      </c>
      <c r="G22" s="8">
        <f t="shared" si="6"/>
        <v>1.5789775366488951E-3</v>
      </c>
      <c r="H22" s="8">
        <f t="shared" si="7"/>
        <v>-3.6088505473406063E-3</v>
      </c>
      <c r="J22" s="8" t="s">
        <v>21</v>
      </c>
      <c r="K22" s="7">
        <f t="shared" si="9"/>
        <v>7.360281625822735E-4</v>
      </c>
      <c r="L22" s="7">
        <f t="shared" si="9"/>
        <v>3.845354766352955E-4</v>
      </c>
      <c r="M22" s="7">
        <f t="shared" si="9"/>
        <v>3.5400251026438377E-4</v>
      </c>
      <c r="N22" s="7">
        <f t="shared" si="9"/>
        <v>6.2550917452312122E-4</v>
      </c>
      <c r="O22" s="7">
        <f t="shared" si="9"/>
        <v>4.1394485108190934E-4</v>
      </c>
      <c r="P22" s="7">
        <f t="shared" si="9"/>
        <v>2.4541427021067345E-4</v>
      </c>
    </row>
    <row r="23" spans="2:16" x14ac:dyDescent="0.3">
      <c r="B23" s="8" t="s">
        <v>26</v>
      </c>
      <c r="C23" s="8">
        <f t="shared" si="2"/>
        <v>-3.402093124400356E-3</v>
      </c>
      <c r="D23" s="8">
        <f t="shared" si="3"/>
        <v>-3.0707917726908408E-3</v>
      </c>
      <c r="E23" s="8">
        <f t="shared" si="4"/>
        <v>-3.848409216974952E-3</v>
      </c>
      <c r="F23" s="8">
        <f t="shared" si="5"/>
        <v>-1.1272336007589669E-3</v>
      </c>
      <c r="G23" s="8">
        <f t="shared" si="6"/>
        <v>-4.3644200194440878E-3</v>
      </c>
      <c r="H23" s="8">
        <f t="shared" si="7"/>
        <v>-1.0682011874230905E-3</v>
      </c>
      <c r="J23" s="8" t="s">
        <v>26</v>
      </c>
      <c r="K23" s="7">
        <f t="shared" si="9"/>
        <v>7.9199543975538107E-4</v>
      </c>
      <c r="L23" s="7">
        <f t="shared" si="9"/>
        <v>4.7176472547796742E-4</v>
      </c>
      <c r="M23" s="7">
        <f t="shared" si="9"/>
        <v>3.8997191478049915E-4</v>
      </c>
      <c r="N23" s="7">
        <f t="shared" si="9"/>
        <v>7.1045056447035571E-4</v>
      </c>
      <c r="O23" s="7">
        <f t="shared" si="9"/>
        <v>4.8121924952796748E-4</v>
      </c>
      <c r="P23" s="7">
        <f t="shared" si="9"/>
        <v>2.9846669383200406E-4</v>
      </c>
    </row>
    <row r="24" spans="2:16" x14ac:dyDescent="0.3">
      <c r="B24" s="8" t="s">
        <v>22</v>
      </c>
      <c r="C24" s="8">
        <f t="shared" si="2"/>
        <v>9.2511011200115643E-4</v>
      </c>
      <c r="D24" s="8">
        <f t="shared" si="3"/>
        <v>-3.1167663788549257E-3</v>
      </c>
      <c r="E24" s="8">
        <f t="shared" si="4"/>
        <v>-6.3635196256081727E-3</v>
      </c>
      <c r="F24" s="8">
        <f t="shared" si="5"/>
        <v>-1.1732082069230518E-3</v>
      </c>
      <c r="G24" s="8">
        <f t="shared" si="6"/>
        <v>-6.3635196256081727E-3</v>
      </c>
      <c r="H24" s="8">
        <f t="shared" si="7"/>
        <v>-1.1141757935871754E-3</v>
      </c>
      <c r="J24" s="8" t="s">
        <v>22</v>
      </c>
      <c r="K24" s="7">
        <f t="shared" si="9"/>
        <v>8.6269289385067086E-4</v>
      </c>
      <c r="L24" s="7">
        <f t="shared" si="9"/>
        <v>5.1651945013053366E-4</v>
      </c>
      <c r="M24" s="7">
        <f t="shared" si="9"/>
        <v>4.0852224756990753E-4</v>
      </c>
      <c r="N24" s="7">
        <f t="shared" si="9"/>
        <v>7.8167801629442973E-4</v>
      </c>
      <c r="O24" s="7">
        <f t="shared" si="9"/>
        <v>4.9714997075063863E-4</v>
      </c>
      <c r="P24" s="7">
        <f t="shared" si="9"/>
        <v>3.6744732746293922E-4</v>
      </c>
    </row>
    <row r="25" spans="2:16" x14ac:dyDescent="0.3">
      <c r="B25" s="8" t="s">
        <v>25</v>
      </c>
      <c r="C25" s="8">
        <f t="shared" si="2"/>
        <v>9.1127058619064911E-3</v>
      </c>
      <c r="D25" s="8">
        <f t="shared" si="3"/>
        <v>5.2696101820761173E-3</v>
      </c>
      <c r="E25" s="8">
        <f t="shared" si="4"/>
        <v>2.0356991936124537E-2</v>
      </c>
      <c r="F25" s="8">
        <f t="shared" si="5"/>
        <v>-2.1001826548447469E-3</v>
      </c>
      <c r="G25" s="8">
        <f t="shared" si="6"/>
        <v>-5.3903429844336277E-4</v>
      </c>
      <c r="H25" s="8">
        <f t="shared" si="7"/>
        <v>-3.7122216344013682E-3</v>
      </c>
      <c r="J25" s="8" t="s">
        <v>25</v>
      </c>
      <c r="K25" s="7">
        <f t="shared" si="9"/>
        <v>2.3615796793331535E-3</v>
      </c>
      <c r="L25" s="7">
        <f t="shared" si="9"/>
        <v>1.4764581089291805E-3</v>
      </c>
      <c r="M25" s="7">
        <f t="shared" si="9"/>
        <v>1.403546597377122E-3</v>
      </c>
      <c r="N25" s="7">
        <f t="shared" si="9"/>
        <v>1.9914942096434466E-3</v>
      </c>
      <c r="O25" s="7">
        <f t="shared" si="9"/>
        <v>1.3045170645055429E-3</v>
      </c>
      <c r="P25" s="7">
        <f t="shared" si="9"/>
        <v>1.044371287024709E-3</v>
      </c>
    </row>
    <row r="26" spans="2:16" x14ac:dyDescent="0.3">
      <c r="B26" s="8" t="s">
        <v>23</v>
      </c>
      <c r="C26" s="8">
        <f t="shared" si="2"/>
        <v>-1.3211656063412056E-3</v>
      </c>
      <c r="D26" s="8">
        <f t="shared" si="3"/>
        <v>-3.7065353386497128E-3</v>
      </c>
      <c r="E26" s="8">
        <f t="shared" si="4"/>
        <v>-1.331051160929265E-2</v>
      </c>
      <c r="F26" s="8">
        <f t="shared" si="5"/>
        <v>-7.6161205631138304E-3</v>
      </c>
      <c r="G26" s="8">
        <f t="shared" si="6"/>
        <v>1.3922320180830807E-2</v>
      </c>
      <c r="H26" s="8">
        <f t="shared" si="7"/>
        <v>-1.00636952391167E-2</v>
      </c>
      <c r="J26" s="8" t="s">
        <v>23</v>
      </c>
      <c r="K26" s="7">
        <f t="shared" si="9"/>
        <v>4.9010538611946527E-3</v>
      </c>
      <c r="L26" s="7">
        <f t="shared" si="9"/>
        <v>3.3124364027384556E-3</v>
      </c>
      <c r="M26" s="7">
        <f t="shared" si="9"/>
        <v>3.3206152580538594E-3</v>
      </c>
      <c r="N26" s="7">
        <f t="shared" si="9"/>
        <v>3.8912531443934459E-3</v>
      </c>
      <c r="O26" s="7">
        <f t="shared" si="9"/>
        <v>3.3059668003893572E-3</v>
      </c>
      <c r="P26" s="7">
        <f t="shared" si="9"/>
        <v>2.2517612291581626E-3</v>
      </c>
    </row>
    <row r="27" spans="2:16" x14ac:dyDescent="0.3">
      <c r="B27" s="8" t="s">
        <v>16</v>
      </c>
      <c r="C27" s="8">
        <f t="shared" si="2"/>
        <v>-3.2197601565760126E-2</v>
      </c>
      <c r="D27" s="8">
        <f t="shared" si="3"/>
        <v>3.2516430671579721E-3</v>
      </c>
      <c r="E27" s="8">
        <f t="shared" si="4"/>
        <v>7.8772643594460234E-3</v>
      </c>
      <c r="F27" s="8">
        <f t="shared" si="5"/>
        <v>-7.2750274941145721E-3</v>
      </c>
      <c r="G27" s="8">
        <f t="shared" si="6"/>
        <v>-5.4232757640108042E-3</v>
      </c>
      <c r="H27" s="8">
        <f t="shared" si="7"/>
        <v>2.930236399976871E-2</v>
      </c>
      <c r="J27" s="8" t="s">
        <v>16</v>
      </c>
      <c r="K27" s="7">
        <f t="shared" si="9"/>
        <v>1.0223526483020877</v>
      </c>
      <c r="L27" s="7">
        <f t="shared" si="9"/>
        <v>0.98989604571238832</v>
      </c>
      <c r="M27" s="7">
        <f t="shared" si="9"/>
        <v>0.98566092156323148</v>
      </c>
      <c r="N27" s="7">
        <f t="shared" si="9"/>
        <v>0.99953404975275228</v>
      </c>
      <c r="O27" s="7">
        <f t="shared" si="9"/>
        <v>0.99783862378187116</v>
      </c>
      <c r="P27" s="7">
        <f t="shared" si="9"/>
        <v>0.9660445389950979</v>
      </c>
    </row>
    <row r="28" spans="2:16" x14ac:dyDescent="0.3">
      <c r="J28" s="9" t="s">
        <v>114</v>
      </c>
      <c r="K28" s="9">
        <f t="shared" ref="K28:P28" si="10">SUM(K16:K27)</f>
        <v>1.0337311900043116</v>
      </c>
      <c r="L28" s="9">
        <f t="shared" si="10"/>
        <v>0.99696175898966721</v>
      </c>
      <c r="M28" s="9">
        <f t="shared" si="10"/>
        <v>0.99222880017257808</v>
      </c>
      <c r="N28" s="9">
        <f t="shared" si="10"/>
        <v>1.008486865121943</v>
      </c>
      <c r="O28" s="9">
        <f t="shared" si="10"/>
        <v>1.0045574340987709</v>
      </c>
      <c r="P28" s="9">
        <f t="shared" si="10"/>
        <v>0.97085219539438128</v>
      </c>
    </row>
    <row r="29" spans="2:16" x14ac:dyDescent="0.3">
      <c r="J29" s="10" t="s">
        <v>115</v>
      </c>
      <c r="K29" s="10">
        <f>1-K28</f>
        <v>-3.3731190004311573E-2</v>
      </c>
      <c r="L29" s="10">
        <f t="shared" ref="L29:P29" si="11">1-L28</f>
        <v>3.0382410103327873E-3</v>
      </c>
      <c r="M29" s="10">
        <f t="shared" si="11"/>
        <v>7.7711998274219152E-3</v>
      </c>
      <c r="N29" s="10">
        <f t="shared" si="11"/>
        <v>-8.4868651219429658E-3</v>
      </c>
      <c r="O29" s="10">
        <f t="shared" si="11"/>
        <v>-4.5574340987708517E-3</v>
      </c>
      <c r="P29" s="10">
        <f t="shared" si="11"/>
        <v>2.9147804605618721E-2</v>
      </c>
    </row>
  </sheetData>
  <sortState xmlns:xlrd2="http://schemas.microsoft.com/office/spreadsheetml/2017/richdata2" ref="A2:P14">
    <sortCondition ref="B1:B14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56F0-6277-4297-93E9-0E5A3FD3ACEF}">
  <dimension ref="A1:P25"/>
  <sheetViews>
    <sheetView zoomScaleNormal="100" workbookViewId="0">
      <selection activeCell="A13" sqref="A13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7" t="s">
        <v>28</v>
      </c>
      <c r="B2" s="19">
        <v>1.4521484322105047E-2</v>
      </c>
      <c r="C2" s="19">
        <v>4.878048780487805E-2</v>
      </c>
      <c r="D2" s="19">
        <v>0</v>
      </c>
      <c r="E2" s="19">
        <v>1.3333333333333334E-2</v>
      </c>
      <c r="F2" s="19">
        <v>7.6923076923076927E-3</v>
      </c>
      <c r="G2" s="19">
        <v>1.2500000000000001E-2</v>
      </c>
      <c r="H2" s="19">
        <v>2.7027027027027029E-2</v>
      </c>
      <c r="I2" s="8">
        <v>1.4521484322105047E-2</v>
      </c>
      <c r="J2" s="20">
        <v>1.4521484322105047E-2</v>
      </c>
      <c r="K2" s="20">
        <v>4.878048780487805E-2</v>
      </c>
      <c r="L2" s="20">
        <v>0</v>
      </c>
      <c r="M2" s="20">
        <v>1.3333333333333334E-2</v>
      </c>
      <c r="N2" s="20">
        <v>7.6923076923076927E-3</v>
      </c>
      <c r="O2" s="20">
        <v>1.2500000000000001E-2</v>
      </c>
      <c r="P2" s="20">
        <v>2.7027027027027029E-2</v>
      </c>
    </row>
    <row r="3" spans="1:16" x14ac:dyDescent="0.3">
      <c r="A3" s="7" t="s">
        <v>37</v>
      </c>
      <c r="B3" s="19">
        <v>2.1172876618839473E-2</v>
      </c>
      <c r="C3" s="19">
        <v>4.878048780487805E-2</v>
      </c>
      <c r="D3" s="19">
        <v>1.4084507042253521E-2</v>
      </c>
      <c r="E3" s="19">
        <v>1.3333333333333334E-2</v>
      </c>
      <c r="F3" s="19">
        <v>6.9230769230769235E-2</v>
      </c>
      <c r="G3" s="19">
        <v>3.7499999999999999E-2</v>
      </c>
      <c r="H3" s="19">
        <v>0</v>
      </c>
      <c r="I3" s="8">
        <v>3.5694360940944518E-2</v>
      </c>
      <c r="J3" s="8">
        <f>J2+B3</f>
        <v>3.5694360940944518E-2</v>
      </c>
      <c r="K3" s="8">
        <f t="shared" ref="K3:P11" si="0">K2+C3</f>
        <v>9.7560975609756101E-2</v>
      </c>
      <c r="L3" s="8">
        <f t="shared" si="0"/>
        <v>1.4084507042253521E-2</v>
      </c>
      <c r="M3" s="8">
        <f t="shared" si="0"/>
        <v>2.6666666666666668E-2</v>
      </c>
      <c r="N3" s="8">
        <f t="shared" si="0"/>
        <v>7.6923076923076927E-2</v>
      </c>
      <c r="O3" s="8">
        <f t="shared" si="0"/>
        <v>0.05</v>
      </c>
      <c r="P3" s="8">
        <f t="shared" si="0"/>
        <v>2.7027027027027029E-2</v>
      </c>
    </row>
    <row r="4" spans="1:16" x14ac:dyDescent="0.3">
      <c r="A4" s="7" t="s">
        <v>32</v>
      </c>
      <c r="B4" s="19">
        <v>2.3805268032693651E-2</v>
      </c>
      <c r="C4" s="19">
        <v>7.3170731707317069E-2</v>
      </c>
      <c r="D4" s="19">
        <v>2.8169014084507043E-2</v>
      </c>
      <c r="E4" s="19">
        <v>5.3333333333333337E-2</v>
      </c>
      <c r="F4" s="19">
        <v>2.3076923076923078E-2</v>
      </c>
      <c r="G4" s="19">
        <v>3.7499999999999999E-2</v>
      </c>
      <c r="H4" s="19">
        <v>2.7027027027027029E-2</v>
      </c>
      <c r="I4" s="8">
        <v>5.9499628973638169E-2</v>
      </c>
      <c r="J4" s="8">
        <f t="shared" ref="J4:J11" si="1">J3+B4</f>
        <v>5.9499628973638169E-2</v>
      </c>
      <c r="K4" s="8">
        <f t="shared" si="0"/>
        <v>0.17073170731707316</v>
      </c>
      <c r="L4" s="8">
        <f t="shared" si="0"/>
        <v>4.2253521126760563E-2</v>
      </c>
      <c r="M4" s="8">
        <f t="shared" si="0"/>
        <v>0.08</v>
      </c>
      <c r="N4" s="8">
        <f t="shared" si="0"/>
        <v>0.1</v>
      </c>
      <c r="O4" s="8">
        <f t="shared" si="0"/>
        <v>8.7499999999999994E-2</v>
      </c>
      <c r="P4" s="8">
        <f t="shared" si="0"/>
        <v>5.4054054054054057E-2</v>
      </c>
    </row>
    <row r="5" spans="1:16" x14ac:dyDescent="0.3">
      <c r="A5" s="7" t="s">
        <v>35</v>
      </c>
      <c r="B5" s="19">
        <v>3.5781024032758652E-2</v>
      </c>
      <c r="C5" s="19">
        <v>4.065040650406504E-2</v>
      </c>
      <c r="D5" s="19">
        <v>8.4507042253521125E-2</v>
      </c>
      <c r="E5" s="19">
        <v>6.6666666666666666E-2</v>
      </c>
      <c r="F5" s="19">
        <v>6.1538461538461542E-2</v>
      </c>
      <c r="G5" s="19">
        <v>3.7499999999999999E-2</v>
      </c>
      <c r="H5" s="19">
        <v>8.1081081081081086E-2</v>
      </c>
      <c r="I5" s="8">
        <v>9.528065300639682E-2</v>
      </c>
      <c r="J5" s="8">
        <f t="shared" si="1"/>
        <v>9.528065300639682E-2</v>
      </c>
      <c r="K5" s="8">
        <f t="shared" si="0"/>
        <v>0.2113821138211382</v>
      </c>
      <c r="L5" s="8">
        <f t="shared" si="0"/>
        <v>0.12676056338028169</v>
      </c>
      <c r="M5" s="8">
        <f t="shared" si="0"/>
        <v>0.14666666666666667</v>
      </c>
      <c r="N5" s="8">
        <f t="shared" si="0"/>
        <v>0.16153846153846155</v>
      </c>
      <c r="O5" s="8">
        <f t="shared" si="0"/>
        <v>0.125</v>
      </c>
      <c r="P5" s="8">
        <f t="shared" si="0"/>
        <v>0.13513513513513514</v>
      </c>
    </row>
    <row r="6" spans="1:16" x14ac:dyDescent="0.3">
      <c r="A6" s="7" t="s">
        <v>31</v>
      </c>
      <c r="B6" s="19">
        <v>3.609517774058487E-2</v>
      </c>
      <c r="C6" s="19">
        <v>3.2520325203252036E-2</v>
      </c>
      <c r="D6" s="19">
        <v>7.0422535211267609E-2</v>
      </c>
      <c r="E6" s="19">
        <v>0.04</v>
      </c>
      <c r="F6" s="19">
        <v>1.5384615384615385E-2</v>
      </c>
      <c r="G6" s="19">
        <v>0.05</v>
      </c>
      <c r="H6" s="19">
        <v>0</v>
      </c>
      <c r="I6" s="8">
        <v>0.1313758307469817</v>
      </c>
      <c r="J6" s="8">
        <f t="shared" si="1"/>
        <v>0.1313758307469817</v>
      </c>
      <c r="K6" s="8">
        <f t="shared" si="0"/>
        <v>0.24390243902439024</v>
      </c>
      <c r="L6" s="8">
        <f t="shared" si="0"/>
        <v>0.19718309859154931</v>
      </c>
      <c r="M6" s="8">
        <f t="shared" si="0"/>
        <v>0.18666666666666668</v>
      </c>
      <c r="N6" s="8">
        <f t="shared" si="0"/>
        <v>0.17692307692307693</v>
      </c>
      <c r="O6" s="8">
        <f t="shared" si="0"/>
        <v>0.17499999999999999</v>
      </c>
      <c r="P6" s="8">
        <f t="shared" si="0"/>
        <v>0.13513513513513514</v>
      </c>
    </row>
    <row r="7" spans="1:16" x14ac:dyDescent="0.3">
      <c r="A7" s="7" t="s">
        <v>33</v>
      </c>
      <c r="B7" s="19">
        <v>3.7135134842354423E-2</v>
      </c>
      <c r="C7" s="19">
        <v>3.2520325203252036E-2</v>
      </c>
      <c r="D7" s="19">
        <v>1.4084507042253521E-2</v>
      </c>
      <c r="E7" s="19">
        <v>1.3333333333333334E-2</v>
      </c>
      <c r="F7" s="19">
        <v>6.1538461538461542E-2</v>
      </c>
      <c r="G7" s="19">
        <v>7.4999999999999997E-2</v>
      </c>
      <c r="H7" s="19">
        <v>5.4054054054054057E-2</v>
      </c>
      <c r="I7" s="8">
        <v>0.16851096558933612</v>
      </c>
      <c r="J7" s="8">
        <f t="shared" si="1"/>
        <v>0.16851096558933612</v>
      </c>
      <c r="K7" s="8">
        <f t="shared" si="0"/>
        <v>0.27642276422764228</v>
      </c>
      <c r="L7" s="8">
        <f t="shared" si="0"/>
        <v>0.21126760563380284</v>
      </c>
      <c r="M7" s="8">
        <f t="shared" si="0"/>
        <v>0.2</v>
      </c>
      <c r="N7" s="8">
        <f t="shared" si="0"/>
        <v>0.23846153846153847</v>
      </c>
      <c r="O7" s="8">
        <f t="shared" si="0"/>
        <v>0.25</v>
      </c>
      <c r="P7" s="8">
        <f t="shared" si="0"/>
        <v>0.1891891891891892</v>
      </c>
    </row>
    <row r="8" spans="1:16" x14ac:dyDescent="0.3">
      <c r="A8" s="7" t="s">
        <v>36</v>
      </c>
      <c r="B8" s="19">
        <v>5.6991815754266803E-2</v>
      </c>
      <c r="C8" s="19">
        <v>7.3170731707317069E-2</v>
      </c>
      <c r="D8" s="19">
        <v>0.15492957746478872</v>
      </c>
      <c r="E8" s="19">
        <v>9.3333333333333338E-2</v>
      </c>
      <c r="F8" s="19">
        <v>8.461538461538462E-2</v>
      </c>
      <c r="G8" s="19">
        <v>0.16250000000000001</v>
      </c>
      <c r="H8" s="19">
        <v>0.16216216216216217</v>
      </c>
      <c r="I8" s="8">
        <v>0.22550278134360291</v>
      </c>
      <c r="J8" s="8">
        <f t="shared" si="1"/>
        <v>0.22550278134360291</v>
      </c>
      <c r="K8" s="8">
        <f t="shared" si="0"/>
        <v>0.34959349593495936</v>
      </c>
      <c r="L8" s="8">
        <f t="shared" si="0"/>
        <v>0.36619718309859156</v>
      </c>
      <c r="M8" s="8">
        <f t="shared" si="0"/>
        <v>0.29333333333333333</v>
      </c>
      <c r="N8" s="8">
        <f t="shared" si="0"/>
        <v>0.32307692307692309</v>
      </c>
      <c r="O8" s="8">
        <f t="shared" si="0"/>
        <v>0.41249999999999998</v>
      </c>
      <c r="P8" s="8">
        <f t="shared" si="0"/>
        <v>0.35135135135135137</v>
      </c>
    </row>
    <row r="9" spans="1:16" x14ac:dyDescent="0.3">
      <c r="A9" s="7" t="s">
        <v>29</v>
      </c>
      <c r="B9" s="19">
        <v>7.7769292016704308E-2</v>
      </c>
      <c r="C9" s="19">
        <v>4.065040650406504E-2</v>
      </c>
      <c r="D9" s="19">
        <v>9.8591549295774641E-2</v>
      </c>
      <c r="E9" s="19">
        <v>9.3333333333333338E-2</v>
      </c>
      <c r="F9" s="19">
        <v>6.1538461538461542E-2</v>
      </c>
      <c r="G9" s="19">
        <v>0.15</v>
      </c>
      <c r="H9" s="19">
        <v>0</v>
      </c>
      <c r="I9" s="8">
        <v>0.3032720733603072</v>
      </c>
      <c r="J9" s="8">
        <f t="shared" si="1"/>
        <v>0.3032720733603072</v>
      </c>
      <c r="K9" s="8">
        <f t="shared" si="0"/>
        <v>0.3902439024390244</v>
      </c>
      <c r="L9" s="8">
        <f t="shared" si="0"/>
        <v>0.46478873239436619</v>
      </c>
      <c r="M9" s="8">
        <f t="shared" si="0"/>
        <v>0.38666666666666666</v>
      </c>
      <c r="N9" s="8">
        <f t="shared" si="0"/>
        <v>0.38461538461538464</v>
      </c>
      <c r="O9" s="8">
        <f t="shared" si="0"/>
        <v>0.5625</v>
      </c>
      <c r="P9" s="8">
        <f t="shared" si="0"/>
        <v>0.35135135135135137</v>
      </c>
    </row>
    <row r="10" spans="1:16" x14ac:dyDescent="0.3">
      <c r="A10" s="7" t="s">
        <v>34</v>
      </c>
      <c r="B10" s="19">
        <v>0.28539239423040469</v>
      </c>
      <c r="C10" s="19">
        <v>0.25203252032520324</v>
      </c>
      <c r="D10" s="19">
        <v>0.18309859154929578</v>
      </c>
      <c r="E10" s="19">
        <v>0.24</v>
      </c>
      <c r="F10" s="19">
        <v>0.11538461538461539</v>
      </c>
      <c r="G10" s="19">
        <v>0.125</v>
      </c>
      <c r="H10" s="19">
        <v>0.27027027027027029</v>
      </c>
      <c r="I10" s="8">
        <v>0.58866446759071189</v>
      </c>
      <c r="J10" s="8">
        <f t="shared" si="1"/>
        <v>0.58866446759071189</v>
      </c>
      <c r="K10" s="8">
        <f t="shared" si="0"/>
        <v>0.64227642276422769</v>
      </c>
      <c r="L10" s="8">
        <f t="shared" si="0"/>
        <v>0.647887323943662</v>
      </c>
      <c r="M10" s="8">
        <f t="shared" si="0"/>
        <v>0.62666666666666671</v>
      </c>
      <c r="N10" s="8">
        <f t="shared" si="0"/>
        <v>0.5</v>
      </c>
      <c r="O10" s="8">
        <f t="shared" si="0"/>
        <v>0.6875</v>
      </c>
      <c r="P10" s="8">
        <f t="shared" si="0"/>
        <v>0.62162162162162171</v>
      </c>
    </row>
    <row r="11" spans="1:16" x14ac:dyDescent="0.3">
      <c r="A11" s="7" t="s">
        <v>30</v>
      </c>
      <c r="B11" s="19">
        <v>0.41133553240928811</v>
      </c>
      <c r="C11" s="19">
        <v>0.35772357723577236</v>
      </c>
      <c r="D11" s="19">
        <v>0.352112676056338</v>
      </c>
      <c r="E11" s="19">
        <v>0.37333333333333335</v>
      </c>
      <c r="F11" s="19">
        <v>0.5</v>
      </c>
      <c r="G11" s="19">
        <v>0.3125</v>
      </c>
      <c r="H11" s="19">
        <v>0.3783783783783784</v>
      </c>
      <c r="I11" s="8">
        <v>1</v>
      </c>
      <c r="J11" s="8">
        <f t="shared" si="1"/>
        <v>1</v>
      </c>
      <c r="K11" s="8">
        <f t="shared" si="0"/>
        <v>1</v>
      </c>
      <c r="L11" s="8">
        <f t="shared" si="0"/>
        <v>1</v>
      </c>
      <c r="M11" s="8">
        <f t="shared" si="0"/>
        <v>1</v>
      </c>
      <c r="N11" s="8">
        <f t="shared" si="0"/>
        <v>1</v>
      </c>
      <c r="O11" s="8">
        <f t="shared" si="0"/>
        <v>1</v>
      </c>
      <c r="P11" s="8">
        <f t="shared" si="0"/>
        <v>1</v>
      </c>
    </row>
    <row r="13" spans="1:16" ht="28.8" x14ac:dyDescent="0.3">
      <c r="B13" s="1" t="s">
        <v>94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106</v>
      </c>
      <c r="H13" s="3" t="s">
        <v>107</v>
      </c>
      <c r="J13" s="1" t="s">
        <v>94</v>
      </c>
      <c r="K13" s="9" t="s">
        <v>108</v>
      </c>
      <c r="L13" s="9" t="s">
        <v>109</v>
      </c>
      <c r="M13" s="9" t="s">
        <v>110</v>
      </c>
      <c r="N13" s="9" t="s">
        <v>111</v>
      </c>
      <c r="O13" s="9" t="s">
        <v>112</v>
      </c>
      <c r="P13" s="9" t="s">
        <v>113</v>
      </c>
    </row>
    <row r="14" spans="1:16" x14ac:dyDescent="0.3">
      <c r="B14" s="7" t="s">
        <v>28</v>
      </c>
      <c r="C14" s="8">
        <f>C2-B2</f>
        <v>3.4259003482773005E-2</v>
      </c>
      <c r="D14" s="8">
        <f>D2-B2</f>
        <v>-1.4521484322105047E-2</v>
      </c>
      <c r="E14" s="8">
        <f>E2-B2</f>
        <v>-1.1881509887717127E-3</v>
      </c>
      <c r="F14" s="8">
        <f>F2-B2</f>
        <v>-6.8291766297973542E-3</v>
      </c>
      <c r="G14" s="8">
        <f>G2-B2</f>
        <v>-2.0214843221050462E-3</v>
      </c>
      <c r="H14" s="8">
        <f>H2-B2</f>
        <v>1.2505542704921982E-2</v>
      </c>
      <c r="J14" s="7" t="s">
        <v>28</v>
      </c>
      <c r="K14" s="7">
        <f>(J2-0) * ((K2+0))</f>
        <v>7.0836508888317304E-4</v>
      </c>
      <c r="L14" s="7">
        <f>(J2-0) * ((L2+0))</f>
        <v>0</v>
      </c>
      <c r="M14" s="7">
        <f>(J2-0) * ((M2+0))</f>
        <v>1.9361979096140064E-4</v>
      </c>
      <c r="N14" s="7">
        <f>(J2-0) * ((N2+0))</f>
        <v>1.1170372555465421E-4</v>
      </c>
      <c r="O14" s="7">
        <f>(J2-0) * ((O2+0))</f>
        <v>1.8151855402631309E-4</v>
      </c>
      <c r="P14" s="7">
        <f>(J2-0) * ((P2+0))</f>
        <v>3.9247254924608236E-4</v>
      </c>
    </row>
    <row r="15" spans="1:16" x14ac:dyDescent="0.3">
      <c r="B15" s="7" t="s">
        <v>37</v>
      </c>
      <c r="C15" s="8">
        <f t="shared" ref="C15:C23" si="2">C3-B3</f>
        <v>2.7607611186038578E-2</v>
      </c>
      <c r="D15" s="8">
        <f t="shared" ref="D15:D23" si="3">D3-B3</f>
        <v>-7.0883695765859515E-3</v>
      </c>
      <c r="E15" s="8">
        <f t="shared" ref="E15:E23" si="4">E3-B3</f>
        <v>-7.8395432855061387E-3</v>
      </c>
      <c r="F15" s="8">
        <f t="shared" ref="F15:F23" si="5">F3-B3</f>
        <v>4.8057892611929762E-2</v>
      </c>
      <c r="G15" s="8">
        <f t="shared" ref="G15:G23" si="6">G3-B3</f>
        <v>1.6327123381160526E-2</v>
      </c>
      <c r="H15" s="8">
        <f t="shared" ref="H15:H23" si="7">H3-B3</f>
        <v>-2.1172876618839473E-2</v>
      </c>
      <c r="J15" s="7" t="s">
        <v>37</v>
      </c>
      <c r="K15" s="7">
        <f>(J3-J2) * ((K3+K2))</f>
        <v>3.0984697490984599E-3</v>
      </c>
      <c r="L15" s="7">
        <f>(J3-J2) * ((L3+L2))</f>
        <v>2.9820952984280951E-4</v>
      </c>
      <c r="M15" s="7">
        <f>(J3-J2) * ((M3+M2))</f>
        <v>8.4691506475357897E-4</v>
      </c>
      <c r="N15" s="7">
        <f>(J3-J2) * ((N3+N2))</f>
        <v>1.7915510985171863E-3</v>
      </c>
      <c r="O15" s="7">
        <f>(J3-J2) * ((O3+O2))</f>
        <v>1.3233047886774671E-3</v>
      </c>
      <c r="P15" s="7">
        <f>(J3-J2) * ((P3+P2))</f>
        <v>1.1444798172345662E-3</v>
      </c>
    </row>
    <row r="16" spans="1:16" x14ac:dyDescent="0.3">
      <c r="B16" s="7" t="s">
        <v>32</v>
      </c>
      <c r="C16" s="8">
        <f t="shared" si="2"/>
        <v>4.9365463674623418E-2</v>
      </c>
      <c r="D16" s="8">
        <f t="shared" si="3"/>
        <v>4.3637460518133921E-3</v>
      </c>
      <c r="E16" s="8">
        <f t="shared" si="4"/>
        <v>2.9528065300639686E-2</v>
      </c>
      <c r="F16" s="8">
        <f t="shared" si="5"/>
        <v>-7.2834495577057262E-4</v>
      </c>
      <c r="G16" s="8">
        <f t="shared" si="6"/>
        <v>1.3694731967306348E-2</v>
      </c>
      <c r="H16" s="8">
        <f t="shared" si="7"/>
        <v>3.2217589943333777E-3</v>
      </c>
      <c r="J16" s="7" t="s">
        <v>32</v>
      </c>
      <c r="K16" s="7">
        <f t="shared" ref="K16:K23" si="8">(J4-J3) * ((K4+K3))</f>
        <v>6.3867792282836632E-3</v>
      </c>
      <c r="L16" s="7">
        <f t="shared" ref="L16:L23" si="9">(J4-J3) * ((L4+L3))</f>
        <v>1.3411418609968254E-3</v>
      </c>
      <c r="M16" s="7">
        <f t="shared" ref="M16:M23" si="10">(J4-J3) * ((M4+M3))</f>
        <v>2.5392285901539896E-3</v>
      </c>
      <c r="N16" s="7">
        <f t="shared" ref="N16:N23" si="11">(J4-J3) * ((N4+N3))</f>
        <v>4.211701267322723E-3</v>
      </c>
      <c r="O16" s="7">
        <f t="shared" ref="O16:O23" si="12">(J4-J3) * ((O4+O3))</f>
        <v>3.2732243544953774E-3</v>
      </c>
      <c r="P16" s="7">
        <f t="shared" ref="P16:P23" si="13">(J4-J3) * ((P4+P3))</f>
        <v>1.9301568675157016E-3</v>
      </c>
    </row>
    <row r="17" spans="2:16" x14ac:dyDescent="0.3">
      <c r="B17" s="7" t="s">
        <v>35</v>
      </c>
      <c r="C17" s="8">
        <f t="shared" si="2"/>
        <v>4.8693824713063882E-3</v>
      </c>
      <c r="D17" s="8">
        <f t="shared" si="3"/>
        <v>4.8726018220762474E-2</v>
      </c>
      <c r="E17" s="8">
        <f t="shared" si="4"/>
        <v>3.0885642633908014E-2</v>
      </c>
      <c r="F17" s="8">
        <f t="shared" si="5"/>
        <v>2.575743750570289E-2</v>
      </c>
      <c r="G17" s="8">
        <f t="shared" si="6"/>
        <v>1.7189759672413471E-3</v>
      </c>
      <c r="H17" s="8">
        <f t="shared" si="7"/>
        <v>4.5300057048322434E-2</v>
      </c>
      <c r="J17" s="7" t="s">
        <v>35</v>
      </c>
      <c r="K17" s="7">
        <f t="shared" si="8"/>
        <v>1.3672423817395581E-2</v>
      </c>
      <c r="L17" s="7">
        <f t="shared" si="9"/>
        <v>6.0474970196211803E-3</v>
      </c>
      <c r="M17" s="7">
        <f t="shared" si="10"/>
        <v>8.1103654474252943E-3</v>
      </c>
      <c r="N17" s="7">
        <f t="shared" si="11"/>
        <v>9.3581139777984164E-3</v>
      </c>
      <c r="O17" s="7">
        <f t="shared" si="12"/>
        <v>7.6034676069612131E-3</v>
      </c>
      <c r="P17" s="7">
        <f t="shared" si="13"/>
        <v>6.7693829251165016E-3</v>
      </c>
    </row>
    <row r="18" spans="2:16" x14ac:dyDescent="0.3">
      <c r="B18" s="7" t="s">
        <v>31</v>
      </c>
      <c r="C18" s="8">
        <f t="shared" si="2"/>
        <v>-3.5748525373328344E-3</v>
      </c>
      <c r="D18" s="8">
        <f t="shared" si="3"/>
        <v>3.4327357470682739E-2</v>
      </c>
      <c r="E18" s="8">
        <f t="shared" si="4"/>
        <v>3.9048222594151305E-3</v>
      </c>
      <c r="F18" s="8">
        <f t="shared" si="5"/>
        <v>-2.0710562355969485E-2</v>
      </c>
      <c r="G18" s="8">
        <f t="shared" si="6"/>
        <v>1.3904822259415132E-2</v>
      </c>
      <c r="H18" s="8">
        <f t="shared" si="7"/>
        <v>-3.609517774058487E-2</v>
      </c>
      <c r="J18" s="7" t="s">
        <v>31</v>
      </c>
      <c r="K18" s="7">
        <f t="shared" si="8"/>
        <v>1.6433576857502057E-2</v>
      </c>
      <c r="L18" s="7">
        <f t="shared" si="9"/>
        <v>1.1692804056809185E-2</v>
      </c>
      <c r="M18" s="7">
        <f t="shared" si="10"/>
        <v>1.2031725913528293E-2</v>
      </c>
      <c r="N18" s="7">
        <f t="shared" si="11"/>
        <v>1.2216829389121036E-2</v>
      </c>
      <c r="O18" s="7">
        <f t="shared" si="12"/>
        <v>1.0828553322175463E-2</v>
      </c>
      <c r="P18" s="7">
        <f t="shared" si="13"/>
        <v>9.7554534434013181E-3</v>
      </c>
    </row>
    <row r="19" spans="2:16" x14ac:dyDescent="0.3">
      <c r="B19" s="7" t="s">
        <v>33</v>
      </c>
      <c r="C19" s="8">
        <f t="shared" si="2"/>
        <v>-4.6148096391023866E-3</v>
      </c>
      <c r="D19" s="8">
        <f t="shared" si="3"/>
        <v>-2.3050627800100899E-2</v>
      </c>
      <c r="E19" s="8">
        <f t="shared" si="4"/>
        <v>-2.3801801509021087E-2</v>
      </c>
      <c r="F19" s="8">
        <f t="shared" si="5"/>
        <v>2.4403326696107119E-2</v>
      </c>
      <c r="G19" s="8">
        <f t="shared" si="6"/>
        <v>3.7864865157645575E-2</v>
      </c>
      <c r="H19" s="8">
        <f t="shared" si="7"/>
        <v>1.6918919211699635E-2</v>
      </c>
      <c r="J19" s="7" t="s">
        <v>33</v>
      </c>
      <c r="K19" s="7">
        <f t="shared" si="8"/>
        <v>1.9322346584639698E-2</v>
      </c>
      <c r="L19" s="7">
        <f t="shared" si="9"/>
        <v>1.5167871977863075E-2</v>
      </c>
      <c r="M19" s="7">
        <f t="shared" si="10"/>
        <v>1.4358918805710379E-2</v>
      </c>
      <c r="N19" s="7">
        <f t="shared" si="11"/>
        <v>1.5425363703747223E-2</v>
      </c>
      <c r="O19" s="7">
        <f t="shared" si="12"/>
        <v>1.5782432308000627E-2</v>
      </c>
      <c r="P19" s="7">
        <f t="shared" si="13"/>
        <v>1.2043827516439273E-2</v>
      </c>
    </row>
    <row r="20" spans="2:16" x14ac:dyDescent="0.3">
      <c r="B20" s="7" t="s">
        <v>36</v>
      </c>
      <c r="C20" s="8">
        <f t="shared" si="2"/>
        <v>1.6178915953050266E-2</v>
      </c>
      <c r="D20" s="8">
        <f t="shared" si="3"/>
        <v>9.7937761710521917E-2</v>
      </c>
      <c r="E20" s="8">
        <f t="shared" si="4"/>
        <v>3.6341517579066535E-2</v>
      </c>
      <c r="F20" s="8">
        <f t="shared" si="5"/>
        <v>2.7623568861117817E-2</v>
      </c>
      <c r="G20" s="8">
        <f t="shared" si="6"/>
        <v>0.1055081842457332</v>
      </c>
      <c r="H20" s="8">
        <f t="shared" si="7"/>
        <v>0.10517034640789537</v>
      </c>
      <c r="J20" s="7" t="s">
        <v>36</v>
      </c>
      <c r="K20" s="7">
        <f t="shared" si="8"/>
        <v>3.5677803358362133E-2</v>
      </c>
      <c r="L20" s="7">
        <f t="shared" si="9"/>
        <v>3.2910766844013215E-2</v>
      </c>
      <c r="M20" s="7">
        <f t="shared" si="10"/>
        <v>2.8115962438771618E-2</v>
      </c>
      <c r="N20" s="7">
        <f t="shared" si="11"/>
        <v>3.2003096538934427E-2</v>
      </c>
      <c r="O20" s="7">
        <f t="shared" si="12"/>
        <v>3.7757077937201747E-2</v>
      </c>
      <c r="P20" s="7">
        <f t="shared" si="13"/>
        <v>3.0806386894198266E-2</v>
      </c>
    </row>
    <row r="21" spans="2:16" x14ac:dyDescent="0.3">
      <c r="B21" s="7" t="s">
        <v>29</v>
      </c>
      <c r="C21" s="8">
        <f t="shared" si="2"/>
        <v>-3.7118885512639269E-2</v>
      </c>
      <c r="D21" s="8">
        <f t="shared" si="3"/>
        <v>2.0822257279070333E-2</v>
      </c>
      <c r="E21" s="8">
        <f t="shared" si="4"/>
        <v>1.5564041316629029E-2</v>
      </c>
      <c r="F21" s="8">
        <f t="shared" si="5"/>
        <v>-1.6230830478242766E-2</v>
      </c>
      <c r="G21" s="8">
        <f t="shared" si="6"/>
        <v>7.2230707983295686E-2</v>
      </c>
      <c r="H21" s="8">
        <f t="shared" si="7"/>
        <v>-7.7769292016704308E-2</v>
      </c>
      <c r="J21" s="7" t="s">
        <v>29</v>
      </c>
      <c r="K21" s="7">
        <f t="shared" si="8"/>
        <v>5.7536630679025133E-2</v>
      </c>
      <c r="L21" s="7">
        <f t="shared" si="9"/>
        <v>6.4625186323740189E-2</v>
      </c>
      <c r="M21" s="7">
        <f t="shared" si="10"/>
        <v>5.2883118571358918E-2</v>
      </c>
      <c r="N21" s="7">
        <f t="shared" si="11"/>
        <v>5.5036729734898426E-2</v>
      </c>
      <c r="O21" s="7">
        <f t="shared" si="12"/>
        <v>7.5825059716286683E-2</v>
      </c>
      <c r="P21" s="7">
        <f t="shared" si="13"/>
        <v>5.4648691687413833E-2</v>
      </c>
    </row>
    <row r="22" spans="2:16" x14ac:dyDescent="0.3">
      <c r="B22" s="7" t="s">
        <v>34</v>
      </c>
      <c r="C22" s="8">
        <f t="shared" si="2"/>
        <v>-3.3359873905201454E-2</v>
      </c>
      <c r="D22" s="8">
        <f t="shared" si="3"/>
        <v>-0.10229380268110891</v>
      </c>
      <c r="E22" s="8">
        <f t="shared" si="4"/>
        <v>-4.5392394230404698E-2</v>
      </c>
      <c r="F22" s="8">
        <f t="shared" si="5"/>
        <v>-0.1700077788457893</v>
      </c>
      <c r="G22" s="8">
        <f t="shared" si="6"/>
        <v>-0.16039239423040469</v>
      </c>
      <c r="H22" s="8">
        <f t="shared" si="7"/>
        <v>-1.5122123960134404E-2</v>
      </c>
      <c r="J22" s="7" t="s">
        <v>34</v>
      </c>
      <c r="K22" s="7">
        <f t="shared" si="8"/>
        <v>0.29467344770131221</v>
      </c>
      <c r="L22" s="7">
        <f t="shared" si="9"/>
        <v>0.31754928372115454</v>
      </c>
      <c r="M22" s="7">
        <f t="shared" si="10"/>
        <v>0.28919762615347677</v>
      </c>
      <c r="N22" s="7">
        <f t="shared" si="11"/>
        <v>0.25246250258843489</v>
      </c>
      <c r="O22" s="7">
        <f t="shared" si="12"/>
        <v>0.35674049278800585</v>
      </c>
      <c r="P22" s="7">
        <f t="shared" si="13"/>
        <v>0.27767908627823162</v>
      </c>
    </row>
    <row r="23" spans="2:16" x14ac:dyDescent="0.3">
      <c r="B23" s="7" t="s">
        <v>30</v>
      </c>
      <c r="C23" s="8">
        <f t="shared" si="2"/>
        <v>-5.3611955173515746E-2</v>
      </c>
      <c r="D23" s="8">
        <f t="shared" si="3"/>
        <v>-5.9222856352950104E-2</v>
      </c>
      <c r="E23" s="8">
        <f t="shared" si="4"/>
        <v>-3.8002199075954757E-2</v>
      </c>
      <c r="F23" s="8">
        <f t="shared" si="5"/>
        <v>8.8664467590711893E-2</v>
      </c>
      <c r="G23" s="8">
        <f t="shared" si="6"/>
        <v>-9.8835532409288107E-2</v>
      </c>
      <c r="H23" s="8">
        <f t="shared" si="7"/>
        <v>-3.2957154030909708E-2</v>
      </c>
      <c r="J23" s="7" t="s">
        <v>30</v>
      </c>
      <c r="K23" s="7">
        <f t="shared" si="8"/>
        <v>0.67552664672094476</v>
      </c>
      <c r="L23" s="7">
        <f t="shared" si="9"/>
        <v>0.67783460974488319</v>
      </c>
      <c r="M23" s="7">
        <f t="shared" si="10"/>
        <v>0.6691057993857753</v>
      </c>
      <c r="N23" s="7">
        <f t="shared" si="11"/>
        <v>0.61700329861393222</v>
      </c>
      <c r="O23" s="7">
        <f t="shared" si="12"/>
        <v>0.69412871094067363</v>
      </c>
      <c r="P23" s="7">
        <f t="shared" si="13"/>
        <v>0.66703059309614288</v>
      </c>
    </row>
    <row r="24" spans="2:16" x14ac:dyDescent="0.3">
      <c r="J24" s="11" t="s">
        <v>114</v>
      </c>
      <c r="K24" s="9">
        <f>SUM(K14:K23)</f>
        <v>1.1230364897854468</v>
      </c>
      <c r="L24" s="9">
        <f t="shared" ref="L24:P24" si="14">SUM(L14:L23)</f>
        <v>1.1274673710789243</v>
      </c>
      <c r="M24" s="9">
        <f t="shared" si="14"/>
        <v>1.0773832801619156</v>
      </c>
      <c r="N24" s="9">
        <f t="shared" si="14"/>
        <v>0.99962089063826121</v>
      </c>
      <c r="O24" s="9">
        <f t="shared" si="14"/>
        <v>1.2034438423165044</v>
      </c>
      <c r="P24" s="9">
        <f t="shared" si="14"/>
        <v>1.0622005310749401</v>
      </c>
    </row>
    <row r="25" spans="2:16" x14ac:dyDescent="0.3">
      <c r="J25" s="12" t="s">
        <v>115</v>
      </c>
      <c r="K25" s="10">
        <f>1-K24</f>
        <v>-0.12303648978544679</v>
      </c>
      <c r="L25" s="10">
        <f t="shared" ref="L25:P25" si="15">1-L24</f>
        <v>-0.12746737107892425</v>
      </c>
      <c r="M25" s="10">
        <f t="shared" si="15"/>
        <v>-7.7383280161915646E-2</v>
      </c>
      <c r="N25" s="10">
        <f t="shared" si="15"/>
        <v>3.7910936173879417E-4</v>
      </c>
      <c r="O25" s="10">
        <f t="shared" si="15"/>
        <v>-0.20344384231650436</v>
      </c>
      <c r="P25" s="10">
        <f t="shared" si="15"/>
        <v>-6.2200531074940058E-2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2A95-176E-4067-B3A3-892E5EFF9B94}">
  <dimension ref="A1:P33"/>
  <sheetViews>
    <sheetView workbookViewId="0">
      <selection activeCell="A17" sqref="A17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15" t="s">
        <v>45</v>
      </c>
      <c r="B2" s="19">
        <v>2.2951752543796659E-2</v>
      </c>
      <c r="C2" s="19">
        <v>1.4492753623188406E-2</v>
      </c>
      <c r="D2" s="19">
        <v>0</v>
      </c>
      <c r="E2" s="19">
        <v>0</v>
      </c>
      <c r="F2" s="19">
        <v>0.03</v>
      </c>
      <c r="G2" s="19">
        <v>0</v>
      </c>
      <c r="H2" s="19">
        <v>6.3829787234042548E-2</v>
      </c>
      <c r="I2" s="8">
        <v>2.2951752543796659E-2</v>
      </c>
      <c r="J2" s="20">
        <v>2.2951752543796659E-2</v>
      </c>
      <c r="K2" s="20">
        <v>1.4492753623188406E-2</v>
      </c>
      <c r="L2" s="20">
        <v>0</v>
      </c>
      <c r="M2" s="20">
        <v>0</v>
      </c>
      <c r="N2" s="20">
        <v>0.03</v>
      </c>
      <c r="O2" s="20">
        <v>0</v>
      </c>
      <c r="P2" s="20">
        <v>6.3829787234042548E-2</v>
      </c>
    </row>
    <row r="3" spans="1:16" x14ac:dyDescent="0.3">
      <c r="A3" s="15" t="s">
        <v>47</v>
      </c>
      <c r="B3" s="19">
        <v>2.4442126085601638E-2</v>
      </c>
      <c r="C3" s="19">
        <v>2.8985507246376812E-2</v>
      </c>
      <c r="D3" s="19">
        <v>5.5555555555555552E-2</v>
      </c>
      <c r="E3" s="19">
        <v>3.125E-2</v>
      </c>
      <c r="F3" s="19">
        <v>0.04</v>
      </c>
      <c r="G3" s="19">
        <v>2.2222222222222223E-2</v>
      </c>
      <c r="H3" s="19">
        <v>4.2553191489361701E-2</v>
      </c>
      <c r="I3" s="8">
        <v>4.7393878629398298E-2</v>
      </c>
      <c r="J3" s="8">
        <f>J2+B3</f>
        <v>4.7393878629398298E-2</v>
      </c>
      <c r="K3" s="8">
        <f t="shared" ref="K3:P14" si="0">K2+C3</f>
        <v>4.3478260869565216E-2</v>
      </c>
      <c r="L3" s="8">
        <f t="shared" si="0"/>
        <v>5.5555555555555552E-2</v>
      </c>
      <c r="M3" s="8">
        <f t="shared" si="0"/>
        <v>3.125E-2</v>
      </c>
      <c r="N3" s="8">
        <f t="shared" si="0"/>
        <v>7.0000000000000007E-2</v>
      </c>
      <c r="O3" s="8">
        <f t="shared" si="0"/>
        <v>2.2222222222222223E-2</v>
      </c>
      <c r="P3" s="8">
        <f t="shared" si="0"/>
        <v>0.10638297872340424</v>
      </c>
    </row>
    <row r="4" spans="1:16" x14ac:dyDescent="0.3">
      <c r="A4" s="15" t="s">
        <v>46</v>
      </c>
      <c r="B4" s="19">
        <v>2.7422873169211593E-2</v>
      </c>
      <c r="C4" s="19">
        <v>0</v>
      </c>
      <c r="D4" s="19">
        <v>0</v>
      </c>
      <c r="E4" s="19">
        <v>3.125E-2</v>
      </c>
      <c r="F4" s="19">
        <v>0.02</v>
      </c>
      <c r="G4" s="19">
        <v>5.5555555555555552E-2</v>
      </c>
      <c r="H4" s="19">
        <v>4.2553191489361701E-2</v>
      </c>
      <c r="I4" s="8">
        <v>7.4816751798609887E-2</v>
      </c>
      <c r="J4" s="8">
        <f t="shared" ref="J4:J14" si="1">J3+B4</f>
        <v>7.4816751798609887E-2</v>
      </c>
      <c r="K4" s="8">
        <f t="shared" si="0"/>
        <v>4.3478260869565216E-2</v>
      </c>
      <c r="L4" s="8">
        <f t="shared" si="0"/>
        <v>5.5555555555555552E-2</v>
      </c>
      <c r="M4" s="8">
        <f t="shared" si="0"/>
        <v>6.25E-2</v>
      </c>
      <c r="N4" s="8">
        <f t="shared" si="0"/>
        <v>9.0000000000000011E-2</v>
      </c>
      <c r="O4" s="8">
        <f t="shared" si="0"/>
        <v>7.7777777777777779E-2</v>
      </c>
      <c r="P4" s="8">
        <f t="shared" si="0"/>
        <v>0.14893617021276595</v>
      </c>
    </row>
    <row r="5" spans="1:16" x14ac:dyDescent="0.3">
      <c r="A5" s="15" t="s">
        <v>40</v>
      </c>
      <c r="B5" s="19">
        <v>3.7652255206145756E-2</v>
      </c>
      <c r="C5" s="19">
        <v>0</v>
      </c>
      <c r="D5" s="19">
        <v>2.7777777777777776E-2</v>
      </c>
      <c r="E5" s="19">
        <v>3.125E-2</v>
      </c>
      <c r="F5" s="19">
        <v>0.02</v>
      </c>
      <c r="G5" s="19">
        <v>2.2222222222222223E-2</v>
      </c>
      <c r="H5" s="19">
        <v>4.2553191489361701E-2</v>
      </c>
      <c r="I5" s="8">
        <v>0.11246900700475565</v>
      </c>
      <c r="J5" s="8">
        <f t="shared" si="1"/>
        <v>0.11246900700475565</v>
      </c>
      <c r="K5" s="8">
        <f t="shared" si="0"/>
        <v>4.3478260869565216E-2</v>
      </c>
      <c r="L5" s="8">
        <f t="shared" si="0"/>
        <v>8.3333333333333329E-2</v>
      </c>
      <c r="M5" s="8">
        <f t="shared" si="0"/>
        <v>9.375E-2</v>
      </c>
      <c r="N5" s="8">
        <f t="shared" si="0"/>
        <v>0.11000000000000001</v>
      </c>
      <c r="O5" s="8">
        <f t="shared" si="0"/>
        <v>0.1</v>
      </c>
      <c r="P5" s="8">
        <f t="shared" si="0"/>
        <v>0.19148936170212766</v>
      </c>
    </row>
    <row r="6" spans="1:16" x14ac:dyDescent="0.3">
      <c r="A6" s="15" t="s">
        <v>49</v>
      </c>
      <c r="B6" s="19">
        <v>4.3518907420705355E-2</v>
      </c>
      <c r="C6" s="19">
        <v>4.3478260869565216E-2</v>
      </c>
      <c r="D6" s="19">
        <v>8.3333333333333329E-2</v>
      </c>
      <c r="E6" s="19">
        <v>6.25E-2</v>
      </c>
      <c r="F6" s="19">
        <v>0.04</v>
      </c>
      <c r="G6" s="19">
        <v>1.1111111111111112E-2</v>
      </c>
      <c r="H6" s="19">
        <v>0</v>
      </c>
      <c r="I6" s="8">
        <v>0.15598791442546101</v>
      </c>
      <c r="J6" s="8">
        <f t="shared" si="1"/>
        <v>0.15598791442546101</v>
      </c>
      <c r="K6" s="8">
        <f t="shared" si="0"/>
        <v>8.6956521739130432E-2</v>
      </c>
      <c r="L6" s="8">
        <f t="shared" si="0"/>
        <v>0.16666666666666666</v>
      </c>
      <c r="M6" s="8">
        <f t="shared" si="0"/>
        <v>0.15625</v>
      </c>
      <c r="N6" s="8">
        <f t="shared" si="0"/>
        <v>0.15000000000000002</v>
      </c>
      <c r="O6" s="8">
        <f t="shared" si="0"/>
        <v>0.11111111111111112</v>
      </c>
      <c r="P6" s="8">
        <f t="shared" si="0"/>
        <v>0.19148936170212766</v>
      </c>
    </row>
    <row r="7" spans="1:16" x14ac:dyDescent="0.3">
      <c r="A7" s="15" t="s">
        <v>116</v>
      </c>
      <c r="B7" s="19">
        <v>4.3518907420705355E-2</v>
      </c>
      <c r="C7" s="19">
        <v>0.2318840579710145</v>
      </c>
      <c r="D7" s="19">
        <v>0.19444444444444445</v>
      </c>
      <c r="E7" s="19">
        <v>0.25</v>
      </c>
      <c r="F7" s="19">
        <v>0.28999999999999998</v>
      </c>
      <c r="G7" s="19">
        <v>0.17777777777777778</v>
      </c>
      <c r="H7" s="19">
        <v>0.36170212765957449</v>
      </c>
      <c r="I7" s="8">
        <v>0.19950682184616636</v>
      </c>
      <c r="J7" s="8">
        <f t="shared" si="1"/>
        <v>0.19950682184616636</v>
      </c>
      <c r="K7" s="8">
        <f t="shared" si="0"/>
        <v>0.3188405797101449</v>
      </c>
      <c r="L7" s="8">
        <f t="shared" si="0"/>
        <v>0.3611111111111111</v>
      </c>
      <c r="M7" s="8">
        <f t="shared" si="0"/>
        <v>0.40625</v>
      </c>
      <c r="N7" s="8">
        <f t="shared" si="0"/>
        <v>0.44</v>
      </c>
      <c r="O7" s="8">
        <f t="shared" si="0"/>
        <v>0.28888888888888892</v>
      </c>
      <c r="P7" s="8">
        <f t="shared" si="0"/>
        <v>0.55319148936170215</v>
      </c>
    </row>
    <row r="8" spans="1:16" x14ac:dyDescent="0.3">
      <c r="A8" s="15" t="s">
        <v>41</v>
      </c>
      <c r="B8" s="19">
        <v>4.4467326947308518E-2</v>
      </c>
      <c r="C8" s="19">
        <v>4.3478260869565216E-2</v>
      </c>
      <c r="D8" s="19">
        <v>2.7777777777777776E-2</v>
      </c>
      <c r="E8" s="19">
        <v>0</v>
      </c>
      <c r="F8" s="19">
        <v>0.01</v>
      </c>
      <c r="G8" s="19">
        <v>2.2222222222222223E-2</v>
      </c>
      <c r="H8" s="19">
        <v>2.1276595744680851E-2</v>
      </c>
      <c r="I8" s="8">
        <v>0.24397414879347487</v>
      </c>
      <c r="J8" s="8">
        <f t="shared" si="1"/>
        <v>0.24397414879347487</v>
      </c>
      <c r="K8" s="8">
        <f t="shared" si="0"/>
        <v>0.36231884057971009</v>
      </c>
      <c r="L8" s="8">
        <f t="shared" si="0"/>
        <v>0.3888888888888889</v>
      </c>
      <c r="M8" s="8">
        <f t="shared" si="0"/>
        <v>0.40625</v>
      </c>
      <c r="N8" s="8">
        <f t="shared" si="0"/>
        <v>0.45</v>
      </c>
      <c r="O8" s="8">
        <f t="shared" si="0"/>
        <v>0.31111111111111112</v>
      </c>
      <c r="P8" s="8">
        <f t="shared" si="0"/>
        <v>0.57446808510638303</v>
      </c>
    </row>
    <row r="9" spans="1:16" x14ac:dyDescent="0.3">
      <c r="A9" s="15" t="s">
        <v>50</v>
      </c>
      <c r="B9" s="19">
        <v>6.5617082390559162E-2</v>
      </c>
      <c r="C9" s="19">
        <v>1.4492753623188406E-2</v>
      </c>
      <c r="D9" s="19">
        <v>0</v>
      </c>
      <c r="E9" s="19">
        <v>6.25E-2</v>
      </c>
      <c r="F9" s="19">
        <v>0.03</v>
      </c>
      <c r="G9" s="19">
        <v>1.1111111111111112E-2</v>
      </c>
      <c r="H9" s="19">
        <v>6.3829787234042548E-2</v>
      </c>
      <c r="I9" s="8">
        <v>0.30959123118403403</v>
      </c>
      <c r="J9" s="8">
        <f t="shared" si="1"/>
        <v>0.30959123118403403</v>
      </c>
      <c r="K9" s="8">
        <f t="shared" si="0"/>
        <v>0.3768115942028985</v>
      </c>
      <c r="L9" s="8">
        <f t="shared" si="0"/>
        <v>0.3888888888888889</v>
      </c>
      <c r="M9" s="8">
        <f t="shared" si="0"/>
        <v>0.46875</v>
      </c>
      <c r="N9" s="8">
        <f t="shared" si="0"/>
        <v>0.48</v>
      </c>
      <c r="O9" s="8">
        <f t="shared" si="0"/>
        <v>0.32222222222222224</v>
      </c>
      <c r="P9" s="8">
        <f t="shared" si="0"/>
        <v>0.63829787234042556</v>
      </c>
    </row>
    <row r="10" spans="1:16" x14ac:dyDescent="0.3">
      <c r="A10" s="15" t="s">
        <v>44</v>
      </c>
      <c r="B10" s="19">
        <v>6.7662958797945996E-2</v>
      </c>
      <c r="C10" s="19">
        <v>5.7971014492753624E-2</v>
      </c>
      <c r="D10" s="19">
        <v>8.3333333333333329E-2</v>
      </c>
      <c r="E10" s="19">
        <v>0.125</v>
      </c>
      <c r="F10" s="19">
        <v>0.06</v>
      </c>
      <c r="G10" s="19">
        <v>3.3333333333333333E-2</v>
      </c>
      <c r="H10" s="19">
        <v>6.3829787234042548E-2</v>
      </c>
      <c r="I10" s="8">
        <v>0.37725418998198001</v>
      </c>
      <c r="J10" s="8">
        <f t="shared" si="1"/>
        <v>0.37725418998198001</v>
      </c>
      <c r="K10" s="8">
        <f t="shared" si="0"/>
        <v>0.43478260869565211</v>
      </c>
      <c r="L10" s="8">
        <f t="shared" si="0"/>
        <v>0.47222222222222221</v>
      </c>
      <c r="M10" s="8">
        <f t="shared" si="0"/>
        <v>0.59375</v>
      </c>
      <c r="N10" s="8">
        <f t="shared" si="0"/>
        <v>0.54</v>
      </c>
      <c r="O10" s="8">
        <f t="shared" si="0"/>
        <v>0.35555555555555557</v>
      </c>
      <c r="P10" s="8">
        <f t="shared" si="0"/>
        <v>0.7021276595744681</v>
      </c>
    </row>
    <row r="11" spans="1:16" x14ac:dyDescent="0.3">
      <c r="A11" s="15" t="s">
        <v>42</v>
      </c>
      <c r="B11" s="19">
        <v>6.8936550733670249E-2</v>
      </c>
      <c r="C11" s="19">
        <v>4.3478260869565216E-2</v>
      </c>
      <c r="D11" s="19">
        <v>5.5555555555555552E-2</v>
      </c>
      <c r="E11" s="19">
        <v>6.25E-2</v>
      </c>
      <c r="F11" s="19">
        <v>0.03</v>
      </c>
      <c r="G11" s="19">
        <v>2.2222222222222223E-2</v>
      </c>
      <c r="H11" s="19">
        <v>2.1276595744680851E-2</v>
      </c>
      <c r="I11" s="8">
        <v>0.44619074071565024</v>
      </c>
      <c r="J11" s="8">
        <f t="shared" si="1"/>
        <v>0.44619074071565024</v>
      </c>
      <c r="K11" s="8">
        <f t="shared" si="0"/>
        <v>0.47826086956521729</v>
      </c>
      <c r="L11" s="8">
        <f t="shared" si="0"/>
        <v>0.52777777777777779</v>
      </c>
      <c r="M11" s="8">
        <f t="shared" si="0"/>
        <v>0.65625</v>
      </c>
      <c r="N11" s="8">
        <f t="shared" si="0"/>
        <v>0.57000000000000006</v>
      </c>
      <c r="O11" s="8">
        <f t="shared" si="0"/>
        <v>0.37777777777777777</v>
      </c>
      <c r="P11" s="8">
        <f t="shared" si="0"/>
        <v>0.72340425531914898</v>
      </c>
    </row>
    <row r="12" spans="1:16" x14ac:dyDescent="0.3">
      <c r="A12" s="15" t="s">
        <v>48</v>
      </c>
      <c r="B12" s="19">
        <v>7.4423835137588573E-2</v>
      </c>
      <c r="C12" s="19">
        <v>4.3478260869565216E-2</v>
      </c>
      <c r="D12" s="19">
        <v>8.3333333333333329E-2</v>
      </c>
      <c r="E12" s="19">
        <v>3.125E-2</v>
      </c>
      <c r="F12" s="19">
        <v>0.03</v>
      </c>
      <c r="G12" s="19">
        <v>1.1111111111111112E-2</v>
      </c>
      <c r="H12" s="19">
        <v>0</v>
      </c>
      <c r="I12" s="8">
        <v>0.52061457585323878</v>
      </c>
      <c r="J12" s="8">
        <f t="shared" si="1"/>
        <v>0.52061457585323878</v>
      </c>
      <c r="K12" s="8">
        <f t="shared" si="0"/>
        <v>0.52173913043478248</v>
      </c>
      <c r="L12" s="8">
        <f t="shared" si="0"/>
        <v>0.61111111111111116</v>
      </c>
      <c r="M12" s="8">
        <f t="shared" si="0"/>
        <v>0.6875</v>
      </c>
      <c r="N12" s="8">
        <f t="shared" si="0"/>
        <v>0.60000000000000009</v>
      </c>
      <c r="O12" s="8">
        <f t="shared" si="0"/>
        <v>0.3888888888888889</v>
      </c>
      <c r="P12" s="8">
        <f t="shared" si="0"/>
        <v>0.72340425531914898</v>
      </c>
    </row>
    <row r="13" spans="1:16" x14ac:dyDescent="0.3">
      <c r="A13" s="15" t="s">
        <v>43</v>
      </c>
      <c r="B13" s="19">
        <v>8.7308791849011608E-2</v>
      </c>
      <c r="C13" s="19">
        <v>4.3478260869565216E-2</v>
      </c>
      <c r="D13" s="19">
        <v>0.16666666666666666</v>
      </c>
      <c r="E13" s="19">
        <v>3.125E-2</v>
      </c>
      <c r="F13" s="19">
        <v>0.06</v>
      </c>
      <c r="G13" s="19">
        <v>2.2222222222222223E-2</v>
      </c>
      <c r="H13" s="19">
        <v>0.10638297872340426</v>
      </c>
      <c r="I13" s="8">
        <v>0.60792336770225042</v>
      </c>
      <c r="J13" s="8">
        <f t="shared" si="1"/>
        <v>0.60792336770225042</v>
      </c>
      <c r="K13" s="8">
        <f t="shared" si="0"/>
        <v>0.56521739130434767</v>
      </c>
      <c r="L13" s="8">
        <f t="shared" si="0"/>
        <v>0.77777777777777779</v>
      </c>
      <c r="M13" s="8">
        <f t="shared" si="0"/>
        <v>0.71875</v>
      </c>
      <c r="N13" s="8">
        <f t="shared" si="0"/>
        <v>0.66000000000000014</v>
      </c>
      <c r="O13" s="8">
        <f t="shared" si="0"/>
        <v>0.41111111111111109</v>
      </c>
      <c r="P13" s="8">
        <f t="shared" si="0"/>
        <v>0.82978723404255328</v>
      </c>
    </row>
    <row r="14" spans="1:16" x14ac:dyDescent="0.3">
      <c r="A14" s="15" t="s">
        <v>39</v>
      </c>
      <c r="B14" s="19">
        <v>0.16514693728237159</v>
      </c>
      <c r="C14" s="19">
        <v>5.7971014492753624E-2</v>
      </c>
      <c r="D14" s="19">
        <v>5.5555555555555552E-2</v>
      </c>
      <c r="E14" s="19">
        <v>3.125E-2</v>
      </c>
      <c r="F14" s="19">
        <v>0.06</v>
      </c>
      <c r="G14" s="19">
        <v>0.1</v>
      </c>
      <c r="H14" s="19">
        <v>0</v>
      </c>
      <c r="I14" s="8">
        <v>0.77307030498462204</v>
      </c>
      <c r="J14" s="8">
        <f t="shared" si="1"/>
        <v>0.77307030498462204</v>
      </c>
      <c r="K14" s="8">
        <f t="shared" si="0"/>
        <v>0.62318840579710133</v>
      </c>
      <c r="L14" s="8">
        <f t="shared" si="0"/>
        <v>0.83333333333333337</v>
      </c>
      <c r="M14" s="8">
        <f t="shared" si="0"/>
        <v>0.75</v>
      </c>
      <c r="N14" s="8">
        <f t="shared" si="0"/>
        <v>0.7200000000000002</v>
      </c>
      <c r="O14" s="8">
        <f t="shared" si="0"/>
        <v>0.51111111111111107</v>
      </c>
      <c r="P14" s="8">
        <f t="shared" si="0"/>
        <v>0.82978723404255328</v>
      </c>
    </row>
    <row r="15" spans="1:16" x14ac:dyDescent="0.3">
      <c r="A15" s="15" t="s">
        <v>38</v>
      </c>
      <c r="B15" s="19">
        <v>0.22692969501537794</v>
      </c>
      <c r="C15" s="19">
        <v>0.37681159420289856</v>
      </c>
      <c r="D15" s="19">
        <v>0.16666666666666666</v>
      </c>
      <c r="E15" s="19">
        <v>0.25</v>
      </c>
      <c r="F15" s="19">
        <v>0.28000000000000003</v>
      </c>
      <c r="G15" s="19">
        <v>0.48888888888888887</v>
      </c>
      <c r="H15" s="19">
        <v>0.1702127659574468</v>
      </c>
      <c r="I15" s="8">
        <v>1</v>
      </c>
      <c r="J15" s="8">
        <f t="shared" ref="J15" si="2">J14+B15</f>
        <v>1</v>
      </c>
      <c r="K15" s="8">
        <f t="shared" ref="K15" si="3">K14+C15</f>
        <v>0.99999999999999989</v>
      </c>
      <c r="L15" s="8">
        <f t="shared" ref="L15" si="4">L14+D15</f>
        <v>1</v>
      </c>
      <c r="M15" s="8">
        <f t="shared" ref="M15" si="5">M14+E15</f>
        <v>1</v>
      </c>
      <c r="N15" s="8">
        <f t="shared" ref="N15" si="6">N14+F15</f>
        <v>1.0000000000000002</v>
      </c>
      <c r="O15" s="8">
        <f t="shared" ref="O15" si="7">O14+G15</f>
        <v>1</v>
      </c>
      <c r="P15" s="8">
        <f t="shared" ref="P15" si="8">P14+H15</f>
        <v>1</v>
      </c>
    </row>
    <row r="16" spans="1:16" x14ac:dyDescent="0.3">
      <c r="A16" s="17"/>
      <c r="B16" s="16"/>
      <c r="C16" s="16"/>
      <c r="D16" s="16"/>
      <c r="E16" s="16"/>
      <c r="F16" s="16"/>
      <c r="G16" s="16"/>
      <c r="H16" s="16"/>
    </row>
    <row r="17" spans="2:16" ht="28.8" x14ac:dyDescent="0.3">
      <c r="B17" s="1" t="s">
        <v>94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107</v>
      </c>
      <c r="J17" s="7"/>
      <c r="K17" s="9" t="s">
        <v>108</v>
      </c>
      <c r="L17" s="9" t="s">
        <v>109</v>
      </c>
      <c r="M17" s="9" t="s">
        <v>110</v>
      </c>
      <c r="N17" s="9" t="s">
        <v>111</v>
      </c>
      <c r="O17" s="9" t="s">
        <v>112</v>
      </c>
      <c r="P17" s="9" t="s">
        <v>113</v>
      </c>
    </row>
    <row r="18" spans="2:16" x14ac:dyDescent="0.3">
      <c r="B18" s="7" t="s">
        <v>45</v>
      </c>
      <c r="C18" s="8">
        <f t="shared" ref="C18:C31" si="9">C2-B2</f>
        <v>-8.4589989206082534E-3</v>
      </c>
      <c r="D18" s="8">
        <f t="shared" ref="D18:D31" si="10">D2-B2</f>
        <v>-2.2951752543796659E-2</v>
      </c>
      <c r="E18" s="8">
        <f t="shared" ref="E18:E31" si="11">E2-B2</f>
        <v>-2.2951752543796659E-2</v>
      </c>
      <c r="F18" s="8">
        <f t="shared" ref="F18:F31" si="12">F2-B2</f>
        <v>7.0482474562033395E-3</v>
      </c>
      <c r="G18" s="8">
        <f t="shared" ref="G18:G31" si="13">G2-B2</f>
        <v>-2.2951752543796659E-2</v>
      </c>
      <c r="H18" s="8">
        <f t="shared" ref="H18:H31" si="14">H2-B2</f>
        <v>4.0878034690245889E-2</v>
      </c>
      <c r="J18" s="7" t="s">
        <v>45</v>
      </c>
      <c r="K18" s="7">
        <f>(J2-0) * (K2+0)</f>
        <v>3.3263409483763276E-4</v>
      </c>
      <c r="L18" s="7">
        <f>(J2-0) * (L2+0)</f>
        <v>0</v>
      </c>
      <c r="M18" s="7">
        <f>(J2-0) * (M2+0)</f>
        <v>0</v>
      </c>
      <c r="N18" s="7">
        <f>(J2-0) * (N2+0)</f>
        <v>6.8855257631389975E-4</v>
      </c>
      <c r="O18" s="7">
        <f>(J2-0) * (O2+0)</f>
        <v>0</v>
      </c>
      <c r="P18" s="7">
        <f>(J2-0) * (P2+0)</f>
        <v>1.4650054815189355E-3</v>
      </c>
    </row>
    <row r="19" spans="2:16" x14ac:dyDescent="0.3">
      <c r="B19" s="7" t="s">
        <v>47</v>
      </c>
      <c r="C19" s="8">
        <f t="shared" si="9"/>
        <v>4.5433811607751735E-3</v>
      </c>
      <c r="D19" s="8">
        <f t="shared" si="10"/>
        <v>3.1113429469953914E-2</v>
      </c>
      <c r="E19" s="8">
        <f t="shared" si="11"/>
        <v>6.8078739143983616E-3</v>
      </c>
      <c r="F19" s="8">
        <f t="shared" si="12"/>
        <v>1.5557873914398362E-2</v>
      </c>
      <c r="G19" s="8">
        <f t="shared" si="13"/>
        <v>-2.2199038633794153E-3</v>
      </c>
      <c r="H19" s="8">
        <f t="shared" si="14"/>
        <v>1.8111065403760063E-2</v>
      </c>
      <c r="J19" s="7" t="s">
        <v>47</v>
      </c>
      <c r="K19" s="7">
        <f>(J3-J2) * (K3+K2)</f>
        <v>1.4169348455421241E-3</v>
      </c>
      <c r="L19" s="7">
        <f>(J3-J2) * (L3+L2)</f>
        <v>1.3578958936445353E-3</v>
      </c>
      <c r="M19" s="7">
        <f>(J3-J2) * (M3+M2)</f>
        <v>7.638164401750512E-4</v>
      </c>
      <c r="N19" s="7">
        <f>(J3-J2) * (N3+N2)</f>
        <v>2.4442126085601639E-3</v>
      </c>
      <c r="O19" s="7">
        <f>(J3-J2) * (O3+O2)</f>
        <v>5.4315835745781418E-4</v>
      </c>
      <c r="P19" s="7">
        <f>(J3-J2) * (P3+P2)</f>
        <v>4.1603618869109167E-3</v>
      </c>
    </row>
    <row r="20" spans="2:16" x14ac:dyDescent="0.3">
      <c r="B20" s="7" t="s">
        <v>46</v>
      </c>
      <c r="C20" s="8">
        <f t="shared" si="9"/>
        <v>-2.7422873169211593E-2</v>
      </c>
      <c r="D20" s="8">
        <f t="shared" si="10"/>
        <v>-2.7422873169211593E-2</v>
      </c>
      <c r="E20" s="8">
        <f t="shared" si="11"/>
        <v>3.827126830788407E-3</v>
      </c>
      <c r="F20" s="8">
        <f t="shared" si="12"/>
        <v>-7.4228731692115926E-3</v>
      </c>
      <c r="G20" s="8">
        <f t="shared" si="13"/>
        <v>2.8132682386343959E-2</v>
      </c>
      <c r="H20" s="8">
        <f t="shared" si="14"/>
        <v>1.5130318320150108E-2</v>
      </c>
      <c r="J20" s="7" t="s">
        <v>46</v>
      </c>
      <c r="K20" s="7">
        <f t="shared" ref="K20:K31" si="15">(J4-J3) * (K4+K3)</f>
        <v>2.3845976668879641E-3</v>
      </c>
      <c r="L20" s="7">
        <f t="shared" ref="L20:L31" si="16">(J4-J3) * (L4+L3)</f>
        <v>3.0469859076901764E-3</v>
      </c>
      <c r="M20" s="7">
        <f t="shared" ref="M20:M31" si="17">(J4-J3) * (M4+M3)</f>
        <v>2.5708943596135865E-3</v>
      </c>
      <c r="N20" s="7">
        <f t="shared" ref="N20:N31" si="18">(J4-J3) * (N4+N3)</f>
        <v>4.3876597070738555E-3</v>
      </c>
      <c r="O20" s="7">
        <f t="shared" ref="O20:O31" si="19">(J4-J3) * (O4+O3)</f>
        <v>2.742287316921159E-3</v>
      </c>
      <c r="P20" s="7">
        <f t="shared" ref="P20:P31" si="20">(J4-J3) * (P4+P3)</f>
        <v>7.0015846389476395E-3</v>
      </c>
    </row>
    <row r="21" spans="2:16" x14ac:dyDescent="0.3">
      <c r="B21" s="7" t="s">
        <v>40</v>
      </c>
      <c r="C21" s="8">
        <f t="shared" si="9"/>
        <v>-3.7652255206145756E-2</v>
      </c>
      <c r="D21" s="8">
        <f t="shared" si="10"/>
        <v>-9.8744774283679795E-3</v>
      </c>
      <c r="E21" s="8">
        <f t="shared" si="11"/>
        <v>-6.4022552061457558E-3</v>
      </c>
      <c r="F21" s="8">
        <f t="shared" si="12"/>
        <v>-1.7652255206145755E-2</v>
      </c>
      <c r="G21" s="8">
        <f t="shared" si="13"/>
        <v>-1.5430032983923533E-2</v>
      </c>
      <c r="H21" s="8">
        <f t="shared" si="14"/>
        <v>4.9009362832159453E-3</v>
      </c>
      <c r="J21" s="7" t="s">
        <v>40</v>
      </c>
      <c r="K21" s="7">
        <f t="shared" si="15"/>
        <v>3.2741091483605008E-3</v>
      </c>
      <c r="L21" s="7">
        <f t="shared" si="16"/>
        <v>5.2294798897424676E-3</v>
      </c>
      <c r="M21" s="7">
        <f t="shared" si="17"/>
        <v>5.8831648759602754E-3</v>
      </c>
      <c r="N21" s="7">
        <f t="shared" si="18"/>
        <v>7.5304510412291525E-3</v>
      </c>
      <c r="O21" s="7">
        <f t="shared" si="19"/>
        <v>6.6937342588703581E-3</v>
      </c>
      <c r="P21" s="7">
        <f t="shared" si="20"/>
        <v>1.2817789006347493E-2</v>
      </c>
    </row>
    <row r="22" spans="2:16" x14ac:dyDescent="0.3">
      <c r="B22" s="7" t="s">
        <v>49</v>
      </c>
      <c r="C22" s="8">
        <f t="shared" si="9"/>
        <v>-4.064655114013882E-5</v>
      </c>
      <c r="D22" s="8">
        <f t="shared" si="10"/>
        <v>3.9814425912627974E-2</v>
      </c>
      <c r="E22" s="8">
        <f t="shared" si="11"/>
        <v>1.8981092579294645E-2</v>
      </c>
      <c r="F22" s="8">
        <f t="shared" si="12"/>
        <v>-3.5189074207053542E-3</v>
      </c>
      <c r="G22" s="8">
        <f t="shared" si="13"/>
        <v>-3.2407796309594242E-2</v>
      </c>
      <c r="H22" s="8">
        <f t="shared" si="14"/>
        <v>-4.3518907420705355E-2</v>
      </c>
      <c r="J22" s="7" t="s">
        <v>49</v>
      </c>
      <c r="K22" s="7">
        <f t="shared" si="15"/>
        <v>5.6763792287876551E-3</v>
      </c>
      <c r="L22" s="7">
        <f t="shared" si="16"/>
        <v>1.0879726855176339E-2</v>
      </c>
      <c r="M22" s="7">
        <f t="shared" si="17"/>
        <v>1.0879726855176339E-2</v>
      </c>
      <c r="N22" s="7">
        <f t="shared" si="18"/>
        <v>1.1314915929383393E-2</v>
      </c>
      <c r="O22" s="7">
        <f t="shared" si="19"/>
        <v>9.1873248999266872E-3</v>
      </c>
      <c r="P22" s="7">
        <f t="shared" si="20"/>
        <v>1.6666815607929712E-2</v>
      </c>
    </row>
    <row r="23" spans="2:16" x14ac:dyDescent="0.3">
      <c r="B23" s="7" t="s">
        <v>116</v>
      </c>
      <c r="C23" s="8">
        <f t="shared" si="9"/>
        <v>0.18836515055030914</v>
      </c>
      <c r="D23" s="8">
        <f t="shared" si="10"/>
        <v>0.15092553702373909</v>
      </c>
      <c r="E23" s="8">
        <f t="shared" si="11"/>
        <v>0.20648109257929464</v>
      </c>
      <c r="F23" s="8">
        <f t="shared" si="12"/>
        <v>0.24648109257929463</v>
      </c>
      <c r="G23" s="8">
        <f t="shared" si="13"/>
        <v>0.13425887035707243</v>
      </c>
      <c r="H23" s="8">
        <f t="shared" si="14"/>
        <v>0.31818322023886914</v>
      </c>
      <c r="J23" s="7" t="s">
        <v>116</v>
      </c>
      <c r="K23" s="7">
        <f t="shared" si="15"/>
        <v>1.7659846489561593E-2</v>
      </c>
      <c r="L23" s="7">
        <f t="shared" si="16"/>
        <v>2.2968312249816717E-2</v>
      </c>
      <c r="M23" s="7">
        <f t="shared" si="17"/>
        <v>2.4479385424146762E-2</v>
      </c>
      <c r="N23" s="7">
        <f t="shared" si="18"/>
        <v>2.5676155378216162E-2</v>
      </c>
      <c r="O23" s="7">
        <f t="shared" si="19"/>
        <v>1.7407562968282143E-2</v>
      </c>
      <c r="P23" s="7">
        <f t="shared" si="20"/>
        <v>3.2407697015418888E-2</v>
      </c>
    </row>
    <row r="24" spans="2:16" x14ac:dyDescent="0.3">
      <c r="B24" s="7" t="s">
        <v>41</v>
      </c>
      <c r="C24" s="8">
        <f t="shared" si="9"/>
        <v>-9.8906607774330163E-4</v>
      </c>
      <c r="D24" s="8">
        <f t="shared" si="10"/>
        <v>-1.6689549169530742E-2</v>
      </c>
      <c r="E24" s="8">
        <f t="shared" si="11"/>
        <v>-4.4467326947308518E-2</v>
      </c>
      <c r="F24" s="8">
        <f t="shared" si="12"/>
        <v>-3.4467326947308516E-2</v>
      </c>
      <c r="G24" s="8">
        <f t="shared" si="13"/>
        <v>-2.2245104725086295E-2</v>
      </c>
      <c r="H24" s="8">
        <f t="shared" si="14"/>
        <v>-2.3190731202627667E-2</v>
      </c>
      <c r="J24" s="7" t="s">
        <v>41</v>
      </c>
      <c r="K24" s="7">
        <f t="shared" si="15"/>
        <v>3.0289338645268112E-2</v>
      </c>
      <c r="L24" s="7">
        <f t="shared" si="16"/>
        <v>3.3350495210481383E-2</v>
      </c>
      <c r="M24" s="7">
        <f t="shared" si="17"/>
        <v>3.6129703144688163E-2</v>
      </c>
      <c r="N24" s="7">
        <f t="shared" si="18"/>
        <v>3.9575920983104577E-2</v>
      </c>
      <c r="O24" s="7">
        <f t="shared" si="19"/>
        <v>2.668039616838511E-2</v>
      </c>
      <c r="P24" s="7">
        <f t="shared" si="20"/>
        <v>5.0144006983135127E-2</v>
      </c>
    </row>
    <row r="25" spans="2:16" x14ac:dyDescent="0.3">
      <c r="B25" s="7" t="s">
        <v>50</v>
      </c>
      <c r="C25" s="8">
        <f t="shared" si="9"/>
        <v>-5.1124328767370754E-2</v>
      </c>
      <c r="D25" s="8">
        <f t="shared" si="10"/>
        <v>-6.5617082390559162E-2</v>
      </c>
      <c r="E25" s="8">
        <f t="shared" si="11"/>
        <v>-3.1170823905591616E-3</v>
      </c>
      <c r="F25" s="8">
        <f t="shared" si="12"/>
        <v>-3.5617082390559163E-2</v>
      </c>
      <c r="G25" s="8">
        <f t="shared" si="13"/>
        <v>-5.4505971279448048E-2</v>
      </c>
      <c r="H25" s="8">
        <f t="shared" si="14"/>
        <v>-1.7872951565166134E-3</v>
      </c>
      <c r="J25" s="7" t="s">
        <v>50</v>
      </c>
      <c r="K25" s="7">
        <f t="shared" si="15"/>
        <v>4.8499582636500248E-2</v>
      </c>
      <c r="L25" s="7">
        <f t="shared" si="16"/>
        <v>5.103550852599046E-2</v>
      </c>
      <c r="M25" s="7">
        <f t="shared" si="17"/>
        <v>5.7414947091739263E-2</v>
      </c>
      <c r="N25" s="7">
        <f t="shared" si="18"/>
        <v>6.1023886623220017E-2</v>
      </c>
      <c r="O25" s="7">
        <f t="shared" si="19"/>
        <v>4.1557485514020803E-2</v>
      </c>
      <c r="P25" s="7">
        <f t="shared" si="20"/>
        <v>7.9578163750252603E-2</v>
      </c>
    </row>
    <row r="26" spans="2:16" x14ac:dyDescent="0.3">
      <c r="B26" s="7" t="s">
        <v>44</v>
      </c>
      <c r="C26" s="8">
        <f t="shared" si="9"/>
        <v>-9.6919443051923723E-3</v>
      </c>
      <c r="D26" s="8">
        <f t="shared" si="10"/>
        <v>1.5670374535387332E-2</v>
      </c>
      <c r="E26" s="8">
        <f t="shared" si="11"/>
        <v>5.7337041202054004E-2</v>
      </c>
      <c r="F26" s="8">
        <f t="shared" si="12"/>
        <v>-7.6629587979459984E-3</v>
      </c>
      <c r="G26" s="8">
        <f t="shared" si="13"/>
        <v>-3.4329625464612663E-2</v>
      </c>
      <c r="H26" s="8">
        <f t="shared" si="14"/>
        <v>-3.833171563903448E-3</v>
      </c>
      <c r="J26" s="7" t="s">
        <v>44</v>
      </c>
      <c r="K26" s="7">
        <f t="shared" si="15"/>
        <v>5.4914865111376436E-2</v>
      </c>
      <c r="L26" s="7">
        <f t="shared" si="16"/>
        <v>5.8265325631564599E-2</v>
      </c>
      <c r="M26" s="7">
        <f t="shared" si="17"/>
        <v>7.189189372281761E-2</v>
      </c>
      <c r="N26" s="7">
        <f t="shared" si="18"/>
        <v>6.9016217973904906E-2</v>
      </c>
      <c r="O26" s="7">
        <f t="shared" si="19"/>
        <v>4.5860449851941168E-2</v>
      </c>
      <c r="P26" s="7">
        <f t="shared" si="20"/>
        <v>9.0697157537672282E-2</v>
      </c>
    </row>
    <row r="27" spans="2:16" x14ac:dyDescent="0.3">
      <c r="B27" s="7" t="s">
        <v>42</v>
      </c>
      <c r="C27" s="8">
        <f t="shared" si="9"/>
        <v>-2.5458289864105033E-2</v>
      </c>
      <c r="D27" s="8">
        <f t="shared" si="10"/>
        <v>-1.3380995178114696E-2</v>
      </c>
      <c r="E27" s="8">
        <f t="shared" si="11"/>
        <v>-6.4365507336702488E-3</v>
      </c>
      <c r="F27" s="8">
        <f t="shared" si="12"/>
        <v>-3.893655073367025E-2</v>
      </c>
      <c r="G27" s="8">
        <f t="shared" si="13"/>
        <v>-4.6714328511448022E-2</v>
      </c>
      <c r="H27" s="8">
        <f t="shared" si="14"/>
        <v>-4.7659954988989395E-2</v>
      </c>
      <c r="J27" s="7" t="s">
        <v>42</v>
      </c>
      <c r="K27" s="7">
        <f t="shared" si="15"/>
        <v>6.294206806117715E-2</v>
      </c>
      <c r="L27" s="7">
        <f t="shared" si="16"/>
        <v>6.8936550733670221E-2</v>
      </c>
      <c r="M27" s="7">
        <f t="shared" si="17"/>
        <v>8.6170688417087776E-2</v>
      </c>
      <c r="N27" s="7">
        <f t="shared" si="18"/>
        <v>7.6519571314373952E-2</v>
      </c>
      <c r="O27" s="7">
        <f t="shared" si="19"/>
        <v>5.0553470538024836E-2</v>
      </c>
      <c r="P27" s="7">
        <f t="shared" si="20"/>
        <v>9.8271253173529902E-2</v>
      </c>
    </row>
    <row r="28" spans="2:16" x14ac:dyDescent="0.3">
      <c r="B28" s="7" t="s">
        <v>48</v>
      </c>
      <c r="C28" s="8">
        <f t="shared" si="9"/>
        <v>-3.0945574268023357E-2</v>
      </c>
      <c r="D28" s="8">
        <f t="shared" si="10"/>
        <v>8.9094981957447555E-3</v>
      </c>
      <c r="E28" s="8">
        <f t="shared" si="11"/>
        <v>-4.3173835137588573E-2</v>
      </c>
      <c r="F28" s="8">
        <f t="shared" si="12"/>
        <v>-4.4423835137588574E-2</v>
      </c>
      <c r="G28" s="8">
        <f t="shared" si="13"/>
        <v>-6.331272402647746E-2</v>
      </c>
      <c r="H28" s="8">
        <f t="shared" si="14"/>
        <v>-7.4423835137588573E-2</v>
      </c>
      <c r="J28" s="7" t="s">
        <v>48</v>
      </c>
      <c r="K28" s="7">
        <f t="shared" si="15"/>
        <v>7.4423835137588532E-2</v>
      </c>
      <c r="L28" s="7">
        <f t="shared" si="16"/>
        <v>8.4760478906698064E-2</v>
      </c>
      <c r="M28" s="7">
        <f t="shared" si="17"/>
        <v>0.1000070284661346</v>
      </c>
      <c r="N28" s="7">
        <f t="shared" si="18"/>
        <v>8.7075887110978606E-2</v>
      </c>
      <c r="O28" s="7">
        <f t="shared" si="19"/>
        <v>5.7058273605484544E-2</v>
      </c>
      <c r="P28" s="7">
        <f t="shared" si="20"/>
        <v>0.1076770380714047</v>
      </c>
    </row>
    <row r="29" spans="2:16" x14ac:dyDescent="0.3">
      <c r="B29" s="7" t="s">
        <v>43</v>
      </c>
      <c r="C29" s="8">
        <f t="shared" si="9"/>
        <v>-4.3830530979446392E-2</v>
      </c>
      <c r="D29" s="8">
        <f t="shared" si="10"/>
        <v>7.935787481765505E-2</v>
      </c>
      <c r="E29" s="8">
        <f t="shared" si="11"/>
        <v>-5.6058791849011608E-2</v>
      </c>
      <c r="F29" s="8">
        <f t="shared" si="12"/>
        <v>-2.730879184901161E-2</v>
      </c>
      <c r="G29" s="8">
        <f t="shared" si="13"/>
        <v>-6.5086569626789381E-2</v>
      </c>
      <c r="H29" s="8">
        <f t="shared" si="14"/>
        <v>1.9074186874392648E-2</v>
      </c>
      <c r="J29" s="7" t="s">
        <v>43</v>
      </c>
      <c r="K29" s="7">
        <f t="shared" si="15"/>
        <v>9.4900860705447398E-2</v>
      </c>
      <c r="L29" s="7">
        <f t="shared" si="16"/>
        <v>0.12126221090140504</v>
      </c>
      <c r="M29" s="7">
        <f t="shared" si="17"/>
        <v>0.12277798853767261</v>
      </c>
      <c r="N29" s="7">
        <f t="shared" si="18"/>
        <v>0.11000907772975468</v>
      </c>
      <c r="O29" s="7">
        <f t="shared" si="19"/>
        <v>6.9847033479209314E-2</v>
      </c>
      <c r="P29" s="7">
        <f t="shared" si="20"/>
        <v>0.13560727244633725</v>
      </c>
    </row>
    <row r="30" spans="2:16" x14ac:dyDescent="0.3">
      <c r="B30" s="7" t="s">
        <v>39</v>
      </c>
      <c r="C30" s="8">
        <f t="shared" si="9"/>
        <v>-0.10717592278961796</v>
      </c>
      <c r="D30" s="8">
        <f t="shared" si="10"/>
        <v>-0.10959138172681604</v>
      </c>
      <c r="E30" s="8">
        <f t="shared" si="11"/>
        <v>-0.13389693728237159</v>
      </c>
      <c r="F30" s="8">
        <f t="shared" si="12"/>
        <v>-0.10514693728237159</v>
      </c>
      <c r="G30" s="8">
        <f t="shared" si="13"/>
        <v>-6.5146937282371586E-2</v>
      </c>
      <c r="H30" s="8">
        <f t="shared" si="14"/>
        <v>-0.16514693728237159</v>
      </c>
      <c r="J30" s="7" t="s">
        <v>39</v>
      </c>
      <c r="K30" s="7">
        <f t="shared" si="15"/>
        <v>0.19626157763991986</v>
      </c>
      <c r="L30" s="7">
        <f t="shared" si="16"/>
        <v>0.26607006562159874</v>
      </c>
      <c r="M30" s="7">
        <f t="shared" si="17"/>
        <v>0.24255956413348331</v>
      </c>
      <c r="N30" s="7">
        <f t="shared" si="18"/>
        <v>0.22790277344967289</v>
      </c>
      <c r="O30" s="7">
        <f t="shared" si="19"/>
        <v>0.1523021754937427</v>
      </c>
      <c r="P30" s="7">
        <f t="shared" si="20"/>
        <v>0.27407364059627631</v>
      </c>
    </row>
    <row r="31" spans="2:16" x14ac:dyDescent="0.3">
      <c r="B31" s="7" t="s">
        <v>38</v>
      </c>
      <c r="C31" s="8">
        <f t="shared" si="9"/>
        <v>0.14988189918752062</v>
      </c>
      <c r="D31" s="8">
        <f t="shared" si="10"/>
        <v>-6.0263028348711278E-2</v>
      </c>
      <c r="E31" s="8">
        <f t="shared" si="11"/>
        <v>2.3070304984622064E-2</v>
      </c>
      <c r="F31" s="8">
        <f t="shared" si="12"/>
        <v>5.3070304984622091E-2</v>
      </c>
      <c r="G31" s="8">
        <f t="shared" si="13"/>
        <v>0.26195919387351096</v>
      </c>
      <c r="H31" s="8">
        <f t="shared" si="14"/>
        <v>-5.6716929057931131E-2</v>
      </c>
      <c r="J31" s="7" t="s">
        <v>38</v>
      </c>
      <c r="K31" s="7">
        <f t="shared" si="15"/>
        <v>0.36834964988003371</v>
      </c>
      <c r="L31" s="7">
        <f t="shared" si="16"/>
        <v>0.41603777419485966</v>
      </c>
      <c r="M31" s="7">
        <f t="shared" si="17"/>
        <v>0.39712696627691146</v>
      </c>
      <c r="N31" s="7">
        <f t="shared" si="18"/>
        <v>0.39031907542645017</v>
      </c>
      <c r="O31" s="7">
        <f t="shared" si="19"/>
        <v>0.34291598357879338</v>
      </c>
      <c r="P31" s="7">
        <f t="shared" si="20"/>
        <v>0.41523305896430868</v>
      </c>
    </row>
    <row r="32" spans="2:16" x14ac:dyDescent="0.3">
      <c r="J32" s="11" t="s">
        <v>114</v>
      </c>
      <c r="K32" s="9">
        <f>SUM(K18:K31)</f>
        <v>0.961326279291289</v>
      </c>
      <c r="L32" s="9">
        <f t="shared" ref="L32:P32" si="21">SUM(L18:L31)</f>
        <v>1.1432008105223384</v>
      </c>
      <c r="M32" s="9">
        <f t="shared" si="21"/>
        <v>1.1586557677456069</v>
      </c>
      <c r="N32" s="9">
        <f t="shared" si="21"/>
        <v>1.1134843578522364</v>
      </c>
      <c r="O32" s="9">
        <f t="shared" si="21"/>
        <v>0.82334933603105998</v>
      </c>
      <c r="P32" s="9">
        <f t="shared" si="21"/>
        <v>1.3258008451599905</v>
      </c>
    </row>
    <row r="33" spans="10:16" x14ac:dyDescent="0.3">
      <c r="J33" s="12" t="s">
        <v>115</v>
      </c>
      <c r="K33" s="10">
        <f>1-K32</f>
        <v>3.8673720708711001E-2</v>
      </c>
      <c r="L33" s="10">
        <f t="shared" ref="L33:P33" si="22">1-L32</f>
        <v>-0.14320081052233835</v>
      </c>
      <c r="M33" s="10">
        <f t="shared" si="22"/>
        <v>-0.15865576774560686</v>
      </c>
      <c r="N33" s="10">
        <f t="shared" si="22"/>
        <v>-0.11348435785223643</v>
      </c>
      <c r="O33" s="10">
        <f t="shared" si="22"/>
        <v>0.17665066396894002</v>
      </c>
      <c r="P33" s="10">
        <f t="shared" si="22"/>
        <v>-0.32580084515999053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B6C3-20A2-47BB-8A79-9409E3924FC5}">
  <dimension ref="A1:P28"/>
  <sheetViews>
    <sheetView zoomScale="77" workbookViewId="0">
      <selection activeCell="J32" sqref="J3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52</v>
      </c>
      <c r="B2" s="19">
        <v>8.9576824765691572E-3</v>
      </c>
      <c r="C2" s="19">
        <v>0</v>
      </c>
      <c r="D2" s="19">
        <v>1.0101010101010102E-2</v>
      </c>
      <c r="E2" s="19">
        <v>0</v>
      </c>
      <c r="F2" s="19">
        <v>5.8823529411764705E-3</v>
      </c>
      <c r="G2" s="19">
        <v>0</v>
      </c>
      <c r="H2" s="19">
        <v>1.9607843137254902E-2</v>
      </c>
      <c r="I2" s="8">
        <v>8.9576824765691572E-3</v>
      </c>
      <c r="J2" s="20">
        <v>8.9576824765691572E-3</v>
      </c>
      <c r="K2" s="20">
        <v>0</v>
      </c>
      <c r="L2" s="20">
        <v>1.0101010101010102E-2</v>
      </c>
      <c r="M2" s="20">
        <v>0</v>
      </c>
      <c r="N2" s="20">
        <v>5.8823529411764705E-3</v>
      </c>
      <c r="O2" s="20">
        <v>0</v>
      </c>
      <c r="P2" s="20">
        <v>1.9607843137254902E-2</v>
      </c>
    </row>
    <row r="3" spans="1:16" x14ac:dyDescent="0.3">
      <c r="A3" s="8" t="s">
        <v>60</v>
      </c>
      <c r="B3" s="19">
        <v>1.7262141437091736E-2</v>
      </c>
      <c r="C3" s="19">
        <v>0</v>
      </c>
      <c r="D3" s="19">
        <v>1.0101010101010102E-2</v>
      </c>
      <c r="E3" s="19">
        <v>1.6129032258064516E-2</v>
      </c>
      <c r="F3" s="19">
        <v>2.3529411764705882E-2</v>
      </c>
      <c r="G3" s="19">
        <v>2.9126213592233011E-2</v>
      </c>
      <c r="H3" s="19">
        <v>0</v>
      </c>
      <c r="I3" s="8">
        <v>2.6219823913660893E-2</v>
      </c>
      <c r="J3" s="8">
        <f>J2+B3</f>
        <v>2.6219823913660893E-2</v>
      </c>
      <c r="K3" s="8">
        <f>K2+C3</f>
        <v>0</v>
      </c>
      <c r="L3" s="8">
        <f t="shared" ref="L3:P12" si="0">L2+D3</f>
        <v>2.0202020202020204E-2</v>
      </c>
      <c r="M3" s="8">
        <f t="shared" si="0"/>
        <v>1.6129032258064516E-2</v>
      </c>
      <c r="N3" s="8">
        <f t="shared" si="0"/>
        <v>2.9411764705882353E-2</v>
      </c>
      <c r="O3" s="8">
        <f t="shared" si="0"/>
        <v>2.9126213592233011E-2</v>
      </c>
      <c r="P3" s="8">
        <f t="shared" si="0"/>
        <v>1.9607843137254902E-2</v>
      </c>
    </row>
    <row r="4" spans="1:16" x14ac:dyDescent="0.3">
      <c r="A4" s="8" t="s">
        <v>61</v>
      </c>
      <c r="B4" s="19">
        <v>2.0278330019880716E-2</v>
      </c>
      <c r="C4" s="19">
        <v>0</v>
      </c>
      <c r="D4" s="19">
        <v>2.0202020202020204E-2</v>
      </c>
      <c r="E4" s="19">
        <v>4.0322580645161289E-2</v>
      </c>
      <c r="F4" s="19">
        <v>2.9411764705882353E-2</v>
      </c>
      <c r="G4" s="19">
        <v>3.8834951456310676E-2</v>
      </c>
      <c r="H4" s="19">
        <v>0</v>
      </c>
      <c r="I4" s="8">
        <v>4.6498153933541606E-2</v>
      </c>
      <c r="J4" s="8">
        <f t="shared" ref="J4:K12" si="1">J3+B4</f>
        <v>4.6498153933541606E-2</v>
      </c>
      <c r="K4" s="8">
        <f t="shared" si="1"/>
        <v>0</v>
      </c>
      <c r="L4" s="8">
        <f t="shared" si="0"/>
        <v>4.0404040404040407E-2</v>
      </c>
      <c r="M4" s="8">
        <f t="shared" si="0"/>
        <v>5.6451612903225805E-2</v>
      </c>
      <c r="N4" s="8">
        <f t="shared" si="0"/>
        <v>5.8823529411764705E-2</v>
      </c>
      <c r="O4" s="8">
        <f t="shared" si="0"/>
        <v>6.7961165048543687E-2</v>
      </c>
      <c r="P4" s="8">
        <f t="shared" si="0"/>
        <v>1.9607843137254902E-2</v>
      </c>
    </row>
    <row r="5" spans="1:16" x14ac:dyDescent="0.3">
      <c r="A5" s="8" t="s">
        <v>58</v>
      </c>
      <c r="B5" s="19">
        <v>2.6401590457256461E-2</v>
      </c>
      <c r="C5" s="19">
        <v>6.0810810810810814E-2</v>
      </c>
      <c r="D5" s="19">
        <v>7.0707070707070704E-2</v>
      </c>
      <c r="E5" s="19">
        <v>8.0645161290322578E-3</v>
      </c>
      <c r="F5" s="19">
        <v>4.7058823529411764E-2</v>
      </c>
      <c r="G5" s="19">
        <v>8.7378640776699032E-2</v>
      </c>
      <c r="H5" s="19">
        <v>7.8431372549019607E-2</v>
      </c>
      <c r="I5" s="8">
        <v>7.2899744390798063E-2</v>
      </c>
      <c r="J5" s="8">
        <f t="shared" si="1"/>
        <v>7.2899744390798063E-2</v>
      </c>
      <c r="K5" s="8">
        <f t="shared" si="1"/>
        <v>6.0810810810810814E-2</v>
      </c>
      <c r="L5" s="8">
        <f t="shared" si="0"/>
        <v>0.1111111111111111</v>
      </c>
      <c r="M5" s="8">
        <f t="shared" si="0"/>
        <v>6.4516129032258063E-2</v>
      </c>
      <c r="N5" s="8">
        <f t="shared" si="0"/>
        <v>0.10588235294117647</v>
      </c>
      <c r="O5" s="8">
        <f t="shared" si="0"/>
        <v>0.1553398058252427</v>
      </c>
      <c r="P5" s="8">
        <f t="shared" si="0"/>
        <v>9.8039215686274508E-2</v>
      </c>
    </row>
    <row r="6" spans="1:16" x14ac:dyDescent="0.3">
      <c r="A6" s="8" t="s">
        <v>59</v>
      </c>
      <c r="B6" s="19">
        <v>2.7026412950866233E-2</v>
      </c>
      <c r="C6" s="19">
        <v>1.3513513513513514E-2</v>
      </c>
      <c r="D6" s="19">
        <v>1.0101010101010102E-2</v>
      </c>
      <c r="E6" s="19">
        <v>2.4193548387096774E-2</v>
      </c>
      <c r="F6" s="19">
        <v>1.1764705882352941E-2</v>
      </c>
      <c r="G6" s="19">
        <v>6.7961165048543687E-2</v>
      </c>
      <c r="H6" s="19">
        <v>0</v>
      </c>
      <c r="I6" s="8">
        <v>9.9926157341664296E-2</v>
      </c>
      <c r="J6" s="8">
        <f t="shared" si="1"/>
        <v>9.9926157341664296E-2</v>
      </c>
      <c r="K6" s="8">
        <f t="shared" si="1"/>
        <v>7.4324324324324328E-2</v>
      </c>
      <c r="L6" s="8">
        <f t="shared" si="0"/>
        <v>0.1212121212121212</v>
      </c>
      <c r="M6" s="8">
        <f t="shared" si="0"/>
        <v>8.8709677419354843E-2</v>
      </c>
      <c r="N6" s="8">
        <f t="shared" si="0"/>
        <v>0.11764705882352941</v>
      </c>
      <c r="O6" s="8">
        <f t="shared" si="0"/>
        <v>0.22330097087378639</v>
      </c>
      <c r="P6" s="8">
        <f t="shared" si="0"/>
        <v>9.8039215686274508E-2</v>
      </c>
    </row>
    <row r="7" spans="1:16" x14ac:dyDescent="0.3">
      <c r="A7" s="8" t="s">
        <v>53</v>
      </c>
      <c r="B7" s="19">
        <v>3.0167566032377167E-2</v>
      </c>
      <c r="C7" s="19">
        <v>1.3513513513513514E-2</v>
      </c>
      <c r="D7" s="19">
        <v>2.0202020202020204E-2</v>
      </c>
      <c r="E7" s="19">
        <v>4.8387096774193547E-2</v>
      </c>
      <c r="F7" s="19">
        <v>5.8823529411764705E-2</v>
      </c>
      <c r="G7" s="19">
        <v>9.7087378640776691E-3</v>
      </c>
      <c r="H7" s="19">
        <v>3.9215686274509803E-2</v>
      </c>
      <c r="I7" s="8">
        <v>0.13009372337404146</v>
      </c>
      <c r="J7" s="8">
        <f t="shared" si="1"/>
        <v>0.13009372337404146</v>
      </c>
      <c r="K7" s="8">
        <f t="shared" si="1"/>
        <v>8.7837837837837843E-2</v>
      </c>
      <c r="L7" s="8">
        <f t="shared" si="0"/>
        <v>0.14141414141414141</v>
      </c>
      <c r="M7" s="8">
        <f t="shared" si="0"/>
        <v>0.13709677419354838</v>
      </c>
      <c r="N7" s="8">
        <f t="shared" si="0"/>
        <v>0.1764705882352941</v>
      </c>
      <c r="O7" s="8">
        <f t="shared" si="0"/>
        <v>0.23300970873786406</v>
      </c>
      <c r="P7" s="8">
        <f t="shared" si="0"/>
        <v>0.13725490196078433</v>
      </c>
    </row>
    <row r="8" spans="1:16" x14ac:dyDescent="0.3">
      <c r="A8" s="8" t="s">
        <v>57</v>
      </c>
      <c r="B8" s="19">
        <v>3.2627094575404712E-2</v>
      </c>
      <c r="C8" s="19">
        <v>6.7567567567567571E-3</v>
      </c>
      <c r="D8" s="19">
        <v>2.0202020202020204E-2</v>
      </c>
      <c r="E8" s="19">
        <v>6.4516129032258063E-2</v>
      </c>
      <c r="F8" s="19">
        <v>3.5294117647058823E-2</v>
      </c>
      <c r="G8" s="19">
        <v>4.8543689320388349E-2</v>
      </c>
      <c r="H8" s="19">
        <v>5.8823529411764705E-2</v>
      </c>
      <c r="I8" s="8">
        <v>0.16272081794944618</v>
      </c>
      <c r="J8" s="8">
        <f t="shared" si="1"/>
        <v>0.16272081794944618</v>
      </c>
      <c r="K8" s="8">
        <f t="shared" si="1"/>
        <v>9.45945945945946E-2</v>
      </c>
      <c r="L8" s="8">
        <f t="shared" si="0"/>
        <v>0.1616161616161616</v>
      </c>
      <c r="M8" s="8">
        <f t="shared" si="0"/>
        <v>0.20161290322580644</v>
      </c>
      <c r="N8" s="8">
        <f t="shared" si="0"/>
        <v>0.21176470588235291</v>
      </c>
      <c r="O8" s="8">
        <f t="shared" si="0"/>
        <v>0.28155339805825241</v>
      </c>
      <c r="P8" s="8">
        <f t="shared" si="0"/>
        <v>0.19607843137254904</v>
      </c>
    </row>
    <row r="9" spans="1:16" x14ac:dyDescent="0.3">
      <c r="A9" s="8" t="s">
        <v>55</v>
      </c>
      <c r="B9" s="19">
        <v>6.1448452144277195E-2</v>
      </c>
      <c r="C9" s="19">
        <v>4.0540540540540543E-2</v>
      </c>
      <c r="D9" s="19">
        <v>2.0202020202020204E-2</v>
      </c>
      <c r="E9" s="19">
        <v>3.2258064516129031E-2</v>
      </c>
      <c r="F9" s="19">
        <v>5.2941176470588235E-2</v>
      </c>
      <c r="G9" s="19">
        <v>2.9126213592233011E-2</v>
      </c>
      <c r="H9" s="19">
        <v>3.9215686274509803E-2</v>
      </c>
      <c r="I9" s="8">
        <v>0.22416927009372337</v>
      </c>
      <c r="J9" s="8">
        <f t="shared" si="1"/>
        <v>0.22416927009372337</v>
      </c>
      <c r="K9" s="8">
        <f t="shared" si="1"/>
        <v>0.13513513513513514</v>
      </c>
      <c r="L9" s="8">
        <f t="shared" si="0"/>
        <v>0.1818181818181818</v>
      </c>
      <c r="M9" s="8">
        <f t="shared" si="0"/>
        <v>0.23387096774193547</v>
      </c>
      <c r="N9" s="8">
        <f t="shared" si="0"/>
        <v>0.26470588235294112</v>
      </c>
      <c r="O9" s="8">
        <f t="shared" si="0"/>
        <v>0.31067961165048541</v>
      </c>
      <c r="P9" s="8">
        <f t="shared" si="0"/>
        <v>0.23529411764705885</v>
      </c>
    </row>
    <row r="10" spans="1:16" x14ac:dyDescent="0.3">
      <c r="A10" s="8" t="s">
        <v>54</v>
      </c>
      <c r="B10" s="19">
        <v>6.4657767679636463E-2</v>
      </c>
      <c r="C10" s="19">
        <v>5.4054054054054057E-2</v>
      </c>
      <c r="D10" s="19">
        <v>6.0606060606060608E-2</v>
      </c>
      <c r="E10" s="19">
        <v>4.8387096774193547E-2</v>
      </c>
      <c r="F10" s="19">
        <v>5.2941176470588235E-2</v>
      </c>
      <c r="G10" s="19">
        <v>9.7087378640776698E-2</v>
      </c>
      <c r="H10" s="19">
        <v>0.13725490196078433</v>
      </c>
      <c r="I10" s="8">
        <v>0.28882703777335983</v>
      </c>
      <c r="J10" s="8">
        <f t="shared" si="1"/>
        <v>0.28882703777335983</v>
      </c>
      <c r="K10" s="8">
        <f t="shared" si="1"/>
        <v>0.1891891891891892</v>
      </c>
      <c r="L10" s="8">
        <f t="shared" si="0"/>
        <v>0.2424242424242424</v>
      </c>
      <c r="M10" s="8">
        <f t="shared" si="0"/>
        <v>0.282258064516129</v>
      </c>
      <c r="N10" s="8">
        <f t="shared" si="0"/>
        <v>0.31764705882352934</v>
      </c>
      <c r="O10" s="8">
        <f t="shared" si="0"/>
        <v>0.40776699029126212</v>
      </c>
      <c r="P10" s="8">
        <f t="shared" si="0"/>
        <v>0.37254901960784315</v>
      </c>
    </row>
    <row r="11" spans="1:16" x14ac:dyDescent="0.3">
      <c r="A11" s="8" t="s">
        <v>56</v>
      </c>
      <c r="B11" s="19">
        <v>8.636750923033229E-2</v>
      </c>
      <c r="C11" s="19">
        <v>5.4054054054054057E-2</v>
      </c>
      <c r="D11" s="19">
        <v>4.0404040404040407E-2</v>
      </c>
      <c r="E11" s="19">
        <v>2.4193548387096774E-2</v>
      </c>
      <c r="F11" s="19">
        <v>7.0588235294117646E-2</v>
      </c>
      <c r="G11" s="19">
        <v>7.7669902912621352E-2</v>
      </c>
      <c r="H11" s="19">
        <v>7.8431372549019607E-2</v>
      </c>
      <c r="I11" s="8">
        <v>0.37519454700369215</v>
      </c>
      <c r="J11" s="8">
        <f t="shared" si="1"/>
        <v>0.37519454700369215</v>
      </c>
      <c r="K11" s="8">
        <f t="shared" si="1"/>
        <v>0.24324324324324326</v>
      </c>
      <c r="L11" s="8">
        <f t="shared" si="0"/>
        <v>0.28282828282828282</v>
      </c>
      <c r="M11" s="8">
        <f t="shared" si="0"/>
        <v>0.30645161290322576</v>
      </c>
      <c r="N11" s="8">
        <f t="shared" si="0"/>
        <v>0.38823529411764701</v>
      </c>
      <c r="O11" s="8">
        <f t="shared" si="0"/>
        <v>0.4854368932038835</v>
      </c>
      <c r="P11" s="8">
        <f t="shared" si="0"/>
        <v>0.45098039215686275</v>
      </c>
    </row>
    <row r="12" spans="1:16" x14ac:dyDescent="0.3">
      <c r="A12" s="8" t="s">
        <v>51</v>
      </c>
      <c r="B12" s="19">
        <v>0.62480545299630785</v>
      </c>
      <c r="C12" s="19">
        <v>0.7567567567567568</v>
      </c>
      <c r="D12" s="19">
        <v>0.71717171717171713</v>
      </c>
      <c r="E12" s="19">
        <v>0.69354838709677424</v>
      </c>
      <c r="F12" s="19">
        <v>0.61176470588235299</v>
      </c>
      <c r="G12" s="19">
        <v>0.5145631067961165</v>
      </c>
      <c r="H12" s="19">
        <v>0.5490196078431373</v>
      </c>
      <c r="I12" s="8">
        <v>1</v>
      </c>
      <c r="J12" s="8">
        <f t="shared" si="1"/>
        <v>1</v>
      </c>
      <c r="K12" s="8">
        <f t="shared" si="1"/>
        <v>1</v>
      </c>
      <c r="L12" s="8">
        <f t="shared" si="0"/>
        <v>1</v>
      </c>
      <c r="M12" s="8">
        <f t="shared" si="0"/>
        <v>1</v>
      </c>
      <c r="N12" s="8">
        <f t="shared" si="0"/>
        <v>1</v>
      </c>
      <c r="O12" s="8">
        <f t="shared" si="0"/>
        <v>1</v>
      </c>
      <c r="P12" s="8">
        <f t="shared" si="0"/>
        <v>1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9" t="s">
        <v>108</v>
      </c>
      <c r="L15" s="9" t="s">
        <v>109</v>
      </c>
      <c r="M15" s="9" t="s">
        <v>110</v>
      </c>
      <c r="N15" s="9" t="s">
        <v>111</v>
      </c>
      <c r="O15" s="9" t="s">
        <v>112</v>
      </c>
      <c r="P15" s="9" t="s">
        <v>113</v>
      </c>
    </row>
    <row r="16" spans="1:16" x14ac:dyDescent="0.3">
      <c r="B16" s="8" t="s">
        <v>52</v>
      </c>
      <c r="C16" s="8">
        <f>C2-B2</f>
        <v>-8.9576824765691572E-3</v>
      </c>
      <c r="D16" s="8">
        <f>D2-B2</f>
        <v>1.1433276244409447E-3</v>
      </c>
      <c r="E16" s="8">
        <f>E2-B2</f>
        <v>-8.9576824765691572E-3</v>
      </c>
      <c r="F16" s="8">
        <f>F2-B2</f>
        <v>-3.0753295353926867E-3</v>
      </c>
      <c r="G16" s="8">
        <f>G2-B2</f>
        <v>-8.9576824765691572E-3</v>
      </c>
      <c r="H16" s="8">
        <f>H2-B2</f>
        <v>1.0650160660685744E-2</v>
      </c>
      <c r="J16" s="8" t="s">
        <v>52</v>
      </c>
      <c r="K16" s="7">
        <f>(J2-0) * ((K2+0))</f>
        <v>0</v>
      </c>
      <c r="L16" s="7">
        <f>(J2-0) * ((L2+0))</f>
        <v>9.048164117746624E-5</v>
      </c>
      <c r="M16" s="7">
        <f>(J2-0) * ((M2+0))</f>
        <v>0</v>
      </c>
      <c r="N16" s="7">
        <f>(J2-0) * ((N2+0))</f>
        <v>5.2692249862171511E-5</v>
      </c>
      <c r="O16" s="7">
        <f>(J2-0) * ((O2+0))</f>
        <v>0</v>
      </c>
      <c r="P16" s="7">
        <f>(J2-0) * ((P2+0))</f>
        <v>1.7564083287390504E-4</v>
      </c>
    </row>
    <row r="17" spans="2:16" x14ac:dyDescent="0.3">
      <c r="B17" s="8" t="s">
        <v>60</v>
      </c>
      <c r="C17" s="8">
        <f t="shared" ref="C17:C26" si="2">C3-B3</f>
        <v>-1.7262141437091736E-2</v>
      </c>
      <c r="D17" s="8">
        <f t="shared" ref="D17:D26" si="3">D3-B3</f>
        <v>-7.1611313360816341E-3</v>
      </c>
      <c r="E17" s="8">
        <f t="shared" ref="E17:E26" si="4">E3-B3</f>
        <v>-1.1331091790272203E-3</v>
      </c>
      <c r="F17" s="8">
        <f t="shared" ref="F17:F26" si="5">F3-B3</f>
        <v>6.267270327614146E-3</v>
      </c>
      <c r="G17" s="8">
        <f t="shared" ref="G17:G26" si="6">G3-B3</f>
        <v>1.1864072155141275E-2</v>
      </c>
      <c r="H17" s="8">
        <f t="shared" ref="H17:H26" si="7">H3-B3</f>
        <v>-1.7262141437091736E-2</v>
      </c>
      <c r="J17" s="8" t="s">
        <v>60</v>
      </c>
      <c r="K17" s="7">
        <f>(J3-J2) * ((K3+K2))</f>
        <v>0</v>
      </c>
      <c r="L17" s="7">
        <f>(J3-J2) * ((L3+L2))</f>
        <v>5.2309519506338591E-4</v>
      </c>
      <c r="M17" s="7">
        <f>(J3-J2) * ((M3+M2))</f>
        <v>2.7842163608212479E-4</v>
      </c>
      <c r="N17" s="7">
        <f>(J3-J2) * ((N3+N2))</f>
        <v>6.0925205072088475E-4</v>
      </c>
      <c r="O17" s="7">
        <f>(J3-J2) * ((O3+O2))</f>
        <v>5.0278081855607002E-4</v>
      </c>
      <c r="P17" s="7">
        <f>(J3-J2) * ((P3+P2))</f>
        <v>6.7694672302320532E-4</v>
      </c>
    </row>
    <row r="18" spans="2:16" x14ac:dyDescent="0.3">
      <c r="B18" s="8" t="s">
        <v>61</v>
      </c>
      <c r="C18" s="8">
        <f t="shared" si="2"/>
        <v>-2.0278330019880716E-2</v>
      </c>
      <c r="D18" s="8">
        <f t="shared" si="3"/>
        <v>-7.6309817860512053E-5</v>
      </c>
      <c r="E18" s="8">
        <f t="shared" si="4"/>
        <v>2.0044250625280573E-2</v>
      </c>
      <c r="F18" s="8">
        <f t="shared" si="5"/>
        <v>9.1334346860016367E-3</v>
      </c>
      <c r="G18" s="8">
        <f t="shared" si="6"/>
        <v>1.855662143642996E-2</v>
      </c>
      <c r="H18" s="8">
        <f t="shared" si="7"/>
        <v>-2.0278330019880716E-2</v>
      </c>
      <c r="J18" s="8" t="s">
        <v>61</v>
      </c>
      <c r="K18" s="7">
        <f t="shared" ref="K18:K26" si="8">(J4-J3) * ((K4+K3))</f>
        <v>0</v>
      </c>
      <c r="L18" s="7">
        <f t="shared" ref="L18:L26" si="9">(J4-J3) * ((L4+L3))</f>
        <v>1.2289896981745887E-3</v>
      </c>
      <c r="M18" s="7">
        <f t="shared" ref="M18:M26" si="10">(J4-J3) * ((M4+M3))</f>
        <v>1.4718142756365031E-3</v>
      </c>
      <c r="N18" s="7">
        <f t="shared" ref="N18:N26" si="11">(J4-J3) * ((N4+N3))</f>
        <v>1.7892644135188863E-3</v>
      </c>
      <c r="O18" s="7">
        <f t="shared" ref="O18:O26" si="12">(J4-J3) * ((O4+O3))</f>
        <v>1.9687699048427875E-3</v>
      </c>
      <c r="P18" s="7">
        <f t="shared" ref="P18:P26" si="13">(J4-J3) * ((P4+P3))</f>
        <v>7.9522862823061611E-4</v>
      </c>
    </row>
    <row r="19" spans="2:16" x14ac:dyDescent="0.3">
      <c r="B19" s="8" t="s">
        <v>58</v>
      </c>
      <c r="C19" s="8">
        <f t="shared" si="2"/>
        <v>3.4409220353554357E-2</v>
      </c>
      <c r="D19" s="8">
        <f t="shared" si="3"/>
        <v>4.4305480249814247E-2</v>
      </c>
      <c r="E19" s="8">
        <f t="shared" si="4"/>
        <v>-1.8337074328224203E-2</v>
      </c>
      <c r="F19" s="8">
        <f t="shared" si="5"/>
        <v>2.0657233072155303E-2</v>
      </c>
      <c r="G19" s="8">
        <f t="shared" si="6"/>
        <v>6.0977050319442574E-2</v>
      </c>
      <c r="H19" s="8">
        <f t="shared" si="7"/>
        <v>5.2029782091763149E-2</v>
      </c>
      <c r="J19" s="8" t="s">
        <v>58</v>
      </c>
      <c r="K19" s="7">
        <f t="shared" si="8"/>
        <v>1.6055021224007306E-3</v>
      </c>
      <c r="L19" s="7">
        <f t="shared" si="9"/>
        <v>4.0002409783721909E-3</v>
      </c>
      <c r="M19" s="7">
        <f t="shared" si="10"/>
        <v>3.1937407811197327E-3</v>
      </c>
      <c r="N19" s="7">
        <f t="shared" si="11"/>
        <v>4.3484972517834168E-3</v>
      </c>
      <c r="O19" s="7">
        <f t="shared" si="12"/>
        <v>5.8955007817174613E-3</v>
      </c>
      <c r="P19" s="7">
        <f t="shared" si="13"/>
        <v>3.106069465559583E-3</v>
      </c>
    </row>
    <row r="20" spans="2:16" x14ac:dyDescent="0.3">
      <c r="B20" s="8" t="s">
        <v>59</v>
      </c>
      <c r="C20" s="8">
        <f t="shared" si="2"/>
        <v>-1.3512899437352718E-2</v>
      </c>
      <c r="D20" s="8">
        <f t="shared" si="3"/>
        <v>-1.6925402849856129E-2</v>
      </c>
      <c r="E20" s="8">
        <f t="shared" si="4"/>
        <v>-2.8328645637694591E-3</v>
      </c>
      <c r="F20" s="8">
        <f t="shared" si="5"/>
        <v>-1.5261707068513292E-2</v>
      </c>
      <c r="G20" s="8">
        <f t="shared" si="6"/>
        <v>4.0934752097677454E-2</v>
      </c>
      <c r="H20" s="8">
        <f t="shared" si="7"/>
        <v>-2.7026412950866233E-2</v>
      </c>
      <c r="J20" s="8" t="s">
        <v>59</v>
      </c>
      <c r="K20" s="7">
        <f t="shared" si="8"/>
        <v>3.6522179663332748E-3</v>
      </c>
      <c r="L20" s="7">
        <f t="shared" si="9"/>
        <v>6.2788636148477109E-3</v>
      </c>
      <c r="M20" s="7">
        <f t="shared" si="10"/>
        <v>4.1411439198907937E-3</v>
      </c>
      <c r="N20" s="7">
        <f t="shared" si="11"/>
        <v>6.0411981890171572E-3</v>
      </c>
      <c r="O20" s="7">
        <f t="shared" si="12"/>
        <v>1.0233301991104688E-2</v>
      </c>
      <c r="P20" s="7">
        <f t="shared" si="13"/>
        <v>5.2992966570325943E-3</v>
      </c>
    </row>
    <row r="21" spans="2:16" x14ac:dyDescent="0.3">
      <c r="B21" s="8" t="s">
        <v>53</v>
      </c>
      <c r="C21" s="8">
        <f t="shared" si="2"/>
        <v>-1.6654052518863652E-2</v>
      </c>
      <c r="D21" s="8">
        <f t="shared" si="3"/>
        <v>-9.965545830356963E-3</v>
      </c>
      <c r="E21" s="8">
        <f t="shared" si="4"/>
        <v>1.821953074181638E-2</v>
      </c>
      <c r="F21" s="8">
        <f t="shared" si="5"/>
        <v>2.8655963379387538E-2</v>
      </c>
      <c r="G21" s="8">
        <f t="shared" si="6"/>
        <v>-2.0458828168299498E-2</v>
      </c>
      <c r="H21" s="8">
        <f t="shared" si="7"/>
        <v>9.0481202421326366E-3</v>
      </c>
      <c r="J21" s="8" t="s">
        <v>53</v>
      </c>
      <c r="K21" s="7">
        <f t="shared" si="8"/>
        <v>4.8920377349800804E-3</v>
      </c>
      <c r="L21" s="7">
        <f t="shared" si="9"/>
        <v>7.9227951196142038E-3</v>
      </c>
      <c r="M21" s="7">
        <f t="shared" si="10"/>
        <v>6.8120310395690369E-3</v>
      </c>
      <c r="N21" s="7">
        <f t="shared" si="11"/>
        <v>8.8728135389344581E-3</v>
      </c>
      <c r="O21" s="7">
        <f t="shared" si="12"/>
        <v>1.3765782558463365E-2</v>
      </c>
      <c r="P21" s="7">
        <f t="shared" si="13"/>
        <v>7.0982508311475678E-3</v>
      </c>
    </row>
    <row r="22" spans="2:16" x14ac:dyDescent="0.3">
      <c r="B22" s="8" t="s">
        <v>57</v>
      </c>
      <c r="C22" s="8">
        <f t="shared" si="2"/>
        <v>-2.5870337818647955E-2</v>
      </c>
      <c r="D22" s="8">
        <f t="shared" si="3"/>
        <v>-1.2425074373384509E-2</v>
      </c>
      <c r="E22" s="8">
        <f t="shared" si="4"/>
        <v>3.188903445685335E-2</v>
      </c>
      <c r="F22" s="8">
        <f t="shared" si="5"/>
        <v>2.6670230716541107E-3</v>
      </c>
      <c r="G22" s="8">
        <f t="shared" si="6"/>
        <v>1.5916594744983636E-2</v>
      </c>
      <c r="H22" s="8">
        <f t="shared" si="7"/>
        <v>2.6196434836359993E-2</v>
      </c>
      <c r="J22" s="8" t="s">
        <v>57</v>
      </c>
      <c r="K22" s="7">
        <f t="shared" si="8"/>
        <v>5.9522402265941047E-3</v>
      </c>
      <c r="L22" s="7">
        <f t="shared" si="9"/>
        <v>9.8869983561832471E-3</v>
      </c>
      <c r="M22" s="7">
        <f t="shared" si="10"/>
        <v>1.1051112678766115E-2</v>
      </c>
      <c r="N22" s="7">
        <f t="shared" si="11"/>
        <v>1.2666989658686536E-2</v>
      </c>
      <c r="O22" s="7">
        <f t="shared" si="12"/>
        <v>1.6788699150450972E-2</v>
      </c>
      <c r="P22" s="7">
        <f t="shared" si="13"/>
        <v>1.0875698191801574E-2</v>
      </c>
    </row>
    <row r="23" spans="2:16" x14ac:dyDescent="0.3">
      <c r="B23" s="8" t="s">
        <v>55</v>
      </c>
      <c r="C23" s="8">
        <f t="shared" si="2"/>
        <v>-2.0907911603736652E-2</v>
      </c>
      <c r="D23" s="8">
        <f t="shared" si="3"/>
        <v>-4.1246431942256995E-2</v>
      </c>
      <c r="E23" s="8">
        <f t="shared" si="4"/>
        <v>-2.9190387628148164E-2</v>
      </c>
      <c r="F23" s="8">
        <f t="shared" si="5"/>
        <v>-8.5072756736889604E-3</v>
      </c>
      <c r="G23" s="8">
        <f t="shared" si="6"/>
        <v>-3.2322238552044184E-2</v>
      </c>
      <c r="H23" s="8">
        <f t="shared" si="7"/>
        <v>-2.2232765869767392E-2</v>
      </c>
      <c r="J23" s="8" t="s">
        <v>55</v>
      </c>
      <c r="K23" s="7">
        <f t="shared" si="8"/>
        <v>1.411653630341503E-2</v>
      </c>
      <c r="L23" s="7">
        <f t="shared" si="9"/>
        <v>2.1103508817226509E-2</v>
      </c>
      <c r="M23" s="7">
        <f t="shared" si="10"/>
        <v>2.6759809804765868E-2</v>
      </c>
      <c r="N23" s="7">
        <f t="shared" si="11"/>
        <v>2.9278380139332066E-2</v>
      </c>
      <c r="O23" s="7">
        <f t="shared" si="12"/>
        <v>3.6391801755348625E-2</v>
      </c>
      <c r="P23" s="7">
        <f t="shared" si="13"/>
        <v>2.6507175434786239E-2</v>
      </c>
    </row>
    <row r="24" spans="2:16" x14ac:dyDescent="0.3">
      <c r="B24" s="8" t="s">
        <v>54</v>
      </c>
      <c r="C24" s="8">
        <f t="shared" si="2"/>
        <v>-1.0603713625582406E-2</v>
      </c>
      <c r="D24" s="8">
        <f t="shared" si="3"/>
        <v>-4.0517070735758554E-3</v>
      </c>
      <c r="E24" s="8">
        <f t="shared" si="4"/>
        <v>-1.6270670905442916E-2</v>
      </c>
      <c r="F24" s="8">
        <f t="shared" si="5"/>
        <v>-1.1716591209048229E-2</v>
      </c>
      <c r="G24" s="8">
        <f t="shared" si="6"/>
        <v>3.2429610961140234E-2</v>
      </c>
      <c r="H24" s="8">
        <f t="shared" si="7"/>
        <v>7.2597134281147863E-2</v>
      </c>
      <c r="J24" s="8" t="s">
        <v>54</v>
      </c>
      <c r="K24" s="7">
        <f t="shared" si="8"/>
        <v>2.0970086815017233E-2</v>
      </c>
      <c r="L24" s="7">
        <f t="shared" si="9"/>
        <v>2.7430568106512437E-2</v>
      </c>
      <c r="M24" s="7">
        <f t="shared" si="10"/>
        <v>3.3371751060457526E-2</v>
      </c>
      <c r="N24" s="7">
        <f t="shared" si="11"/>
        <v>3.7653641178141233E-2</v>
      </c>
      <c r="O24" s="7">
        <f t="shared" si="12"/>
        <v>4.6453153478573761E-2</v>
      </c>
      <c r="P24" s="7">
        <f t="shared" si="13"/>
        <v>3.9301780354288836E-2</v>
      </c>
    </row>
    <row r="25" spans="2:16" x14ac:dyDescent="0.3">
      <c r="B25" s="8" t="s">
        <v>56</v>
      </c>
      <c r="C25" s="8">
        <f t="shared" si="2"/>
        <v>-3.2313455176278233E-2</v>
      </c>
      <c r="D25" s="8">
        <f t="shared" si="3"/>
        <v>-4.5963468826291883E-2</v>
      </c>
      <c r="E25" s="8">
        <f t="shared" si="4"/>
        <v>-6.2173960843235516E-2</v>
      </c>
      <c r="F25" s="8">
        <f t="shared" si="5"/>
        <v>-1.5779273936214644E-2</v>
      </c>
      <c r="G25" s="8">
        <f t="shared" si="6"/>
        <v>-8.6976063177109375E-3</v>
      </c>
      <c r="H25" s="8">
        <f t="shared" si="7"/>
        <v>-7.9361366813126832E-3</v>
      </c>
      <c r="J25" s="8" t="s">
        <v>56</v>
      </c>
      <c r="K25" s="7">
        <f t="shared" si="8"/>
        <v>3.7348112099603169E-2</v>
      </c>
      <c r="L25" s="7">
        <f t="shared" si="9"/>
        <v>4.5364752323002827E-2</v>
      </c>
      <c r="M25" s="7">
        <f t="shared" si="10"/>
        <v>5.0845388498502085E-2</v>
      </c>
      <c r="N25" s="7">
        <f t="shared" si="11"/>
        <v>6.0965300633175748E-2</v>
      </c>
      <c r="O25" s="7">
        <f t="shared" si="12"/>
        <v>7.7143794652335673E-2</v>
      </c>
      <c r="P25" s="7">
        <f t="shared" si="13"/>
        <v>7.112618407203837E-2</v>
      </c>
    </row>
    <row r="26" spans="2:16" x14ac:dyDescent="0.3">
      <c r="B26" s="8" t="s">
        <v>51</v>
      </c>
      <c r="C26" s="8">
        <f t="shared" si="2"/>
        <v>0.13195130376044895</v>
      </c>
      <c r="D26" s="8">
        <f t="shared" si="3"/>
        <v>9.2366264175409274E-2</v>
      </c>
      <c r="E26" s="8">
        <f t="shared" si="4"/>
        <v>6.8742934100466391E-2</v>
      </c>
      <c r="F26" s="8">
        <f t="shared" si="5"/>
        <v>-1.3040747113954865E-2</v>
      </c>
      <c r="G26" s="8">
        <f t="shared" si="6"/>
        <v>-0.11024234620019135</v>
      </c>
      <c r="H26" s="8">
        <f t="shared" si="7"/>
        <v>-7.578584515317055E-2</v>
      </c>
      <c r="J26" s="8" t="s">
        <v>51</v>
      </c>
      <c r="K26" s="7">
        <f t="shared" si="8"/>
        <v>0.77678515777919355</v>
      </c>
      <c r="L26" s="7">
        <f t="shared" si="9"/>
        <v>0.801518106369001</v>
      </c>
      <c r="M26" s="7">
        <f t="shared" si="10"/>
        <v>0.81627809181775701</v>
      </c>
      <c r="N26" s="7">
        <f t="shared" si="11"/>
        <v>0.86737698180663914</v>
      </c>
      <c r="O26" s="7">
        <f t="shared" si="12"/>
        <v>0.92810907095568063</v>
      </c>
      <c r="P26" s="7">
        <f t="shared" si="13"/>
        <v>0.90658046121032898</v>
      </c>
    </row>
    <row r="27" spans="2:16" x14ac:dyDescent="0.3">
      <c r="J27" s="11" t="s">
        <v>114</v>
      </c>
      <c r="K27" s="9">
        <f>SUM(K16:K26)</f>
        <v>0.86532189104753721</v>
      </c>
      <c r="L27" s="9">
        <f t="shared" ref="L27:P27" si="14">SUM(L16:L26)</f>
        <v>0.92534840021917553</v>
      </c>
      <c r="M27" s="9">
        <f t="shared" si="14"/>
        <v>0.95420330551254684</v>
      </c>
      <c r="N27" s="9">
        <f t="shared" si="14"/>
        <v>1.0296550111098117</v>
      </c>
      <c r="O27" s="9">
        <f t="shared" si="14"/>
        <v>1.1372526560470742</v>
      </c>
      <c r="P27" s="9">
        <f t="shared" si="14"/>
        <v>1.0715427324011115</v>
      </c>
    </row>
    <row r="28" spans="2:16" x14ac:dyDescent="0.3">
      <c r="J28" s="12" t="s">
        <v>115</v>
      </c>
      <c r="K28" s="10">
        <f>1-K27</f>
        <v>0.13467810895246279</v>
      </c>
      <c r="L28" s="10">
        <f t="shared" ref="L28:P28" si="15">1-L27</f>
        <v>7.4651599780824474E-2</v>
      </c>
      <c r="M28" s="10">
        <f t="shared" si="15"/>
        <v>4.579669448745316E-2</v>
      </c>
      <c r="N28" s="10">
        <f t="shared" si="15"/>
        <v>-2.9655011109811724E-2</v>
      </c>
      <c r="O28" s="10">
        <f t="shared" si="15"/>
        <v>-0.13725265604707415</v>
      </c>
      <c r="P28" s="10">
        <f t="shared" si="15"/>
        <v>-7.1542732401111531E-2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7DA7-4046-449A-B96A-08860A0B576A}">
  <dimension ref="A1:P12"/>
  <sheetViews>
    <sheetView zoomScaleNormal="100" workbookViewId="0">
      <selection activeCell="A7" sqref="A7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63</v>
      </c>
      <c r="B2" s="19">
        <v>4.0679844086978889E-2</v>
      </c>
      <c r="C2" s="19">
        <v>3.8461538461538464E-2</v>
      </c>
      <c r="D2" s="19">
        <v>0</v>
      </c>
      <c r="E2" s="19">
        <v>3.8461538461538464E-2</v>
      </c>
      <c r="F2" s="19">
        <v>0.13114754098360656</v>
      </c>
      <c r="G2" s="19">
        <v>8.6206896551724144E-2</v>
      </c>
      <c r="H2" s="19">
        <v>0.13333333333333333</v>
      </c>
      <c r="I2" s="14">
        <v>4.0679844086978889E-2</v>
      </c>
      <c r="J2" s="20">
        <v>4.0679844086978889E-2</v>
      </c>
      <c r="K2" s="20">
        <v>3.8461538461538464E-2</v>
      </c>
      <c r="L2" s="20">
        <v>0</v>
      </c>
      <c r="M2" s="20">
        <v>3.8461538461538464E-2</v>
      </c>
      <c r="N2" s="20">
        <v>0.13114754098360656</v>
      </c>
      <c r="O2" s="20">
        <v>8.6206896551724144E-2</v>
      </c>
      <c r="P2" s="20">
        <v>0.13333333333333333</v>
      </c>
    </row>
    <row r="3" spans="1:16" x14ac:dyDescent="0.3">
      <c r="A3" s="8" t="s">
        <v>64</v>
      </c>
      <c r="B3" s="19">
        <v>4.2104430066678536E-2</v>
      </c>
      <c r="C3" s="19">
        <v>3.8461538461538464E-2</v>
      </c>
      <c r="D3" s="19">
        <v>8.6956521739130432E-2</v>
      </c>
      <c r="E3" s="19">
        <v>5.7692307692307696E-2</v>
      </c>
      <c r="F3" s="19">
        <v>4.9180327868852458E-2</v>
      </c>
      <c r="G3" s="19">
        <v>0</v>
      </c>
      <c r="H3" s="19">
        <v>0.26666666666666666</v>
      </c>
      <c r="I3" s="14">
        <v>8.2784274153657425E-2</v>
      </c>
      <c r="J3" s="8">
        <f t="shared" ref="J3:P4" si="0">J2+B3</f>
        <v>8.2784274153657425E-2</v>
      </c>
      <c r="K3" s="8">
        <f t="shared" si="0"/>
        <v>7.6923076923076927E-2</v>
      </c>
      <c r="L3" s="8">
        <f t="shared" si="0"/>
        <v>8.6956521739130432E-2</v>
      </c>
      <c r="M3" s="8">
        <f t="shared" si="0"/>
        <v>9.6153846153846159E-2</v>
      </c>
      <c r="N3" s="8">
        <f t="shared" si="0"/>
        <v>0.18032786885245902</v>
      </c>
      <c r="O3" s="8">
        <f t="shared" si="0"/>
        <v>8.6206896551724144E-2</v>
      </c>
      <c r="P3" s="8">
        <f t="shared" si="0"/>
        <v>0.4</v>
      </c>
    </row>
    <row r="4" spans="1:16" x14ac:dyDescent="0.3">
      <c r="A4" s="8" t="s">
        <v>62</v>
      </c>
      <c r="B4" s="19">
        <v>0.91721572584634259</v>
      </c>
      <c r="C4" s="19">
        <v>0.92307692307692313</v>
      </c>
      <c r="D4" s="19">
        <v>0.91304347826086951</v>
      </c>
      <c r="E4" s="19">
        <v>0.90384615384615385</v>
      </c>
      <c r="F4" s="19">
        <v>0.81967213114754101</v>
      </c>
      <c r="G4" s="19">
        <v>0.91379310344827591</v>
      </c>
      <c r="H4" s="19">
        <v>0.6</v>
      </c>
      <c r="I4" s="14">
        <v>1</v>
      </c>
      <c r="J4" s="8">
        <f t="shared" si="0"/>
        <v>1</v>
      </c>
      <c r="K4" s="8">
        <f t="shared" si="0"/>
        <v>1</v>
      </c>
      <c r="L4" s="8">
        <f t="shared" si="0"/>
        <v>1</v>
      </c>
      <c r="M4" s="8">
        <f t="shared" si="0"/>
        <v>1</v>
      </c>
      <c r="N4" s="8">
        <f t="shared" si="0"/>
        <v>1</v>
      </c>
      <c r="O4" s="8">
        <f t="shared" si="0"/>
        <v>1</v>
      </c>
      <c r="P4" s="8">
        <f t="shared" si="0"/>
        <v>1</v>
      </c>
    </row>
    <row r="7" spans="1:16" ht="28.8" x14ac:dyDescent="0.3">
      <c r="B7" s="1" t="s">
        <v>94</v>
      </c>
      <c r="C7" s="3" t="s">
        <v>102</v>
      </c>
      <c r="D7" s="3" t="s">
        <v>103</v>
      </c>
      <c r="E7" s="3" t="s">
        <v>104</v>
      </c>
      <c r="F7" s="3" t="s">
        <v>105</v>
      </c>
      <c r="G7" s="3" t="s">
        <v>106</v>
      </c>
      <c r="H7" s="3" t="s">
        <v>107</v>
      </c>
      <c r="J7" s="7"/>
      <c r="K7" s="9" t="s">
        <v>108</v>
      </c>
      <c r="L7" s="9" t="s">
        <v>109</v>
      </c>
      <c r="M7" s="9" t="s">
        <v>110</v>
      </c>
      <c r="N7" s="9" t="s">
        <v>111</v>
      </c>
      <c r="O7" s="9" t="s">
        <v>112</v>
      </c>
      <c r="P7" s="9" t="s">
        <v>113</v>
      </c>
    </row>
    <row r="8" spans="1:16" x14ac:dyDescent="0.3">
      <c r="B8" s="8" t="s">
        <v>63</v>
      </c>
      <c r="C8" s="8">
        <f>C2-B2</f>
        <v>-2.2183056254404254E-3</v>
      </c>
      <c r="D8" s="8">
        <f>D2-B2</f>
        <v>-4.0679844086978889E-2</v>
      </c>
      <c r="E8" s="8">
        <f>E2-B2</f>
        <v>-2.2183056254404254E-3</v>
      </c>
      <c r="F8" s="8">
        <f>F2-B2</f>
        <v>9.0467696896627675E-2</v>
      </c>
      <c r="G8" s="8">
        <f>G2-B2</f>
        <v>4.5527052464745255E-2</v>
      </c>
      <c r="H8" s="8">
        <f>H2-B2</f>
        <v>9.2653489246354442E-2</v>
      </c>
      <c r="J8" s="8" t="s">
        <v>63</v>
      </c>
      <c r="K8" s="7">
        <f>($J2-0) * ((K2+0))</f>
        <v>1.5646093879607265E-3</v>
      </c>
      <c r="L8" s="7">
        <f t="shared" ref="L8:P8" si="1">($J2-0) * ((L2+0))</f>
        <v>0</v>
      </c>
      <c r="M8" s="7">
        <f t="shared" si="1"/>
        <v>1.5646093879607265E-3</v>
      </c>
      <c r="N8" s="7">
        <f t="shared" si="1"/>
        <v>5.3350615196037891E-3</v>
      </c>
      <c r="O8" s="7">
        <f t="shared" si="1"/>
        <v>3.5068831109464562E-3</v>
      </c>
      <c r="P8" s="7">
        <f t="shared" si="1"/>
        <v>5.4239792115971849E-3</v>
      </c>
    </row>
    <row r="9" spans="1:16" x14ac:dyDescent="0.3">
      <c r="B9" s="8" t="s">
        <v>64</v>
      </c>
      <c r="C9" s="8">
        <f t="shared" ref="C9:C10" si="2">C3-B3</f>
        <v>-3.6428916051400723E-3</v>
      </c>
      <c r="D9" s="8">
        <f t="shared" ref="D9:D10" si="3">D3-B3</f>
        <v>4.4852091672451896E-2</v>
      </c>
      <c r="E9" s="8">
        <f t="shared" ref="E9:E10" si="4">E3-B3</f>
        <v>1.558787762562916E-2</v>
      </c>
      <c r="F9" s="8">
        <f t="shared" ref="F9:F10" si="5">F3-B3</f>
        <v>7.0758978021739222E-3</v>
      </c>
      <c r="G9" s="8">
        <f t="shared" ref="G9:G10" si="6">G3-B3</f>
        <v>-4.2104430066678536E-2</v>
      </c>
      <c r="H9" s="8">
        <f t="shared" ref="H9:H10" si="7">H3-B3</f>
        <v>0.22456223659998814</v>
      </c>
      <c r="J9" s="8" t="s">
        <v>64</v>
      </c>
      <c r="K9" s="7">
        <f>($J3-$J2) * ((K3+K2))</f>
        <v>4.8582034692321394E-3</v>
      </c>
      <c r="L9" s="7">
        <f t="shared" ref="L9:P10" si="8">($J3-$J2) * ((L3+L2))</f>
        <v>3.661254788406829E-3</v>
      </c>
      <c r="M9" s="7">
        <f t="shared" si="8"/>
        <v>5.6679040474374963E-3</v>
      </c>
      <c r="N9" s="7">
        <f t="shared" si="8"/>
        <v>1.3114494610932659E-2</v>
      </c>
      <c r="O9" s="7">
        <f t="shared" si="8"/>
        <v>7.2593844942549206E-3</v>
      </c>
      <c r="P9" s="7">
        <f t="shared" si="8"/>
        <v>2.2455696035561884E-2</v>
      </c>
    </row>
    <row r="10" spans="1:16" x14ac:dyDescent="0.3">
      <c r="B10" s="8" t="s">
        <v>62</v>
      </c>
      <c r="C10" s="8">
        <f t="shared" si="2"/>
        <v>5.8611972305805393E-3</v>
      </c>
      <c r="D10" s="8">
        <f t="shared" si="3"/>
        <v>-4.1722475854730767E-3</v>
      </c>
      <c r="E10" s="8">
        <f t="shared" si="4"/>
        <v>-1.3369572000188734E-2</v>
      </c>
      <c r="F10" s="8">
        <f t="shared" si="5"/>
        <v>-9.7543594698801583E-2</v>
      </c>
      <c r="G10" s="8">
        <f t="shared" si="6"/>
        <v>-3.422622398066677E-3</v>
      </c>
      <c r="H10" s="8">
        <f t="shared" si="7"/>
        <v>-0.31721572584634261</v>
      </c>
      <c r="J10" s="8" t="s">
        <v>62</v>
      </c>
      <c r="K10" s="7">
        <f>($J4-$J3) * ((K4+K3))</f>
        <v>0.98777078168067656</v>
      </c>
      <c r="L10" s="7">
        <f t="shared" si="8"/>
        <v>0.9969736150503723</v>
      </c>
      <c r="M10" s="7">
        <f t="shared" si="8"/>
        <v>1.0054095456392602</v>
      </c>
      <c r="N10" s="7">
        <f t="shared" si="8"/>
        <v>1.0826152829661748</v>
      </c>
      <c r="O10" s="7">
        <f t="shared" si="8"/>
        <v>0.99628604703999291</v>
      </c>
      <c r="P10" s="7">
        <f t="shared" si="8"/>
        <v>1.2841020161848795</v>
      </c>
    </row>
    <row r="11" spans="1:16" x14ac:dyDescent="0.3">
      <c r="J11" s="11" t="s">
        <v>114</v>
      </c>
      <c r="K11" s="9">
        <f>SUM(K8:K10)</f>
        <v>0.99419359453786937</v>
      </c>
      <c r="L11" s="9">
        <f t="shared" ref="L11:P11" si="9">SUM(L8:L10)</f>
        <v>1.000634869838779</v>
      </c>
      <c r="M11" s="9">
        <f t="shared" si="9"/>
        <v>1.0126420590746585</v>
      </c>
      <c r="N11" s="9">
        <f t="shared" si="9"/>
        <v>1.1010648390967113</v>
      </c>
      <c r="O11" s="9">
        <f t="shared" si="9"/>
        <v>1.0070523146451942</v>
      </c>
      <c r="P11" s="9">
        <f t="shared" si="9"/>
        <v>1.3119816914320386</v>
      </c>
    </row>
    <row r="12" spans="1:16" x14ac:dyDescent="0.3">
      <c r="J12" s="12" t="s">
        <v>115</v>
      </c>
      <c r="K12" s="10">
        <f>1-K11</f>
        <v>5.806405462130626E-3</v>
      </c>
      <c r="L12" s="10">
        <f t="shared" ref="L12:P12" si="10">1-L11</f>
        <v>-6.3486983877902858E-4</v>
      </c>
      <c r="M12" s="10">
        <f t="shared" si="10"/>
        <v>-1.264205907465854E-2</v>
      </c>
      <c r="N12" s="10">
        <f t="shared" si="10"/>
        <v>-0.10106483909671127</v>
      </c>
      <c r="O12" s="10">
        <f t="shared" si="10"/>
        <v>-7.0523146451941798E-3</v>
      </c>
      <c r="P12" s="10">
        <f t="shared" si="10"/>
        <v>-0.31198169143203858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F2D8-7D2B-4701-8072-7EF01C15A6A9}">
  <dimension ref="A1:P23"/>
  <sheetViews>
    <sheetView workbookViewId="0">
      <selection activeCell="A12" sqref="A1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73</v>
      </c>
      <c r="B2" s="19">
        <v>2.7186761229314422E-2</v>
      </c>
      <c r="C2" s="19">
        <v>4.6153846153846156E-2</v>
      </c>
      <c r="D2" s="19">
        <v>0</v>
      </c>
      <c r="E2" s="19">
        <v>0</v>
      </c>
      <c r="F2" s="19">
        <v>1.1111111111111112E-2</v>
      </c>
      <c r="G2" s="19">
        <v>6.7796610169491525E-2</v>
      </c>
      <c r="H2" s="19">
        <v>2.1739130434782608E-2</v>
      </c>
      <c r="I2" s="8">
        <v>2.7186761229314422E-2</v>
      </c>
      <c r="J2" s="20">
        <v>2.7186761229314422E-2</v>
      </c>
      <c r="K2" s="20">
        <v>4.6153846153846156E-2</v>
      </c>
      <c r="L2" s="20">
        <v>0</v>
      </c>
      <c r="M2" s="20">
        <v>0</v>
      </c>
      <c r="N2" s="20">
        <v>1.1111111111111112E-2</v>
      </c>
      <c r="O2" s="20">
        <v>6.7796610169491525E-2</v>
      </c>
      <c r="P2" s="20">
        <v>2.1739130434782608E-2</v>
      </c>
    </row>
    <row r="3" spans="1:16" x14ac:dyDescent="0.3">
      <c r="A3" s="8" t="s">
        <v>71</v>
      </c>
      <c r="B3" s="19">
        <v>3.1724681394527325E-2</v>
      </c>
      <c r="C3" s="19">
        <v>0</v>
      </c>
      <c r="D3" s="19">
        <v>3.2258064516129031E-2</v>
      </c>
      <c r="E3" s="19">
        <v>5.7142857142857141E-2</v>
      </c>
      <c r="F3" s="19">
        <v>2.2222222222222223E-2</v>
      </c>
      <c r="G3" s="19">
        <v>1.6949152542372881E-2</v>
      </c>
      <c r="H3" s="19">
        <v>6.5217391304347824E-2</v>
      </c>
      <c r="I3" s="8">
        <v>5.891144262384175E-2</v>
      </c>
      <c r="J3" s="8">
        <f t="shared" ref="J3:P10" si="0">J2+B3</f>
        <v>5.891144262384175E-2</v>
      </c>
      <c r="K3" s="8">
        <f t="shared" si="0"/>
        <v>4.6153846153846156E-2</v>
      </c>
      <c r="L3" s="8">
        <f t="shared" si="0"/>
        <v>3.2258064516129031E-2</v>
      </c>
      <c r="M3" s="8">
        <f t="shared" si="0"/>
        <v>5.7142857142857141E-2</v>
      </c>
      <c r="N3" s="8">
        <f t="shared" si="0"/>
        <v>3.3333333333333333E-2</v>
      </c>
      <c r="O3" s="8">
        <f t="shared" si="0"/>
        <v>8.4745762711864403E-2</v>
      </c>
      <c r="P3" s="8">
        <f t="shared" si="0"/>
        <v>8.6956521739130432E-2</v>
      </c>
    </row>
    <row r="4" spans="1:16" x14ac:dyDescent="0.3">
      <c r="A4" s="8" t="s">
        <v>69</v>
      </c>
      <c r="B4" s="19">
        <v>4.0759761962990138E-2</v>
      </c>
      <c r="C4" s="19">
        <v>1.5384615384615385E-2</v>
      </c>
      <c r="D4" s="19">
        <v>9.6774193548387094E-2</v>
      </c>
      <c r="E4" s="19">
        <v>0.11428571428571428</v>
      </c>
      <c r="F4" s="19">
        <v>2.2222222222222223E-2</v>
      </c>
      <c r="G4" s="19">
        <v>6.7796610169491525E-2</v>
      </c>
      <c r="H4" s="19">
        <v>0</v>
      </c>
      <c r="I4" s="8">
        <v>9.9671204586831888E-2</v>
      </c>
      <c r="J4" s="8">
        <f t="shared" si="0"/>
        <v>9.9671204586831888E-2</v>
      </c>
      <c r="K4" s="8">
        <f t="shared" si="0"/>
        <v>6.1538461538461542E-2</v>
      </c>
      <c r="L4" s="8">
        <f t="shared" si="0"/>
        <v>0.12903225806451613</v>
      </c>
      <c r="M4" s="8">
        <f t="shared" si="0"/>
        <v>0.17142857142857143</v>
      </c>
      <c r="N4" s="8">
        <f t="shared" si="0"/>
        <v>5.5555555555555552E-2</v>
      </c>
      <c r="O4" s="8">
        <f t="shared" si="0"/>
        <v>0.15254237288135591</v>
      </c>
      <c r="P4" s="8">
        <f t="shared" si="0"/>
        <v>8.6956521739130432E-2</v>
      </c>
    </row>
    <row r="5" spans="1:16" x14ac:dyDescent="0.3">
      <c r="A5" s="8" t="s">
        <v>70</v>
      </c>
      <c r="B5" s="19">
        <v>4.5379201652129018E-2</v>
      </c>
      <c r="C5" s="19">
        <v>4.6153846153846156E-2</v>
      </c>
      <c r="D5" s="19">
        <v>0.12903225806451613</v>
      </c>
      <c r="E5" s="19">
        <v>2.8571428571428571E-2</v>
      </c>
      <c r="F5" s="19">
        <v>5.5555555555555552E-2</v>
      </c>
      <c r="G5" s="19">
        <v>1.6949152542372881E-2</v>
      </c>
      <c r="H5" s="19">
        <v>0.13043478260869565</v>
      </c>
      <c r="I5" s="8">
        <v>0.1450504062389609</v>
      </c>
      <c r="J5" s="8">
        <f t="shared" si="0"/>
        <v>0.1450504062389609</v>
      </c>
      <c r="K5" s="8">
        <f t="shared" si="0"/>
        <v>0.1076923076923077</v>
      </c>
      <c r="L5" s="8">
        <f t="shared" si="0"/>
        <v>0.25806451612903225</v>
      </c>
      <c r="M5" s="8">
        <f t="shared" si="0"/>
        <v>0.2</v>
      </c>
      <c r="N5" s="8">
        <f t="shared" si="0"/>
        <v>0.1111111111111111</v>
      </c>
      <c r="O5" s="8">
        <f t="shared" si="0"/>
        <v>0.16949152542372881</v>
      </c>
      <c r="P5" s="8">
        <f t="shared" si="0"/>
        <v>0.21739130434782608</v>
      </c>
    </row>
    <row r="6" spans="1:16" x14ac:dyDescent="0.3">
      <c r="A6" s="8" t="s">
        <v>67</v>
      </c>
      <c r="B6" s="19">
        <v>5.1017635390342653E-2</v>
      </c>
      <c r="C6" s="19">
        <v>4.6153846153846156E-2</v>
      </c>
      <c r="D6" s="19">
        <v>3.2258064516129031E-2</v>
      </c>
      <c r="E6" s="19">
        <v>2.8571428571428571E-2</v>
      </c>
      <c r="F6" s="19">
        <v>1.1111111111111112E-2</v>
      </c>
      <c r="G6" s="19">
        <v>1.6949152542372881E-2</v>
      </c>
      <c r="H6" s="19">
        <v>2.1739130434782608E-2</v>
      </c>
      <c r="I6" s="8">
        <v>0.19606804162930355</v>
      </c>
      <c r="J6" s="8">
        <f t="shared" si="0"/>
        <v>0.19606804162930355</v>
      </c>
      <c r="K6" s="8">
        <f t="shared" si="0"/>
        <v>0.15384615384615385</v>
      </c>
      <c r="L6" s="8">
        <f t="shared" si="0"/>
        <v>0.29032258064516125</v>
      </c>
      <c r="M6" s="8">
        <f t="shared" si="0"/>
        <v>0.22857142857142859</v>
      </c>
      <c r="N6" s="8">
        <f t="shared" si="0"/>
        <v>0.12222222222222222</v>
      </c>
      <c r="O6" s="8">
        <f t="shared" si="0"/>
        <v>0.1864406779661017</v>
      </c>
      <c r="P6" s="8">
        <f t="shared" si="0"/>
        <v>0.2391304347826087</v>
      </c>
    </row>
    <row r="7" spans="1:16" x14ac:dyDescent="0.3">
      <c r="A7" s="8" t="s">
        <v>66</v>
      </c>
      <c r="B7" s="19">
        <v>6.853074644710741E-2</v>
      </c>
      <c r="C7" s="19">
        <v>6.1538461538461542E-2</v>
      </c>
      <c r="D7" s="19">
        <v>0</v>
      </c>
      <c r="E7" s="19">
        <v>5.7142857142857141E-2</v>
      </c>
      <c r="F7" s="19">
        <v>4.4444444444444446E-2</v>
      </c>
      <c r="G7" s="19">
        <v>0.11864406779661017</v>
      </c>
      <c r="H7" s="19">
        <v>4.3478260869565216E-2</v>
      </c>
      <c r="I7" s="8">
        <v>0.26459878807641096</v>
      </c>
      <c r="J7" s="8">
        <f t="shared" si="0"/>
        <v>0.26459878807641096</v>
      </c>
      <c r="K7" s="8">
        <f t="shared" si="0"/>
        <v>0.2153846153846154</v>
      </c>
      <c r="L7" s="8">
        <f t="shared" si="0"/>
        <v>0.29032258064516125</v>
      </c>
      <c r="M7" s="8">
        <f t="shared" si="0"/>
        <v>0.28571428571428575</v>
      </c>
      <c r="N7" s="8">
        <f t="shared" si="0"/>
        <v>0.16666666666666666</v>
      </c>
      <c r="O7" s="8">
        <f t="shared" si="0"/>
        <v>0.30508474576271188</v>
      </c>
      <c r="P7" s="8">
        <f t="shared" si="0"/>
        <v>0.28260869565217395</v>
      </c>
    </row>
    <row r="8" spans="1:16" x14ac:dyDescent="0.3">
      <c r="A8" s="8" t="s">
        <v>68</v>
      </c>
      <c r="B8" s="19">
        <v>0.17642183636314229</v>
      </c>
      <c r="C8" s="19">
        <v>0.2153846153846154</v>
      </c>
      <c r="D8" s="19">
        <v>6.4516129032258063E-2</v>
      </c>
      <c r="E8" s="19">
        <v>0.4</v>
      </c>
      <c r="F8" s="19">
        <v>8.8888888888888892E-2</v>
      </c>
      <c r="G8" s="19">
        <v>3.3898305084745763E-2</v>
      </c>
      <c r="H8" s="19">
        <v>0.10869565217391304</v>
      </c>
      <c r="I8" s="8">
        <v>0.44102062443955325</v>
      </c>
      <c r="J8" s="8">
        <f t="shared" si="0"/>
        <v>0.44102062443955325</v>
      </c>
      <c r="K8" s="8">
        <f t="shared" si="0"/>
        <v>0.43076923076923079</v>
      </c>
      <c r="L8" s="8">
        <f t="shared" si="0"/>
        <v>0.35483870967741932</v>
      </c>
      <c r="M8" s="8">
        <f t="shared" si="0"/>
        <v>0.68571428571428572</v>
      </c>
      <c r="N8" s="8">
        <f t="shared" si="0"/>
        <v>0.25555555555555554</v>
      </c>
      <c r="O8" s="8">
        <f t="shared" si="0"/>
        <v>0.33898305084745767</v>
      </c>
      <c r="P8" s="8">
        <f t="shared" si="0"/>
        <v>0.39130434782608697</v>
      </c>
    </row>
    <row r="9" spans="1:16" x14ac:dyDescent="0.3">
      <c r="A9" s="8" t="s">
        <v>65</v>
      </c>
      <c r="B9" s="19">
        <v>0.19852721393440395</v>
      </c>
      <c r="C9" s="19">
        <v>0.2153846153846154</v>
      </c>
      <c r="D9" s="19">
        <v>0.19354838709677419</v>
      </c>
      <c r="E9" s="19">
        <v>0.14285714285714285</v>
      </c>
      <c r="F9" s="19">
        <v>0.22222222222222221</v>
      </c>
      <c r="G9" s="19">
        <v>8.4745762711864403E-2</v>
      </c>
      <c r="H9" s="19">
        <v>8.6956521739130432E-2</v>
      </c>
      <c r="I9" s="8">
        <v>0.63954783837395723</v>
      </c>
      <c r="J9" s="8">
        <f t="shared" si="0"/>
        <v>0.63954783837395723</v>
      </c>
      <c r="K9" s="8">
        <f t="shared" si="0"/>
        <v>0.64615384615384619</v>
      </c>
      <c r="L9" s="8">
        <f t="shared" si="0"/>
        <v>0.54838709677419351</v>
      </c>
      <c r="M9" s="8">
        <f t="shared" si="0"/>
        <v>0.82857142857142851</v>
      </c>
      <c r="N9" s="8">
        <f t="shared" si="0"/>
        <v>0.47777777777777775</v>
      </c>
      <c r="O9" s="8">
        <f t="shared" si="0"/>
        <v>0.42372881355932207</v>
      </c>
      <c r="P9" s="8">
        <f t="shared" si="0"/>
        <v>0.47826086956521741</v>
      </c>
    </row>
    <row r="10" spans="1:16" x14ac:dyDescent="0.3">
      <c r="A10" s="8" t="s">
        <v>72</v>
      </c>
      <c r="B10" s="19">
        <v>0.36045216162604277</v>
      </c>
      <c r="C10" s="19">
        <v>0.35384615384615387</v>
      </c>
      <c r="D10" s="19">
        <v>0.45161290322580644</v>
      </c>
      <c r="E10" s="19">
        <v>0.17142857142857143</v>
      </c>
      <c r="F10" s="19">
        <v>0.52222222222222225</v>
      </c>
      <c r="G10" s="19">
        <v>0.57627118644067798</v>
      </c>
      <c r="H10" s="19">
        <v>0.52173913043478259</v>
      </c>
      <c r="I10" s="8">
        <v>1</v>
      </c>
      <c r="J10" s="8">
        <f t="shared" si="0"/>
        <v>1</v>
      </c>
      <c r="K10" s="8">
        <f t="shared" si="0"/>
        <v>1</v>
      </c>
      <c r="L10" s="8">
        <f t="shared" si="0"/>
        <v>1</v>
      </c>
      <c r="M10" s="8">
        <f t="shared" si="0"/>
        <v>1</v>
      </c>
      <c r="N10" s="8">
        <f t="shared" si="0"/>
        <v>1</v>
      </c>
      <c r="O10" s="8">
        <f t="shared" si="0"/>
        <v>1</v>
      </c>
      <c r="P10" s="8">
        <f t="shared" si="0"/>
        <v>1</v>
      </c>
    </row>
    <row r="12" spans="1:16" ht="28.8" x14ac:dyDescent="0.3">
      <c r="B12" s="1" t="s">
        <v>94</v>
      </c>
      <c r="C12" s="3" t="s">
        <v>102</v>
      </c>
      <c r="D12" s="3" t="s">
        <v>103</v>
      </c>
      <c r="E12" s="3" t="s">
        <v>104</v>
      </c>
      <c r="F12" s="3" t="s">
        <v>105</v>
      </c>
      <c r="G12" s="3" t="s">
        <v>106</v>
      </c>
      <c r="H12" s="3" t="s">
        <v>107</v>
      </c>
      <c r="J12" s="7"/>
      <c r="K12" s="9" t="s">
        <v>108</v>
      </c>
      <c r="L12" s="9" t="s">
        <v>109</v>
      </c>
      <c r="M12" s="9" t="s">
        <v>110</v>
      </c>
      <c r="N12" s="9" t="s">
        <v>111</v>
      </c>
      <c r="O12" s="9" t="s">
        <v>112</v>
      </c>
      <c r="P12" s="9" t="s">
        <v>113</v>
      </c>
    </row>
    <row r="13" spans="1:16" x14ac:dyDescent="0.3">
      <c r="B13" s="8" t="s">
        <v>73</v>
      </c>
      <c r="C13" s="8">
        <f>C2-B2</f>
        <v>1.8967084924531735E-2</v>
      </c>
      <c r="D13" s="8">
        <f>D2-B2</f>
        <v>-2.7186761229314422E-2</v>
      </c>
      <c r="E13" s="8">
        <f>E2-B2</f>
        <v>-2.7186761229314422E-2</v>
      </c>
      <c r="F13" s="8">
        <f>F2-B2</f>
        <v>-1.6075650118203312E-2</v>
      </c>
      <c r="G13" s="8">
        <f>G2-B2</f>
        <v>4.0609848940177107E-2</v>
      </c>
      <c r="H13" s="8">
        <f>H2-B2</f>
        <v>-5.4476307945318138E-3</v>
      </c>
      <c r="J13" s="8" t="s">
        <v>73</v>
      </c>
      <c r="K13" s="7">
        <f>($J2-0) * ((K2+0))</f>
        <v>1.2547735951991272E-3</v>
      </c>
      <c r="L13" s="7">
        <f t="shared" ref="L13:P13" si="1">($J2-0) * ((L2+0))</f>
        <v>0</v>
      </c>
      <c r="M13" s="7">
        <f t="shared" si="1"/>
        <v>0</v>
      </c>
      <c r="N13" s="7">
        <f t="shared" si="1"/>
        <v>3.0207512477016025E-4</v>
      </c>
      <c r="O13" s="7">
        <f t="shared" si="1"/>
        <v>1.843170252834876E-3</v>
      </c>
      <c r="P13" s="7">
        <f t="shared" si="1"/>
        <v>5.9101654846335696E-4</v>
      </c>
    </row>
    <row r="14" spans="1:16" x14ac:dyDescent="0.3">
      <c r="B14" s="8" t="s">
        <v>71</v>
      </c>
      <c r="C14" s="8">
        <f t="shared" ref="C14:C21" si="2">C3-B3</f>
        <v>-3.1724681394527325E-2</v>
      </c>
      <c r="D14" s="8">
        <f t="shared" ref="D14:D21" si="3">D3-B3</f>
        <v>5.3338312160170626E-4</v>
      </c>
      <c r="E14" s="8">
        <f t="shared" ref="E14:E21" si="4">E3-B3</f>
        <v>2.5418175748329816E-2</v>
      </c>
      <c r="F14" s="8">
        <f t="shared" ref="F14:F21" si="5">F3-B3</f>
        <v>-9.502459172305102E-3</v>
      </c>
      <c r="G14" s="8">
        <f t="shared" ref="G14:G21" si="6">G3-B3</f>
        <v>-1.4775528852154444E-2</v>
      </c>
      <c r="H14" s="8">
        <f t="shared" ref="H14:H21" si="7">H3-B3</f>
        <v>3.3492709909820499E-2</v>
      </c>
      <c r="J14" s="8" t="s">
        <v>71</v>
      </c>
      <c r="K14" s="7">
        <f>($J3-$J2) * ((K3+K2))</f>
        <v>2.9284321287256E-3</v>
      </c>
      <c r="L14" s="7">
        <f t="shared" ref="L14:P14" si="8">($J3-$J2) * ((L3+L2))</f>
        <v>1.023376819178301E-3</v>
      </c>
      <c r="M14" s="7">
        <f t="shared" si="8"/>
        <v>1.8128389368301332E-3</v>
      </c>
      <c r="N14" s="7">
        <f t="shared" si="8"/>
        <v>1.4099858397567703E-3</v>
      </c>
      <c r="O14" s="7">
        <f t="shared" si="8"/>
        <v>4.8393581788262023E-3</v>
      </c>
      <c r="P14" s="7">
        <f t="shared" si="8"/>
        <v>3.4483349341877536E-3</v>
      </c>
    </row>
    <row r="15" spans="1:16" x14ac:dyDescent="0.3">
      <c r="B15" s="8" t="s">
        <v>69</v>
      </c>
      <c r="C15" s="8">
        <f t="shared" si="2"/>
        <v>-2.5375146578374752E-2</v>
      </c>
      <c r="D15" s="8">
        <f t="shared" si="3"/>
        <v>5.6014431585396957E-2</v>
      </c>
      <c r="E15" s="8">
        <f t="shared" si="4"/>
        <v>7.3525952322724145E-2</v>
      </c>
      <c r="F15" s="8">
        <f t="shared" si="5"/>
        <v>-1.8537539740767914E-2</v>
      </c>
      <c r="G15" s="8">
        <f t="shared" si="6"/>
        <v>2.7036848206501388E-2</v>
      </c>
      <c r="H15" s="8">
        <f t="shared" si="7"/>
        <v>-4.0759761962990138E-2</v>
      </c>
      <c r="J15" s="8" t="s">
        <v>69</v>
      </c>
      <c r="K15" s="7">
        <f t="shared" ref="K15:P21" si="9">($J4-$J3) * ((K4+K3))</f>
        <v>4.3895128267835539E-3</v>
      </c>
      <c r="L15" s="7">
        <f t="shared" si="9"/>
        <v>6.5741551553209895E-3</v>
      </c>
      <c r="M15" s="7">
        <f t="shared" si="9"/>
        <v>9.3165170201120317E-3</v>
      </c>
      <c r="N15" s="7">
        <f t="shared" si="9"/>
        <v>3.6230899522657896E-3</v>
      </c>
      <c r="O15" s="7">
        <f t="shared" si="9"/>
        <v>9.6718079234213872E-3</v>
      </c>
      <c r="P15" s="7">
        <f t="shared" si="9"/>
        <v>7.0886542544330673E-3</v>
      </c>
    </row>
    <row r="16" spans="1:16" x14ac:dyDescent="0.3">
      <c r="B16" s="8" t="s">
        <v>70</v>
      </c>
      <c r="C16" s="8">
        <f t="shared" si="2"/>
        <v>7.74644501717138E-4</v>
      </c>
      <c r="D16" s="8">
        <f t="shared" si="3"/>
        <v>8.36530564123871E-2</v>
      </c>
      <c r="E16" s="8">
        <f t="shared" si="4"/>
        <v>-1.6807773080700448E-2</v>
      </c>
      <c r="F16" s="8">
        <f t="shared" si="5"/>
        <v>1.0176353903426534E-2</v>
      </c>
      <c r="G16" s="8">
        <f t="shared" si="6"/>
        <v>-2.8430049109756137E-2</v>
      </c>
      <c r="H16" s="8">
        <f t="shared" si="7"/>
        <v>8.5055580956566623E-2</v>
      </c>
      <c r="J16" s="8" t="s">
        <v>70</v>
      </c>
      <c r="K16" s="7">
        <f t="shared" si="9"/>
        <v>7.6795572026679866E-3</v>
      </c>
      <c r="L16" s="7">
        <f t="shared" si="9"/>
        <v>1.7566142575017683E-2</v>
      </c>
      <c r="M16" s="7">
        <f t="shared" si="9"/>
        <v>1.6855132042219348E-2</v>
      </c>
      <c r="N16" s="7">
        <f t="shared" si="9"/>
        <v>7.5632002753548352E-3</v>
      </c>
      <c r="O16" s="7">
        <f t="shared" si="9"/>
        <v>1.4613641210007647E-2</v>
      </c>
      <c r="P16" s="7">
        <f t="shared" si="9"/>
        <v>1.3811061372387091E-2</v>
      </c>
    </row>
    <row r="17" spans="2:16" x14ac:dyDescent="0.3">
      <c r="B17" s="8" t="s">
        <v>67</v>
      </c>
      <c r="C17" s="8">
        <f t="shared" si="2"/>
        <v>-4.8637892364964963E-3</v>
      </c>
      <c r="D17" s="8">
        <f t="shared" si="3"/>
        <v>-1.8759570874213621E-2</v>
      </c>
      <c r="E17" s="8">
        <f t="shared" si="4"/>
        <v>-2.2446206818914082E-2</v>
      </c>
      <c r="F17" s="8">
        <f t="shared" si="5"/>
        <v>-3.9906524279231539E-2</v>
      </c>
      <c r="G17" s="8">
        <f t="shared" si="6"/>
        <v>-3.4068482847969775E-2</v>
      </c>
      <c r="H17" s="8">
        <f t="shared" si="7"/>
        <v>-2.9278504955560045E-2</v>
      </c>
      <c r="J17" s="8" t="s">
        <v>67</v>
      </c>
      <c r="K17" s="7">
        <f t="shared" si="9"/>
        <v>1.3343073871320386E-2</v>
      </c>
      <c r="L17" s="7">
        <f t="shared" si="9"/>
        <v>2.7977412955994357E-2</v>
      </c>
      <c r="M17" s="7">
        <f t="shared" si="9"/>
        <v>2.1864700881575425E-2</v>
      </c>
      <c r="N17" s="7">
        <f t="shared" si="9"/>
        <v>1.1904114924413286E-2</v>
      </c>
      <c r="O17" s="7">
        <f t="shared" si="9"/>
        <v>1.8158819376223656E-2</v>
      </c>
      <c r="P17" s="7">
        <f t="shared" si="9"/>
        <v>2.3290659634721649E-2</v>
      </c>
    </row>
    <row r="18" spans="2:16" x14ac:dyDescent="0.3">
      <c r="B18" s="8" t="s">
        <v>66</v>
      </c>
      <c r="C18" s="8">
        <f t="shared" si="2"/>
        <v>-6.9922849086458683E-3</v>
      </c>
      <c r="D18" s="8">
        <f t="shared" si="3"/>
        <v>-6.853074644710741E-2</v>
      </c>
      <c r="E18" s="8">
        <f t="shared" si="4"/>
        <v>-1.1387889304250269E-2</v>
      </c>
      <c r="F18" s="8">
        <f t="shared" si="5"/>
        <v>-2.4086302002662964E-2</v>
      </c>
      <c r="G18" s="8">
        <f t="shared" si="6"/>
        <v>5.0113321349502762E-2</v>
      </c>
      <c r="H18" s="8">
        <f t="shared" si="7"/>
        <v>-2.5052485577542194E-2</v>
      </c>
      <c r="J18" s="8" t="s">
        <v>66</v>
      </c>
      <c r="K18" s="7">
        <f t="shared" si="9"/>
        <v>2.5303660226624277E-2</v>
      </c>
      <c r="L18" s="7">
        <f t="shared" si="9"/>
        <v>3.9792046324126876E-2</v>
      </c>
      <c r="M18" s="7">
        <f t="shared" si="9"/>
        <v>3.5244383887083813E-2</v>
      </c>
      <c r="N18" s="7">
        <f t="shared" si="9"/>
        <v>1.9797771195831027E-2</v>
      </c>
      <c r="O18" s="7">
        <f t="shared" si="9"/>
        <v>3.3684604185866357E-2</v>
      </c>
      <c r="P18" s="7">
        <f t="shared" si="9"/>
        <v>3.5755172059360393E-2</v>
      </c>
    </row>
    <row r="19" spans="2:16" x14ac:dyDescent="0.3">
      <c r="B19" s="8" t="s">
        <v>68</v>
      </c>
      <c r="C19" s="8">
        <f t="shared" si="2"/>
        <v>3.8962779021473104E-2</v>
      </c>
      <c r="D19" s="8">
        <f t="shared" si="3"/>
        <v>-0.11190570733088423</v>
      </c>
      <c r="E19" s="8">
        <f t="shared" si="4"/>
        <v>0.22357816363685773</v>
      </c>
      <c r="F19" s="8">
        <f t="shared" si="5"/>
        <v>-8.75329474742534E-2</v>
      </c>
      <c r="G19" s="8">
        <f t="shared" si="6"/>
        <v>-0.14252353127839654</v>
      </c>
      <c r="H19" s="8">
        <f t="shared" si="7"/>
        <v>-6.7726184189229252E-2</v>
      </c>
      <c r="J19" s="8" t="s">
        <v>68</v>
      </c>
      <c r="K19" s="7">
        <f t="shared" si="9"/>
        <v>0.11399564811156887</v>
      </c>
      <c r="L19" s="7">
        <f t="shared" si="9"/>
        <v>0.11382053958912404</v>
      </c>
      <c r="M19" s="7">
        <f t="shared" si="9"/>
        <v>0.17138121246705254</v>
      </c>
      <c r="N19" s="7">
        <f t="shared" si="9"/>
        <v>7.4489219797771178E-2</v>
      </c>
      <c r="O19" s="7">
        <f t="shared" si="9"/>
        <v>0.11362762342032895</v>
      </c>
      <c r="P19" s="7">
        <f t="shared" si="9"/>
        <v>0.11889297667950896</v>
      </c>
    </row>
    <row r="20" spans="2:16" x14ac:dyDescent="0.3">
      <c r="B20" s="8" t="s">
        <v>65</v>
      </c>
      <c r="C20" s="8">
        <f t="shared" si="2"/>
        <v>1.6857401450211446E-2</v>
      </c>
      <c r="D20" s="8">
        <f t="shared" si="3"/>
        <v>-4.9788268376297629E-3</v>
      </c>
      <c r="E20" s="8">
        <f t="shared" si="4"/>
        <v>-5.5670071077261102E-2</v>
      </c>
      <c r="F20" s="8">
        <f t="shared" si="5"/>
        <v>2.3695008287818259E-2</v>
      </c>
      <c r="G20" s="8">
        <f t="shared" si="6"/>
        <v>-0.11378145122253955</v>
      </c>
      <c r="H20" s="8">
        <f t="shared" si="7"/>
        <v>-0.11157069219527352</v>
      </c>
      <c r="J20" s="8" t="s">
        <v>65</v>
      </c>
      <c r="K20" s="7">
        <f t="shared" si="9"/>
        <v>0.21379853808320431</v>
      </c>
      <c r="L20" s="7">
        <f t="shared" si="9"/>
        <v>0.17931490290849389</v>
      </c>
      <c r="M20" s="7">
        <f t="shared" si="9"/>
        <v>0.30062692395781171</v>
      </c>
      <c r="N20" s="7">
        <f t="shared" si="9"/>
        <v>0.14558662355189625</v>
      </c>
      <c r="O20" s="7">
        <f t="shared" si="9"/>
        <v>0.15141906147539289</v>
      </c>
      <c r="P20" s="7">
        <f t="shared" si="9"/>
        <v>0.17263235994296</v>
      </c>
    </row>
    <row r="21" spans="2:16" x14ac:dyDescent="0.3">
      <c r="B21" s="8" t="s">
        <v>72</v>
      </c>
      <c r="C21" s="8">
        <f t="shared" si="2"/>
        <v>-6.6060077798889005E-3</v>
      </c>
      <c r="D21" s="8">
        <f t="shared" si="3"/>
        <v>9.1160741599763673E-2</v>
      </c>
      <c r="E21" s="8">
        <f t="shared" si="4"/>
        <v>-0.18902359019747134</v>
      </c>
      <c r="F21" s="8">
        <f t="shared" si="5"/>
        <v>0.16177006059617949</v>
      </c>
      <c r="G21" s="8">
        <f t="shared" si="6"/>
        <v>0.21581902481463522</v>
      </c>
      <c r="H21" s="8">
        <f t="shared" si="7"/>
        <v>0.16128696880873983</v>
      </c>
      <c r="J21" s="8" t="s">
        <v>72</v>
      </c>
      <c r="K21" s="7">
        <f t="shared" si="9"/>
        <v>0.59335971221517803</v>
      </c>
      <c r="L21" s="7">
        <f t="shared" si="9"/>
        <v>0.55811947606613077</v>
      </c>
      <c r="M21" s="7">
        <f t="shared" si="9"/>
        <v>0.65911252411619248</v>
      </c>
      <c r="N21" s="7">
        <f t="shared" si="9"/>
        <v>0.5326681944029299</v>
      </c>
      <c r="O21" s="7">
        <f t="shared" si="9"/>
        <v>0.51318612841673883</v>
      </c>
      <c r="P21" s="7">
        <f t="shared" si="9"/>
        <v>0.53284232588197622</v>
      </c>
    </row>
    <row r="22" spans="2:16" x14ac:dyDescent="0.3">
      <c r="J22" s="11" t="s">
        <v>114</v>
      </c>
      <c r="K22" s="9">
        <f>SUM(K13:K21)</f>
        <v>0.97605290826127211</v>
      </c>
      <c r="L22" s="9">
        <f t="shared" ref="L22:P22" si="10">SUM(L13:L21)</f>
        <v>0.94418805239338688</v>
      </c>
      <c r="M22" s="9">
        <f t="shared" si="10"/>
        <v>1.2162142333088775</v>
      </c>
      <c r="N22" s="9">
        <f t="shared" si="10"/>
        <v>0.79734427506498917</v>
      </c>
      <c r="O22" s="9">
        <f t="shared" si="10"/>
        <v>0.86104421443964085</v>
      </c>
      <c r="P22" s="9">
        <f t="shared" si="10"/>
        <v>0.90835256130799846</v>
      </c>
    </row>
    <row r="23" spans="2:16" x14ac:dyDescent="0.3">
      <c r="J23" s="12" t="s">
        <v>115</v>
      </c>
      <c r="K23" s="10">
        <f>1-K22</f>
        <v>2.3947091738727888E-2</v>
      </c>
      <c r="L23" s="10">
        <f t="shared" ref="L23:P23" si="11">1-L22</f>
        <v>5.5811947606613121E-2</v>
      </c>
      <c r="M23" s="10">
        <f t="shared" si="11"/>
        <v>-0.21621423330887746</v>
      </c>
      <c r="N23" s="10">
        <f t="shared" si="11"/>
        <v>0.20265572493501083</v>
      </c>
      <c r="O23" s="10">
        <f t="shared" si="11"/>
        <v>0.13895578556035915</v>
      </c>
      <c r="P23" s="10">
        <f t="shared" si="11"/>
        <v>9.1647438692001537E-2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D355-46AF-4C3B-B830-1771B951CF52}">
  <dimension ref="A1:P45"/>
  <sheetViews>
    <sheetView zoomScale="97" workbookViewId="0">
      <selection activeCell="A23" sqref="A23"/>
    </sheetView>
  </sheetViews>
  <sheetFormatPr defaultRowHeight="14.4" x14ac:dyDescent="0.3"/>
  <cols>
    <col min="11" max="16" width="12" bestFit="1" customWidth="1"/>
  </cols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90</v>
      </c>
      <c r="B2" s="19">
        <v>7.069991985055403E-3</v>
      </c>
      <c r="C2" s="19">
        <v>1.4354066985645933E-2</v>
      </c>
      <c r="D2" s="19">
        <v>1.6528925619834711E-2</v>
      </c>
      <c r="E2" s="19">
        <v>7.0921985815602835E-3</v>
      </c>
      <c r="F2" s="19">
        <v>7.6923076923076927E-3</v>
      </c>
      <c r="G2" s="19">
        <v>7.7519379844961239E-3</v>
      </c>
      <c r="H2" s="19">
        <v>7.6923076923076927E-3</v>
      </c>
      <c r="I2" s="8">
        <v>7.069991985055403E-3</v>
      </c>
      <c r="J2" s="20">
        <v>7.069991985055403E-3</v>
      </c>
      <c r="K2" s="20">
        <v>1.4354066985645933E-2</v>
      </c>
      <c r="L2" s="20">
        <v>1.6528925619834711E-2</v>
      </c>
      <c r="M2" s="20">
        <v>7.0921985815602835E-3</v>
      </c>
      <c r="N2" s="20">
        <v>7.6923076923076927E-3</v>
      </c>
      <c r="O2" s="20">
        <v>7.7519379844961239E-3</v>
      </c>
      <c r="P2" s="20">
        <v>7.6923076923076927E-3</v>
      </c>
    </row>
    <row r="3" spans="1:16" x14ac:dyDescent="0.3">
      <c r="A3" s="8" t="s">
        <v>77</v>
      </c>
      <c r="B3" s="19">
        <v>1.0696988314397898E-2</v>
      </c>
      <c r="C3" s="19">
        <v>1.9138755980861243E-2</v>
      </c>
      <c r="D3" s="19">
        <v>2.4793388429752067E-2</v>
      </c>
      <c r="E3" s="19">
        <v>2.8368794326241134E-2</v>
      </c>
      <c r="F3" s="19">
        <v>1.9230769230769232E-2</v>
      </c>
      <c r="G3" s="19">
        <v>1.937984496124031E-2</v>
      </c>
      <c r="H3" s="19">
        <v>7.6923076923076927E-3</v>
      </c>
      <c r="I3" s="8">
        <v>1.7766980299453301E-2</v>
      </c>
      <c r="J3" s="8">
        <f t="shared" ref="J3:P10" si="0">J2+B3</f>
        <v>1.7766980299453301E-2</v>
      </c>
      <c r="K3" s="8">
        <f t="shared" si="0"/>
        <v>3.3492822966507178E-2</v>
      </c>
      <c r="L3" s="8">
        <f t="shared" si="0"/>
        <v>4.1322314049586778E-2</v>
      </c>
      <c r="M3" s="8">
        <f t="shared" si="0"/>
        <v>3.5460992907801414E-2</v>
      </c>
      <c r="N3" s="8">
        <f t="shared" si="0"/>
        <v>2.6923076923076925E-2</v>
      </c>
      <c r="O3" s="8">
        <f t="shared" si="0"/>
        <v>2.7131782945736434E-2</v>
      </c>
      <c r="P3" s="8">
        <f t="shared" si="0"/>
        <v>1.5384615384615385E-2</v>
      </c>
    </row>
    <row r="4" spans="1:16" x14ac:dyDescent="0.3">
      <c r="A4" s="8" t="s">
        <v>91</v>
      </c>
      <c r="B4" s="19">
        <v>1.1442346975371978E-2</v>
      </c>
      <c r="C4" s="19">
        <v>2.8708133971291867E-2</v>
      </c>
      <c r="D4" s="19">
        <v>1.6528925619834711E-2</v>
      </c>
      <c r="E4" s="19">
        <v>1.4184397163120567E-2</v>
      </c>
      <c r="F4" s="19">
        <v>2.3076923076923078E-2</v>
      </c>
      <c r="G4" s="19">
        <v>2.7131782945736434E-2</v>
      </c>
      <c r="H4" s="19">
        <v>2.3076923076923078E-2</v>
      </c>
      <c r="I4" s="8">
        <v>2.9209327274825281E-2</v>
      </c>
      <c r="J4" s="8">
        <f t="shared" si="0"/>
        <v>2.9209327274825281E-2</v>
      </c>
      <c r="K4" s="8">
        <f t="shared" si="0"/>
        <v>6.2200956937799048E-2</v>
      </c>
      <c r="L4" s="8">
        <f t="shared" si="0"/>
        <v>5.7851239669421489E-2</v>
      </c>
      <c r="M4" s="8">
        <f t="shared" si="0"/>
        <v>4.9645390070921981E-2</v>
      </c>
      <c r="N4" s="8">
        <f t="shared" si="0"/>
        <v>0.05</v>
      </c>
      <c r="O4" s="8">
        <f t="shared" si="0"/>
        <v>5.4263565891472867E-2</v>
      </c>
      <c r="P4" s="8">
        <f t="shared" si="0"/>
        <v>3.8461538461538464E-2</v>
      </c>
    </row>
    <row r="5" spans="1:16" x14ac:dyDescent="0.3">
      <c r="A5" s="8" t="s">
        <v>78</v>
      </c>
      <c r="B5" s="19">
        <v>1.3104590349008736E-2</v>
      </c>
      <c r="C5" s="19">
        <v>1.4354066985645933E-2</v>
      </c>
      <c r="D5" s="19">
        <v>1.6528925619834711E-2</v>
      </c>
      <c r="E5" s="19">
        <v>2.1276595744680851E-2</v>
      </c>
      <c r="F5" s="19">
        <v>2.3076923076923078E-2</v>
      </c>
      <c r="G5" s="19">
        <v>1.937984496124031E-2</v>
      </c>
      <c r="H5" s="19">
        <v>3.8461538461538464E-2</v>
      </c>
      <c r="I5" s="8">
        <v>4.2313917623834019E-2</v>
      </c>
      <c r="J5" s="8">
        <f t="shared" si="0"/>
        <v>4.2313917623834019E-2</v>
      </c>
      <c r="K5" s="8">
        <f t="shared" si="0"/>
        <v>7.6555023923444987E-2</v>
      </c>
      <c r="L5" s="8">
        <f t="shared" si="0"/>
        <v>7.43801652892562E-2</v>
      </c>
      <c r="M5" s="8">
        <f t="shared" si="0"/>
        <v>7.0921985815602828E-2</v>
      </c>
      <c r="N5" s="8">
        <f t="shared" si="0"/>
        <v>7.3076923076923081E-2</v>
      </c>
      <c r="O5" s="8">
        <f t="shared" si="0"/>
        <v>7.364341085271317E-2</v>
      </c>
      <c r="P5" s="8">
        <f t="shared" si="0"/>
        <v>7.6923076923076927E-2</v>
      </c>
    </row>
    <row r="6" spans="1:16" x14ac:dyDescent="0.3">
      <c r="A6" s="8" t="s">
        <v>75</v>
      </c>
      <c r="B6" s="19">
        <v>1.3269879089726837E-2</v>
      </c>
      <c r="C6" s="19">
        <v>1.4354066985645933E-2</v>
      </c>
      <c r="D6" s="19">
        <v>6.6115702479338845E-2</v>
      </c>
      <c r="E6" s="19">
        <v>4.2553191489361701E-2</v>
      </c>
      <c r="F6" s="19">
        <v>2.6923076923076925E-2</v>
      </c>
      <c r="G6" s="19">
        <v>1.937984496124031E-2</v>
      </c>
      <c r="H6" s="19">
        <v>2.3076923076923078E-2</v>
      </c>
      <c r="I6" s="8">
        <v>5.5583796713560854E-2</v>
      </c>
      <c r="J6" s="8">
        <f t="shared" si="0"/>
        <v>5.5583796713560854E-2</v>
      </c>
      <c r="K6" s="8">
        <f t="shared" si="0"/>
        <v>9.0909090909090925E-2</v>
      </c>
      <c r="L6" s="8">
        <f t="shared" si="0"/>
        <v>0.14049586776859505</v>
      </c>
      <c r="M6" s="8">
        <f t="shared" si="0"/>
        <v>0.11347517730496454</v>
      </c>
      <c r="N6" s="8">
        <f t="shared" si="0"/>
        <v>0.1</v>
      </c>
      <c r="O6" s="8">
        <f t="shared" si="0"/>
        <v>9.3023255813953487E-2</v>
      </c>
      <c r="P6" s="8">
        <f t="shared" si="0"/>
        <v>0.1</v>
      </c>
    </row>
    <row r="7" spans="1:16" x14ac:dyDescent="0.3">
      <c r="A7" s="8" t="s">
        <v>85</v>
      </c>
      <c r="B7" s="19">
        <v>1.6575653904088869E-2</v>
      </c>
      <c r="C7" s="19">
        <v>2.3923444976076555E-2</v>
      </c>
      <c r="D7" s="19">
        <v>2.4793388429752067E-2</v>
      </c>
      <c r="E7" s="19">
        <v>0</v>
      </c>
      <c r="F7" s="19">
        <v>7.6923076923076927E-3</v>
      </c>
      <c r="G7" s="19">
        <v>0</v>
      </c>
      <c r="H7" s="19">
        <v>1.5384615384615385E-2</v>
      </c>
      <c r="I7" s="8">
        <v>7.2159450617649723E-2</v>
      </c>
      <c r="J7" s="8">
        <f t="shared" si="0"/>
        <v>7.2159450617649723E-2</v>
      </c>
      <c r="K7" s="8">
        <f t="shared" si="0"/>
        <v>0.11483253588516748</v>
      </c>
      <c r="L7" s="8">
        <f t="shared" si="0"/>
        <v>0.16528925619834711</v>
      </c>
      <c r="M7" s="8">
        <f t="shared" si="0"/>
        <v>0.11347517730496454</v>
      </c>
      <c r="N7" s="8">
        <f t="shared" si="0"/>
        <v>0.1076923076923077</v>
      </c>
      <c r="O7" s="8">
        <f t="shared" si="0"/>
        <v>9.3023255813953487E-2</v>
      </c>
      <c r="P7" s="8">
        <f t="shared" si="0"/>
        <v>0.11538461538461539</v>
      </c>
    </row>
    <row r="8" spans="1:16" x14ac:dyDescent="0.3">
      <c r="A8" s="8" t="s">
        <v>81</v>
      </c>
      <c r="B8" s="19">
        <v>2.1911673439346829E-2</v>
      </c>
      <c r="C8" s="19">
        <v>4.7846889952153108E-3</v>
      </c>
      <c r="D8" s="19">
        <v>0</v>
      </c>
      <c r="E8" s="19">
        <v>1.4184397163120567E-2</v>
      </c>
      <c r="F8" s="19">
        <v>1.5384615384615385E-2</v>
      </c>
      <c r="G8" s="19">
        <v>1.5503875968992248E-2</v>
      </c>
      <c r="H8" s="19">
        <v>3.0769230769230771E-2</v>
      </c>
      <c r="I8" s="8">
        <v>9.4071124056996552E-2</v>
      </c>
      <c r="J8" s="8">
        <f t="shared" si="0"/>
        <v>9.4071124056996552E-2</v>
      </c>
      <c r="K8" s="8">
        <f t="shared" si="0"/>
        <v>0.11961722488038279</v>
      </c>
      <c r="L8" s="8">
        <f t="shared" si="0"/>
        <v>0.16528925619834711</v>
      </c>
      <c r="M8" s="8">
        <f t="shared" si="0"/>
        <v>0.1276595744680851</v>
      </c>
      <c r="N8" s="8">
        <f t="shared" si="0"/>
        <v>0.12307692307692308</v>
      </c>
      <c r="O8" s="8">
        <f t="shared" si="0"/>
        <v>0.10852713178294573</v>
      </c>
      <c r="P8" s="8">
        <f t="shared" si="0"/>
        <v>0.14615384615384616</v>
      </c>
    </row>
    <row r="9" spans="1:16" x14ac:dyDescent="0.3">
      <c r="A9" s="8" t="s">
        <v>76</v>
      </c>
      <c r="B9" s="19">
        <v>2.3798460007921386E-2</v>
      </c>
      <c r="C9" s="19">
        <v>3.3492822966507178E-2</v>
      </c>
      <c r="D9" s="19">
        <v>6.6115702479338845E-2</v>
      </c>
      <c r="E9" s="19">
        <v>5.6737588652482268E-2</v>
      </c>
      <c r="F9" s="19">
        <v>3.4615384615384617E-2</v>
      </c>
      <c r="G9" s="19">
        <v>3.875968992248062E-2</v>
      </c>
      <c r="H9" s="19">
        <v>4.6153846153846156E-2</v>
      </c>
      <c r="I9" s="8">
        <v>0.11786958406491793</v>
      </c>
      <c r="J9" s="8">
        <f t="shared" si="0"/>
        <v>0.11786958406491793</v>
      </c>
      <c r="K9" s="8">
        <f t="shared" si="0"/>
        <v>0.15311004784688997</v>
      </c>
      <c r="L9" s="8">
        <f t="shared" si="0"/>
        <v>0.23140495867768596</v>
      </c>
      <c r="M9" s="8">
        <f t="shared" si="0"/>
        <v>0.18439716312056736</v>
      </c>
      <c r="N9" s="8">
        <f t="shared" si="0"/>
        <v>0.15769230769230769</v>
      </c>
      <c r="O9" s="8">
        <f t="shared" si="0"/>
        <v>0.14728682170542634</v>
      </c>
      <c r="P9" s="8">
        <f t="shared" si="0"/>
        <v>0.19230769230769232</v>
      </c>
    </row>
    <row r="10" spans="1:16" x14ac:dyDescent="0.3">
      <c r="A10" s="8" t="s">
        <v>89</v>
      </c>
      <c r="B10" s="19">
        <v>2.4643615644423376E-2</v>
      </c>
      <c r="C10" s="19">
        <v>4.7846889952153108E-3</v>
      </c>
      <c r="D10" s="19">
        <v>1.6528925619834711E-2</v>
      </c>
      <c r="E10" s="19">
        <v>3.5460992907801421E-2</v>
      </c>
      <c r="F10" s="19">
        <v>7.6923076923076927E-3</v>
      </c>
      <c r="G10" s="19">
        <v>3.875968992248062E-3</v>
      </c>
      <c r="H10" s="19">
        <v>1.5384615384615385E-2</v>
      </c>
      <c r="I10" s="8">
        <v>0.14251319970934131</v>
      </c>
      <c r="J10" s="8">
        <f t="shared" si="0"/>
        <v>0.14251319970934131</v>
      </c>
      <c r="K10" s="8">
        <f t="shared" ref="K10" si="1">K9+C10</f>
        <v>0.15789473684210528</v>
      </c>
      <c r="L10" s="8">
        <f t="shared" ref="L10" si="2">L9+D10</f>
        <v>0.24793388429752067</v>
      </c>
      <c r="M10" s="8">
        <f t="shared" ref="M10" si="3">M9+E10</f>
        <v>0.21985815602836878</v>
      </c>
      <c r="N10" s="8">
        <f t="shared" ref="N10" si="4">N9+F10</f>
        <v>0.16538461538461538</v>
      </c>
      <c r="O10" s="8">
        <f t="shared" ref="O10" si="5">O9+G10</f>
        <v>0.15116279069767441</v>
      </c>
      <c r="P10" s="8">
        <f t="shared" ref="P10" si="6">P9+H10</f>
        <v>0.2076923076923077</v>
      </c>
    </row>
    <row r="11" spans="1:16" x14ac:dyDescent="0.3">
      <c r="A11" s="8" t="s">
        <v>82</v>
      </c>
      <c r="B11" s="19">
        <v>2.5872365905610772E-2</v>
      </c>
      <c r="C11" s="19">
        <v>1.9138755980861243E-2</v>
      </c>
      <c r="D11" s="19">
        <v>0</v>
      </c>
      <c r="E11" s="19">
        <v>7.0921985815602835E-3</v>
      </c>
      <c r="F11" s="19">
        <v>1.9230769230769232E-2</v>
      </c>
      <c r="G11" s="19">
        <v>1.5503875968992248E-2</v>
      </c>
      <c r="H11" s="19">
        <v>7.6923076923076927E-3</v>
      </c>
      <c r="I11" s="8">
        <v>0.16838556561495208</v>
      </c>
      <c r="J11" s="8">
        <f t="shared" ref="J11:J21" si="7">J10+B11</f>
        <v>0.16838556561495208</v>
      </c>
      <c r="K11" s="8">
        <f t="shared" ref="K11:K21" si="8">K10+C11</f>
        <v>0.17703349282296652</v>
      </c>
      <c r="L11" s="8">
        <f t="shared" ref="L11:L21" si="9">L10+D11</f>
        <v>0.24793388429752067</v>
      </c>
      <c r="M11" s="8">
        <f t="shared" ref="M11:M21" si="10">M10+E11</f>
        <v>0.22695035460992907</v>
      </c>
      <c r="N11" s="8">
        <f t="shared" ref="N11:N21" si="11">N10+F11</f>
        <v>0.18461538461538463</v>
      </c>
      <c r="O11" s="8">
        <f t="shared" ref="O11:O21" si="12">O10+G11</f>
        <v>0.16666666666666666</v>
      </c>
      <c r="P11" s="8">
        <f t="shared" ref="P11:P21" si="13">P10+H11</f>
        <v>0.2153846153846154</v>
      </c>
    </row>
    <row r="12" spans="1:16" x14ac:dyDescent="0.3">
      <c r="A12" s="8" t="s">
        <v>87</v>
      </c>
      <c r="B12" s="19">
        <v>2.5987756158564919E-2</v>
      </c>
      <c r="C12" s="19">
        <v>2.3923444976076555E-2</v>
      </c>
      <c r="D12" s="19">
        <v>1.6528925619834711E-2</v>
      </c>
      <c r="E12" s="19">
        <v>7.0921985815602835E-3</v>
      </c>
      <c r="F12" s="19">
        <v>1.9230769230769232E-2</v>
      </c>
      <c r="G12" s="19">
        <v>3.1007751937984496E-2</v>
      </c>
      <c r="H12" s="19">
        <v>7.6923076923076927E-3</v>
      </c>
      <c r="I12" s="8">
        <v>0.19437332177351699</v>
      </c>
      <c r="J12" s="8">
        <f t="shared" si="7"/>
        <v>0.19437332177351699</v>
      </c>
      <c r="K12" s="8">
        <f t="shared" si="8"/>
        <v>0.20095693779904306</v>
      </c>
      <c r="L12" s="8">
        <f t="shared" si="9"/>
        <v>0.26446280991735538</v>
      </c>
      <c r="M12" s="8">
        <f t="shared" si="10"/>
        <v>0.23404255319148937</v>
      </c>
      <c r="N12" s="8">
        <f t="shared" si="11"/>
        <v>0.20384615384615384</v>
      </c>
      <c r="O12" s="8">
        <f t="shared" si="12"/>
        <v>0.19767441860465115</v>
      </c>
      <c r="P12" s="8">
        <f t="shared" si="13"/>
        <v>0.22307692307692309</v>
      </c>
    </row>
    <row r="13" spans="1:16" x14ac:dyDescent="0.3">
      <c r="A13" s="8" t="s">
        <v>80</v>
      </c>
      <c r="B13" s="19">
        <v>2.7837118861316509E-2</v>
      </c>
      <c r="C13" s="19">
        <v>2.3923444976076555E-2</v>
      </c>
      <c r="D13" s="19">
        <v>1.6528925619834711E-2</v>
      </c>
      <c r="E13" s="19">
        <v>1.4184397163120567E-2</v>
      </c>
      <c r="F13" s="19">
        <v>5.7692307692307696E-2</v>
      </c>
      <c r="G13" s="19">
        <v>4.2635658914728682E-2</v>
      </c>
      <c r="H13" s="19">
        <v>2.3076923076923078E-2</v>
      </c>
      <c r="I13" s="8">
        <v>0.2222104406348335</v>
      </c>
      <c r="J13" s="8">
        <f t="shared" si="7"/>
        <v>0.2222104406348335</v>
      </c>
      <c r="K13" s="8">
        <f t="shared" si="8"/>
        <v>0.22488038277511962</v>
      </c>
      <c r="L13" s="8">
        <f t="shared" si="9"/>
        <v>0.28099173553719009</v>
      </c>
      <c r="M13" s="8">
        <f t="shared" si="10"/>
        <v>0.24822695035460993</v>
      </c>
      <c r="N13" s="8">
        <f t="shared" si="11"/>
        <v>0.26153846153846155</v>
      </c>
      <c r="O13" s="8">
        <f t="shared" si="12"/>
        <v>0.24031007751937983</v>
      </c>
      <c r="P13" s="8">
        <f t="shared" si="13"/>
        <v>0.24615384615384617</v>
      </c>
    </row>
    <row r="14" spans="1:16" x14ac:dyDescent="0.3">
      <c r="A14" s="8" t="s">
        <v>84</v>
      </c>
      <c r="B14" s="19">
        <v>3.346941066767295E-2</v>
      </c>
      <c r="C14" s="19">
        <v>5.7416267942583733E-2</v>
      </c>
      <c r="D14" s="19">
        <v>2.4793388429752067E-2</v>
      </c>
      <c r="E14" s="19">
        <v>4.9645390070921988E-2</v>
      </c>
      <c r="F14" s="19">
        <v>5.3846153846153849E-2</v>
      </c>
      <c r="G14" s="19">
        <v>3.4883720930232558E-2</v>
      </c>
      <c r="H14" s="19">
        <v>5.3846153846153849E-2</v>
      </c>
      <c r="I14" s="8">
        <v>0.25567985130250648</v>
      </c>
      <c r="J14" s="8">
        <f t="shared" si="7"/>
        <v>0.25567985130250648</v>
      </c>
      <c r="K14" s="8">
        <f t="shared" si="8"/>
        <v>0.28229665071770338</v>
      </c>
      <c r="L14" s="8">
        <f t="shared" si="9"/>
        <v>0.30578512396694213</v>
      </c>
      <c r="M14" s="8">
        <f t="shared" si="10"/>
        <v>0.2978723404255319</v>
      </c>
      <c r="N14" s="8">
        <f t="shared" si="11"/>
        <v>0.31538461538461537</v>
      </c>
      <c r="O14" s="8">
        <f t="shared" si="12"/>
        <v>0.27519379844961239</v>
      </c>
      <c r="P14" s="8">
        <f t="shared" si="13"/>
        <v>0.30000000000000004</v>
      </c>
    </row>
    <row r="15" spans="1:16" x14ac:dyDescent="0.3">
      <c r="A15" s="8" t="s">
        <v>83</v>
      </c>
      <c r="B15" s="19">
        <v>3.3603512853538582E-2</v>
      </c>
      <c r="C15" s="19">
        <v>2.3923444976076555E-2</v>
      </c>
      <c r="D15" s="19">
        <v>5.7851239669421489E-2</v>
      </c>
      <c r="E15" s="19">
        <v>4.9645390070921988E-2</v>
      </c>
      <c r="F15" s="19">
        <v>1.9230769230769232E-2</v>
      </c>
      <c r="G15" s="19">
        <v>2.7131782945736434E-2</v>
      </c>
      <c r="H15" s="19">
        <v>1.5384615384615385E-2</v>
      </c>
      <c r="I15" s="8">
        <v>0.28928336415604505</v>
      </c>
      <c r="J15" s="8">
        <f t="shared" si="7"/>
        <v>0.28928336415604505</v>
      </c>
      <c r="K15" s="8">
        <f t="shared" si="8"/>
        <v>0.30622009569377995</v>
      </c>
      <c r="L15" s="8">
        <f t="shared" si="9"/>
        <v>0.36363636363636365</v>
      </c>
      <c r="M15" s="8">
        <f t="shared" si="10"/>
        <v>0.3475177304964539</v>
      </c>
      <c r="N15" s="8">
        <f t="shared" si="11"/>
        <v>0.33461538461538459</v>
      </c>
      <c r="O15" s="8">
        <f t="shared" si="12"/>
        <v>0.30232558139534882</v>
      </c>
      <c r="P15" s="8">
        <f t="shared" si="13"/>
        <v>0.31538461538461543</v>
      </c>
    </row>
    <row r="16" spans="1:16" x14ac:dyDescent="0.3">
      <c r="A16" s="8" t="s">
        <v>88</v>
      </c>
      <c r="B16" s="19">
        <v>3.9765976092387051E-2</v>
      </c>
      <c r="C16" s="19">
        <v>4.784688995215311E-2</v>
      </c>
      <c r="D16" s="19">
        <v>0</v>
      </c>
      <c r="E16" s="19">
        <v>7.0921985815602835E-3</v>
      </c>
      <c r="F16" s="19">
        <v>1.1538461538461539E-2</v>
      </c>
      <c r="G16" s="19">
        <v>3.1007751937984496E-2</v>
      </c>
      <c r="H16" s="19">
        <v>2.3076923076923078E-2</v>
      </c>
      <c r="I16" s="8">
        <v>0.32904934024843213</v>
      </c>
      <c r="J16" s="8">
        <f t="shared" si="7"/>
        <v>0.32904934024843213</v>
      </c>
      <c r="K16" s="8">
        <f t="shared" si="8"/>
        <v>0.35406698564593309</v>
      </c>
      <c r="L16" s="8">
        <f t="shared" si="9"/>
        <v>0.36363636363636365</v>
      </c>
      <c r="M16" s="8">
        <f t="shared" si="10"/>
        <v>0.3546099290780142</v>
      </c>
      <c r="N16" s="8">
        <f t="shared" si="11"/>
        <v>0.34615384615384615</v>
      </c>
      <c r="O16" s="8">
        <f t="shared" si="12"/>
        <v>0.33333333333333331</v>
      </c>
      <c r="P16" s="8">
        <f t="shared" si="13"/>
        <v>0.33846153846153848</v>
      </c>
    </row>
    <row r="17" spans="1:16" x14ac:dyDescent="0.3">
      <c r="A17" s="8" t="s">
        <v>92</v>
      </c>
      <c r="B17" s="19">
        <v>5.2296733832110302E-2</v>
      </c>
      <c r="C17" s="19">
        <v>6.2200956937799042E-2</v>
      </c>
      <c r="D17" s="19">
        <v>1.6528925619834711E-2</v>
      </c>
      <c r="E17" s="19">
        <v>7.8014184397163122E-2</v>
      </c>
      <c r="F17" s="19">
        <v>6.1538461538461542E-2</v>
      </c>
      <c r="G17" s="19">
        <v>5.4263565891472867E-2</v>
      </c>
      <c r="H17" s="19">
        <v>7.6923076923076927E-2</v>
      </c>
      <c r="I17" s="8">
        <v>0.38134607408054244</v>
      </c>
      <c r="J17" s="8">
        <f t="shared" si="7"/>
        <v>0.38134607408054244</v>
      </c>
      <c r="K17" s="8">
        <f t="shared" si="8"/>
        <v>0.41626794258373212</v>
      </c>
      <c r="L17" s="8">
        <f t="shared" si="9"/>
        <v>0.38016528925619836</v>
      </c>
      <c r="M17" s="8">
        <f t="shared" si="10"/>
        <v>0.43262411347517732</v>
      </c>
      <c r="N17" s="8">
        <f t="shared" si="11"/>
        <v>0.40769230769230769</v>
      </c>
      <c r="O17" s="8">
        <f t="shared" si="12"/>
        <v>0.38759689922480617</v>
      </c>
      <c r="P17" s="8">
        <f t="shared" si="13"/>
        <v>0.41538461538461541</v>
      </c>
    </row>
    <row r="18" spans="1:16" x14ac:dyDescent="0.3">
      <c r="A18" s="8" t="s">
        <v>86</v>
      </c>
      <c r="B18" s="19">
        <v>5.6157629322846334E-2</v>
      </c>
      <c r="C18" s="19">
        <v>0.14832535885167464</v>
      </c>
      <c r="D18" s="19">
        <v>0.18181818181818182</v>
      </c>
      <c r="E18" s="19">
        <v>0.14184397163120568</v>
      </c>
      <c r="F18" s="19">
        <v>7.6923076923076927E-2</v>
      </c>
      <c r="G18" s="19">
        <v>0.1124031007751938</v>
      </c>
      <c r="H18" s="19">
        <v>6.1538461538461542E-2</v>
      </c>
      <c r="I18" s="8">
        <v>0.43750370340338879</v>
      </c>
      <c r="J18" s="8">
        <f t="shared" si="7"/>
        <v>0.43750370340338879</v>
      </c>
      <c r="K18" s="8">
        <f t="shared" si="8"/>
        <v>0.56459330143540676</v>
      </c>
      <c r="L18" s="8">
        <f t="shared" si="9"/>
        <v>0.56198347107438018</v>
      </c>
      <c r="M18" s="8">
        <f t="shared" si="10"/>
        <v>0.57446808510638303</v>
      </c>
      <c r="N18" s="8">
        <f t="shared" si="11"/>
        <v>0.48461538461538461</v>
      </c>
      <c r="O18" s="8">
        <f t="shared" si="12"/>
        <v>0.5</v>
      </c>
      <c r="P18" s="8">
        <f t="shared" si="13"/>
        <v>0.47692307692307695</v>
      </c>
    </row>
    <row r="19" spans="1:16" x14ac:dyDescent="0.3">
      <c r="A19" s="8" t="s">
        <v>79</v>
      </c>
      <c r="B19" s="19">
        <v>5.9313708673916499E-2</v>
      </c>
      <c r="C19" s="19">
        <v>2.3923444976076555E-2</v>
      </c>
      <c r="D19" s="19">
        <v>0.11570247933884298</v>
      </c>
      <c r="E19" s="19">
        <v>2.1276595744680851E-2</v>
      </c>
      <c r="F19" s="19">
        <v>8.0769230769230774E-2</v>
      </c>
      <c r="G19" s="19">
        <v>8.9147286821705432E-2</v>
      </c>
      <c r="H19" s="19">
        <v>8.461538461538462E-2</v>
      </c>
      <c r="I19" s="8">
        <v>0.49681741207730529</v>
      </c>
      <c r="J19" s="8">
        <f t="shared" si="7"/>
        <v>0.49681741207730529</v>
      </c>
      <c r="K19" s="8">
        <f t="shared" si="8"/>
        <v>0.58851674641148333</v>
      </c>
      <c r="L19" s="8">
        <f t="shared" si="9"/>
        <v>0.6776859504132231</v>
      </c>
      <c r="M19" s="8">
        <f t="shared" si="10"/>
        <v>0.59574468085106391</v>
      </c>
      <c r="N19" s="8">
        <f t="shared" si="11"/>
        <v>0.56538461538461537</v>
      </c>
      <c r="O19" s="8">
        <f t="shared" si="12"/>
        <v>0.58914728682170547</v>
      </c>
      <c r="P19" s="8">
        <f t="shared" si="13"/>
        <v>0.56153846153846154</v>
      </c>
    </row>
    <row r="20" spans="1:16" x14ac:dyDescent="0.3">
      <c r="A20" s="8" t="s">
        <v>93</v>
      </c>
      <c r="B20" s="19">
        <v>0.13519683394095139</v>
      </c>
      <c r="C20" s="19">
        <v>8.6124401913875603E-2</v>
      </c>
      <c r="D20" s="19">
        <v>8.2644628099173556E-2</v>
      </c>
      <c r="E20" s="19">
        <v>0.11347517730496454</v>
      </c>
      <c r="F20" s="19">
        <v>0.1</v>
      </c>
      <c r="G20" s="19">
        <v>0.10852713178294573</v>
      </c>
      <c r="H20" s="19">
        <v>6.9230769230769235E-2</v>
      </c>
      <c r="I20" s="8">
        <v>0.63201424601825673</v>
      </c>
      <c r="J20" s="8">
        <f t="shared" si="7"/>
        <v>0.63201424601825673</v>
      </c>
      <c r="K20" s="8">
        <f t="shared" si="8"/>
        <v>0.67464114832535893</v>
      </c>
      <c r="L20" s="8">
        <f t="shared" si="9"/>
        <v>0.7603305785123966</v>
      </c>
      <c r="M20" s="8">
        <f t="shared" si="10"/>
        <v>0.7092198581560285</v>
      </c>
      <c r="N20" s="8">
        <f t="shared" si="11"/>
        <v>0.66538461538461535</v>
      </c>
      <c r="O20" s="8">
        <f t="shared" si="12"/>
        <v>0.69767441860465118</v>
      </c>
      <c r="P20" s="8">
        <f t="shared" si="13"/>
        <v>0.63076923076923075</v>
      </c>
    </row>
    <row r="21" spans="1:16" x14ac:dyDescent="0.3">
      <c r="A21" s="8" t="s">
        <v>74</v>
      </c>
      <c r="B21" s="19">
        <v>0.36798575398174338</v>
      </c>
      <c r="C21" s="19">
        <v>0.32535885167464113</v>
      </c>
      <c r="D21" s="19">
        <v>0.23966942148760331</v>
      </c>
      <c r="E21" s="19">
        <v>0.29078014184397161</v>
      </c>
      <c r="F21" s="19">
        <v>0.33461538461538459</v>
      </c>
      <c r="G21" s="19">
        <v>0.30232558139534882</v>
      </c>
      <c r="H21" s="19">
        <v>0.36923076923076925</v>
      </c>
      <c r="I21" s="8">
        <v>1</v>
      </c>
      <c r="J21" s="8">
        <f t="shared" si="7"/>
        <v>1</v>
      </c>
      <c r="K21" s="8">
        <f t="shared" si="8"/>
        <v>1</v>
      </c>
      <c r="L21" s="8">
        <f t="shared" si="9"/>
        <v>0.99999999999999989</v>
      </c>
      <c r="M21" s="8">
        <f t="shared" si="10"/>
        <v>1</v>
      </c>
      <c r="N21" s="8">
        <f t="shared" si="11"/>
        <v>1</v>
      </c>
      <c r="O21" s="8">
        <f t="shared" si="12"/>
        <v>1</v>
      </c>
      <c r="P21" s="8">
        <f t="shared" si="13"/>
        <v>1</v>
      </c>
    </row>
    <row r="23" spans="1:16" ht="28.8" x14ac:dyDescent="0.3">
      <c r="B23" s="1" t="s">
        <v>94</v>
      </c>
      <c r="C23" s="3" t="s">
        <v>102</v>
      </c>
      <c r="D23" s="3" t="s">
        <v>103</v>
      </c>
      <c r="E23" s="3" t="s">
        <v>104</v>
      </c>
      <c r="F23" s="3" t="s">
        <v>105</v>
      </c>
      <c r="G23" s="3" t="s">
        <v>106</v>
      </c>
      <c r="H23" s="3" t="s">
        <v>107</v>
      </c>
      <c r="J23" s="7"/>
      <c r="K23" s="9" t="s">
        <v>108</v>
      </c>
      <c r="L23" s="9" t="s">
        <v>109</v>
      </c>
      <c r="M23" s="9" t="s">
        <v>110</v>
      </c>
      <c r="N23" s="9" t="s">
        <v>111</v>
      </c>
      <c r="O23" s="9" t="s">
        <v>112</v>
      </c>
      <c r="P23" s="9" t="s">
        <v>113</v>
      </c>
    </row>
    <row r="24" spans="1:16" x14ac:dyDescent="0.3">
      <c r="B24" s="8" t="s">
        <v>90</v>
      </c>
      <c r="C24" s="8">
        <f>C2-B2</f>
        <v>7.2840750005905303E-3</v>
      </c>
      <c r="D24" s="8">
        <f>D2-B2</f>
        <v>9.4589336347793082E-3</v>
      </c>
      <c r="E24" s="8">
        <f>E2-B2</f>
        <v>2.2206596504880521E-5</v>
      </c>
      <c r="F24" s="8">
        <f>F2-B2</f>
        <v>6.2231570725228974E-4</v>
      </c>
      <c r="G24" s="8">
        <f>G2-B2</f>
        <v>6.8194599944072093E-4</v>
      </c>
      <c r="H24" s="8">
        <f>H2-B2</f>
        <v>6.2231570725228974E-4</v>
      </c>
      <c r="J24" s="8" t="s">
        <v>90</v>
      </c>
      <c r="K24" s="7">
        <f>(J2-0) * ((K2+0))</f>
        <v>1.0148313854146512E-4</v>
      </c>
      <c r="L24" s="7">
        <f>(J2-0) * ((L2+0))</f>
        <v>1.1685937165380832E-4</v>
      </c>
      <c r="M24" s="7">
        <f>(J2-0) * ((M2+0))</f>
        <v>5.0141787128052502E-5</v>
      </c>
      <c r="N24" s="7">
        <f>(J2-0) * ((N2+0))</f>
        <v>5.4384553731195411E-5</v>
      </c>
      <c r="O24" s="7">
        <f>(J2-0) * ((O2+0))</f>
        <v>5.4806139419034128E-5</v>
      </c>
      <c r="P24" s="7">
        <f>(J2-0) * ((P2+0))</f>
        <v>5.4384553731195411E-5</v>
      </c>
    </row>
    <row r="25" spans="1:16" x14ac:dyDescent="0.3">
      <c r="B25" s="8" t="s">
        <v>77</v>
      </c>
      <c r="C25" s="8">
        <f t="shared" ref="C25:C43" si="14">C3-B3</f>
        <v>8.4417676664633456E-3</v>
      </c>
      <c r="D25" s="8">
        <f t="shared" ref="D25:D43" si="15">D3-B3</f>
        <v>1.4096400115354169E-2</v>
      </c>
      <c r="E25" s="8">
        <f t="shared" ref="E25:E43" si="16">E3-B3</f>
        <v>1.7671806011843236E-2</v>
      </c>
      <c r="F25" s="8">
        <f t="shared" ref="F25:F43" si="17">F3-B3</f>
        <v>8.5337809163713342E-3</v>
      </c>
      <c r="G25" s="8">
        <f t="shared" ref="G25:G43" si="18">G3-B3</f>
        <v>8.6828566468424122E-3</v>
      </c>
      <c r="H25" s="8">
        <f t="shared" ref="H25:H43" si="19">H3-B3</f>
        <v>-3.0046806220902049E-3</v>
      </c>
      <c r="J25" s="8" t="s">
        <v>77</v>
      </c>
      <c r="K25" s="7">
        <f>(J3-J2) * ((K3+K2))</f>
        <v>5.11817622698464E-4</v>
      </c>
      <c r="L25" s="7">
        <f>(J3-J2) * ((L3+L2))</f>
        <v>6.1883403471723372E-4</v>
      </c>
      <c r="M25" s="7">
        <f>(J3-J2) * ((M3+M2))</f>
        <v>4.5519099210203812E-4</v>
      </c>
      <c r="N25" s="7">
        <f>(J3-J2) * ((N3+N2))</f>
        <v>3.7028036472915802E-4</v>
      </c>
      <c r="O25" s="7">
        <f>(J3-J2) * ((O3+O2))</f>
        <v>3.7315075515341505E-4</v>
      </c>
      <c r="P25" s="7">
        <f>(J3-J2) * ((P3+P2))</f>
        <v>2.4685357648610533E-4</v>
      </c>
    </row>
    <row r="26" spans="1:16" x14ac:dyDescent="0.3">
      <c r="B26" s="8" t="s">
        <v>91</v>
      </c>
      <c r="C26" s="8">
        <f t="shared" si="14"/>
        <v>1.7265786995919886E-2</v>
      </c>
      <c r="D26" s="8">
        <f t="shared" si="15"/>
        <v>5.0865786444627328E-3</v>
      </c>
      <c r="E26" s="8">
        <f t="shared" si="16"/>
        <v>2.7420501877485886E-3</v>
      </c>
      <c r="F26" s="8">
        <f t="shared" si="17"/>
        <v>1.16345761015511E-2</v>
      </c>
      <c r="G26" s="8">
        <f t="shared" si="18"/>
        <v>1.5689435970364457E-2</v>
      </c>
      <c r="H26" s="8">
        <f t="shared" si="19"/>
        <v>1.16345761015511E-2</v>
      </c>
      <c r="J26" s="8" t="s">
        <v>91</v>
      </c>
      <c r="K26" s="7">
        <f t="shared" ref="K26:K43" si="20">(J4-J3) * ((K4+K3))</f>
        <v>1.0949614330499503E-3</v>
      </c>
      <c r="L26" s="7">
        <f t="shared" ref="L26:L43" si="21">(J4-J3) * ((L4+L3))</f>
        <v>1.1347782124335847E-3</v>
      </c>
      <c r="M26" s="7">
        <f t="shared" ref="M26:M43" si="22">(J4-J3) * ((M4+M3))</f>
        <v>9.7381676386144498E-4</v>
      </c>
      <c r="N26" s="7">
        <f t="shared" ref="N26:N43" si="23">(J4-J3) * ((N4+N3))</f>
        <v>8.8018053656707543E-4</v>
      </c>
      <c r="O26" s="7">
        <f t="shared" ref="O26:O43" si="24">(J4-J3) * ((O4+O3))</f>
        <v>9.3135382357678912E-4</v>
      </c>
      <c r="P26" s="7">
        <f t="shared" ref="P26:P43" si="25">(J4-J3) * ((P4+P3))</f>
        <v>6.1612637559695278E-4</v>
      </c>
    </row>
    <row r="27" spans="1:16" x14ac:dyDescent="0.3">
      <c r="B27" s="8" t="s">
        <v>78</v>
      </c>
      <c r="C27" s="8">
        <f t="shared" si="14"/>
        <v>1.2494766366371972E-3</v>
      </c>
      <c r="D27" s="8">
        <f t="shared" si="15"/>
        <v>3.4243352708259751E-3</v>
      </c>
      <c r="E27" s="8">
        <f t="shared" si="16"/>
        <v>8.1720053956721144E-3</v>
      </c>
      <c r="F27" s="8">
        <f t="shared" si="17"/>
        <v>9.9723327279143421E-3</v>
      </c>
      <c r="G27" s="8">
        <f t="shared" si="18"/>
        <v>6.2752546122315737E-3</v>
      </c>
      <c r="H27" s="8">
        <f t="shared" si="19"/>
        <v>2.5356948112529726E-2</v>
      </c>
      <c r="J27" s="8" t="s">
        <v>78</v>
      </c>
      <c r="K27" s="7">
        <f t="shared" si="20"/>
        <v>1.8183402876614995E-3</v>
      </c>
      <c r="L27" s="7">
        <f t="shared" si="21"/>
        <v>1.7328383932573538E-3</v>
      </c>
      <c r="M27" s="7">
        <f t="shared" si="22"/>
        <v>1.5799860704478618E-3</v>
      </c>
      <c r="N27" s="7">
        <f t="shared" si="23"/>
        <v>1.612872658339537E-3</v>
      </c>
      <c r="O27" s="7">
        <f t="shared" si="24"/>
        <v>1.6761685330127455E-3</v>
      </c>
      <c r="P27" s="7">
        <f t="shared" si="25"/>
        <v>1.5120681171933159E-3</v>
      </c>
    </row>
    <row r="28" spans="1:16" x14ac:dyDescent="0.3">
      <c r="B28" s="8" t="s">
        <v>75</v>
      </c>
      <c r="C28" s="8">
        <f t="shared" si="14"/>
        <v>1.0841878959190962E-3</v>
      </c>
      <c r="D28" s="8">
        <f t="shared" si="15"/>
        <v>5.2845823389612009E-2</v>
      </c>
      <c r="E28" s="8">
        <f t="shared" si="16"/>
        <v>2.9283312399634866E-2</v>
      </c>
      <c r="F28" s="8">
        <f t="shared" si="17"/>
        <v>1.3653197833350087E-2</v>
      </c>
      <c r="G28" s="8">
        <f t="shared" si="18"/>
        <v>6.1099658715134727E-3</v>
      </c>
      <c r="H28" s="8">
        <f t="shared" si="19"/>
        <v>9.8070439871962411E-3</v>
      </c>
      <c r="J28" s="8" t="s">
        <v>75</v>
      </c>
      <c r="K28" s="7">
        <f t="shared" si="20"/>
        <v>2.2222285556958822E-3</v>
      </c>
      <c r="L28" s="7">
        <f t="shared" si="21"/>
        <v>2.8513789779578327E-3</v>
      </c>
      <c r="M28" s="7">
        <f t="shared" si="22"/>
        <v>2.4469280590985651E-3</v>
      </c>
      <c r="N28" s="7">
        <f t="shared" si="23"/>
        <v>2.2967098424527214E-3</v>
      </c>
      <c r="O28" s="7">
        <f t="shared" si="24"/>
        <v>2.2116465149544726E-3</v>
      </c>
      <c r="P28" s="7">
        <f t="shared" si="25"/>
        <v>2.347747838951671E-3</v>
      </c>
    </row>
    <row r="29" spans="1:16" x14ac:dyDescent="0.3">
      <c r="B29" s="8" t="s">
        <v>85</v>
      </c>
      <c r="C29" s="8">
        <f t="shared" si="14"/>
        <v>7.347791071987686E-3</v>
      </c>
      <c r="D29" s="8">
        <f t="shared" si="15"/>
        <v>8.2177345256631978E-3</v>
      </c>
      <c r="E29" s="8">
        <f t="shared" si="16"/>
        <v>-1.6575653904088869E-2</v>
      </c>
      <c r="F29" s="8">
        <f t="shared" si="17"/>
        <v>-8.8833462117811762E-3</v>
      </c>
      <c r="G29" s="8">
        <f t="shared" si="18"/>
        <v>-1.6575653904088869E-2</v>
      </c>
      <c r="H29" s="8">
        <f t="shared" si="19"/>
        <v>-1.1910385194734835E-3</v>
      </c>
      <c r="J29" s="8" t="s">
        <v>85</v>
      </c>
      <c r="K29" s="7">
        <f t="shared" si="20"/>
        <v>3.4103019994058442E-3</v>
      </c>
      <c r="L29" s="7">
        <f t="shared" si="21"/>
        <v>5.0685883838949434E-3</v>
      </c>
      <c r="M29" s="7">
        <f t="shared" si="22"/>
        <v>3.7618505314244242E-3</v>
      </c>
      <c r="N29" s="7">
        <f t="shared" si="23"/>
        <v>3.4426358108492266E-3</v>
      </c>
      <c r="O29" s="7">
        <f t="shared" si="24"/>
        <v>3.0838425868072315E-3</v>
      </c>
      <c r="P29" s="7">
        <f t="shared" si="25"/>
        <v>3.5701408408806796E-3</v>
      </c>
    </row>
    <row r="30" spans="1:16" x14ac:dyDescent="0.3">
      <c r="B30" s="8" t="s">
        <v>81</v>
      </c>
      <c r="C30" s="8">
        <f t="shared" si="14"/>
        <v>-1.7126984444131518E-2</v>
      </c>
      <c r="D30" s="8">
        <f t="shared" si="15"/>
        <v>-2.1911673439346829E-2</v>
      </c>
      <c r="E30" s="8">
        <f t="shared" si="16"/>
        <v>-7.7272762762262623E-3</v>
      </c>
      <c r="F30" s="8">
        <f t="shared" si="17"/>
        <v>-6.5270580547314438E-3</v>
      </c>
      <c r="G30" s="8">
        <f t="shared" si="18"/>
        <v>-6.4077974703545815E-3</v>
      </c>
      <c r="H30" s="8">
        <f t="shared" si="19"/>
        <v>8.8575573298839416E-3</v>
      </c>
      <c r="J30" s="8" t="s">
        <v>81</v>
      </c>
      <c r="K30" s="7">
        <f t="shared" si="20"/>
        <v>5.1371865958277259E-3</v>
      </c>
      <c r="L30" s="7">
        <f t="shared" si="21"/>
        <v>7.2435284097014316E-3</v>
      </c>
      <c r="M30" s="7">
        <f t="shared" si="22"/>
        <v>5.2836659357290228E-3</v>
      </c>
      <c r="N30" s="7">
        <f t="shared" si="23"/>
        <v>5.0565400244646534E-3</v>
      </c>
      <c r="O30" s="7">
        <f t="shared" si="24"/>
        <v>4.4163062745970353E-3</v>
      </c>
      <c r="P30" s="7">
        <f t="shared" si="25"/>
        <v>5.7307453610599404E-3</v>
      </c>
    </row>
    <row r="31" spans="1:16" x14ac:dyDescent="0.3">
      <c r="B31" s="8" t="s">
        <v>76</v>
      </c>
      <c r="C31" s="8">
        <f t="shared" si="14"/>
        <v>9.6943629585857921E-3</v>
      </c>
      <c r="D31" s="8">
        <f t="shared" si="15"/>
        <v>4.2317242471417459E-2</v>
      </c>
      <c r="E31" s="8">
        <f t="shared" si="16"/>
        <v>3.2939128644560882E-2</v>
      </c>
      <c r="F31" s="8">
        <f t="shared" si="17"/>
        <v>1.0816924607463231E-2</v>
      </c>
      <c r="G31" s="8">
        <f t="shared" si="18"/>
        <v>1.4961229914559233E-2</v>
      </c>
      <c r="H31" s="8">
        <f t="shared" si="19"/>
        <v>2.235538614592477E-2</v>
      </c>
      <c r="J31" s="8" t="s">
        <v>76</v>
      </c>
      <c r="K31" s="7">
        <f t="shared" si="20"/>
        <v>6.4904890930694683E-3</v>
      </c>
      <c r="L31" s="7">
        <f t="shared" si="21"/>
        <v>9.4407114081010435E-3</v>
      </c>
      <c r="M31" s="7">
        <f t="shared" si="22"/>
        <v>7.4264697897059627E-3</v>
      </c>
      <c r="N31" s="7">
        <f t="shared" si="23"/>
        <v>6.6818753099163871E-3</v>
      </c>
      <c r="O31" s="7">
        <f t="shared" si="24"/>
        <v>6.0879781415612835E-3</v>
      </c>
      <c r="P31" s="7">
        <f t="shared" si="25"/>
        <v>8.0548633872964681E-3</v>
      </c>
    </row>
    <row r="32" spans="1:16" x14ac:dyDescent="0.3">
      <c r="B32" s="8" t="s">
        <v>89</v>
      </c>
      <c r="C32" s="8">
        <f t="shared" si="14"/>
        <v>-1.9858926649208065E-2</v>
      </c>
      <c r="D32" s="8">
        <f t="shared" si="15"/>
        <v>-8.1146900245886652E-3</v>
      </c>
      <c r="E32" s="8">
        <f t="shared" si="16"/>
        <v>1.0817377263378045E-2</v>
      </c>
      <c r="F32" s="8">
        <f t="shared" si="17"/>
        <v>-1.6951307952115684E-2</v>
      </c>
      <c r="G32" s="8">
        <f t="shared" si="18"/>
        <v>-2.0767646652175314E-2</v>
      </c>
      <c r="H32" s="8">
        <f t="shared" si="19"/>
        <v>-9.259000259807991E-3</v>
      </c>
      <c r="J32" s="8" t="s">
        <v>89</v>
      </c>
      <c r="K32" s="7">
        <f t="shared" si="20"/>
        <v>7.6642823774522497E-3</v>
      </c>
      <c r="L32" s="7">
        <f t="shared" si="21"/>
        <v>1.1812642209723605E-2</v>
      </c>
      <c r="M32" s="7">
        <f t="shared" si="22"/>
        <v>9.9623127073200906E-3</v>
      </c>
      <c r="N32" s="7">
        <f t="shared" si="23"/>
        <v>7.9617835158906306E-3</v>
      </c>
      <c r="O32" s="7">
        <f t="shared" si="24"/>
        <v>7.3548775372891491E-3</v>
      </c>
      <c r="P32" s="7">
        <f t="shared" si="25"/>
        <v>9.8574462577693533E-3</v>
      </c>
    </row>
    <row r="33" spans="2:16" x14ac:dyDescent="0.3">
      <c r="B33" s="8" t="s">
        <v>82</v>
      </c>
      <c r="C33" s="8">
        <f t="shared" si="14"/>
        <v>-6.7336099247495285E-3</v>
      </c>
      <c r="D33" s="8">
        <f t="shared" si="15"/>
        <v>-2.5872365905610772E-2</v>
      </c>
      <c r="E33" s="8">
        <f t="shared" si="16"/>
        <v>-1.8780167324050488E-2</v>
      </c>
      <c r="F33" s="8">
        <f t="shared" si="17"/>
        <v>-6.6415966748415399E-3</v>
      </c>
      <c r="G33" s="8">
        <f t="shared" si="18"/>
        <v>-1.0368489936618524E-2</v>
      </c>
      <c r="H33" s="8">
        <f t="shared" si="19"/>
        <v>-1.8180058213303079E-2</v>
      </c>
      <c r="J33" s="8" t="s">
        <v>82</v>
      </c>
      <c r="K33" s="7">
        <f t="shared" si="20"/>
        <v>8.6653857100131744E-3</v>
      </c>
      <c r="L33" s="7">
        <f t="shared" si="21"/>
        <v>1.2829272349889634E-2</v>
      </c>
      <c r="M33" s="7">
        <f t="shared" si="22"/>
        <v>1.155999327697502E-2</v>
      </c>
      <c r="N33" s="7">
        <f t="shared" si="23"/>
        <v>9.0553280669637658E-3</v>
      </c>
      <c r="O33" s="7">
        <f t="shared" si="24"/>
        <v>8.2230000165119475E-3</v>
      </c>
      <c r="P33" s="7">
        <f t="shared" si="25"/>
        <v>1.0946000960066093E-2</v>
      </c>
    </row>
    <row r="34" spans="2:16" x14ac:dyDescent="0.3">
      <c r="B34" s="8" t="s">
        <v>87</v>
      </c>
      <c r="C34" s="8">
        <f t="shared" si="14"/>
        <v>-2.0643111824883639E-3</v>
      </c>
      <c r="D34" s="8">
        <f t="shared" si="15"/>
        <v>-9.4588305387302077E-3</v>
      </c>
      <c r="E34" s="8">
        <f t="shared" si="16"/>
        <v>-1.8895557577004635E-2</v>
      </c>
      <c r="F34" s="8">
        <f t="shared" si="17"/>
        <v>-6.756986927795687E-3</v>
      </c>
      <c r="G34" s="8">
        <f t="shared" si="18"/>
        <v>5.0199957794195768E-3</v>
      </c>
      <c r="H34" s="8">
        <f t="shared" si="19"/>
        <v>-1.8295448466257226E-2</v>
      </c>
      <c r="J34" s="8" t="s">
        <v>87</v>
      </c>
      <c r="K34" s="7">
        <f t="shared" si="20"/>
        <v>9.823123141275732E-3</v>
      </c>
      <c r="L34" s="7">
        <f t="shared" si="21"/>
        <v>1.3316040345710949E-2</v>
      </c>
      <c r="M34" s="7">
        <f t="shared" si="22"/>
        <v>1.1980171278771058E-2</v>
      </c>
      <c r="N34" s="7">
        <f t="shared" si="23"/>
        <v>1.0095243738519447E-2</v>
      </c>
      <c r="O34" s="7">
        <f t="shared" si="24"/>
        <v>9.4684072825779123E-3</v>
      </c>
      <c r="P34" s="7">
        <f t="shared" si="25"/>
        <v>1.1394631546447691E-2</v>
      </c>
    </row>
    <row r="35" spans="2:16" x14ac:dyDescent="0.3">
      <c r="B35" s="8" t="s">
        <v>80</v>
      </c>
      <c r="C35" s="8">
        <f t="shared" si="14"/>
        <v>-3.9136738852399537E-3</v>
      </c>
      <c r="D35" s="8">
        <f t="shared" si="15"/>
        <v>-1.1308193241481797E-2</v>
      </c>
      <c r="E35" s="8">
        <f t="shared" si="16"/>
        <v>-1.3652721698195942E-2</v>
      </c>
      <c r="F35" s="8">
        <f t="shared" si="17"/>
        <v>2.9855188830991187E-2</v>
      </c>
      <c r="G35" s="8">
        <f t="shared" si="18"/>
        <v>1.4798540053412173E-2</v>
      </c>
      <c r="H35" s="8">
        <f t="shared" si="19"/>
        <v>-4.7601957843934305E-3</v>
      </c>
      <c r="J35" s="8" t="s">
        <v>80</v>
      </c>
      <c r="K35" s="7">
        <f t="shared" si="20"/>
        <v>1.185408410840751E-2</v>
      </c>
      <c r="L35" s="7">
        <f t="shared" si="21"/>
        <v>1.5183883015263551E-2</v>
      </c>
      <c r="M35" s="7">
        <f t="shared" si="22"/>
        <v>1.3424993493400872E-2</v>
      </c>
      <c r="N35" s="7">
        <f t="shared" si="23"/>
        <v>1.2954966854689607E-2</v>
      </c>
      <c r="O35" s="7">
        <f t="shared" si="24"/>
        <v>1.2192226478018472E-2</v>
      </c>
      <c r="P35" s="7">
        <f t="shared" si="25"/>
        <v>1.3062032696463902E-2</v>
      </c>
    </row>
    <row r="36" spans="2:16" x14ac:dyDescent="0.3">
      <c r="B36" s="8" t="s">
        <v>84</v>
      </c>
      <c r="C36" s="8">
        <f t="shared" si="14"/>
        <v>2.3946857274910784E-2</v>
      </c>
      <c r="D36" s="8">
        <f t="shared" si="15"/>
        <v>-8.6760222379208829E-3</v>
      </c>
      <c r="E36" s="8">
        <f t="shared" si="16"/>
        <v>1.6175979403249038E-2</v>
      </c>
      <c r="F36" s="8">
        <f t="shared" si="17"/>
        <v>2.0376743178480899E-2</v>
      </c>
      <c r="G36" s="8">
        <f t="shared" si="18"/>
        <v>1.414310262559608E-3</v>
      </c>
      <c r="H36" s="8">
        <f t="shared" si="19"/>
        <v>2.0376743178480899E-2</v>
      </c>
      <c r="J36" s="8" t="s">
        <v>84</v>
      </c>
      <c r="K36" s="7">
        <f t="shared" si="20"/>
        <v>1.6974916415183422E-2</v>
      </c>
      <c r="L36" s="7">
        <f t="shared" si="21"/>
        <v>1.9639075681031251E-2</v>
      </c>
      <c r="M36" s="7">
        <f t="shared" si="22"/>
        <v>1.8277621428445526E-2</v>
      </c>
      <c r="N36" s="7">
        <f t="shared" si="23"/>
        <v>1.9309275385195945E-2</v>
      </c>
      <c r="O36" s="7">
        <f t="shared" si="24"/>
        <v>1.7253610925583359E-2</v>
      </c>
      <c r="P36" s="7">
        <f t="shared" si="25"/>
        <v>1.8279447364652167E-2</v>
      </c>
    </row>
    <row r="37" spans="2:16" x14ac:dyDescent="0.3">
      <c r="B37" s="8" t="s">
        <v>83</v>
      </c>
      <c r="C37" s="8">
        <f t="shared" si="14"/>
        <v>-9.6800678774620272E-3</v>
      </c>
      <c r="D37" s="8">
        <f t="shared" si="15"/>
        <v>2.4247726815882907E-2</v>
      </c>
      <c r="E37" s="8">
        <f t="shared" si="16"/>
        <v>1.6041877217383406E-2</v>
      </c>
      <c r="F37" s="8">
        <f t="shared" si="17"/>
        <v>-1.437274362276935E-2</v>
      </c>
      <c r="G37" s="8">
        <f t="shared" si="18"/>
        <v>-6.4717299078021484E-3</v>
      </c>
      <c r="H37" s="8">
        <f t="shared" si="19"/>
        <v>-1.8218897468923197E-2</v>
      </c>
      <c r="J37" s="8" t="s">
        <v>83</v>
      </c>
      <c r="K37" s="7">
        <f t="shared" si="20"/>
        <v>1.9776230052560982E-2</v>
      </c>
      <c r="L37" s="7">
        <f t="shared" si="21"/>
        <v>2.24949135631126E-2</v>
      </c>
      <c r="M37" s="7">
        <f t="shared" si="22"/>
        <v>2.168737354377312E-2</v>
      </c>
      <c r="N37" s="7">
        <f t="shared" si="23"/>
        <v>2.1842283354800072E-2</v>
      </c>
      <c r="O37" s="7">
        <f t="shared" si="24"/>
        <v>1.940667990378778E-2</v>
      </c>
      <c r="P37" s="7">
        <f t="shared" si="25"/>
        <v>2.0679084832946816E-2</v>
      </c>
    </row>
    <row r="38" spans="2:16" x14ac:dyDescent="0.3">
      <c r="B38" s="8" t="s">
        <v>88</v>
      </c>
      <c r="C38" s="8">
        <f t="shared" si="14"/>
        <v>8.080913859766059E-3</v>
      </c>
      <c r="D38" s="8">
        <f t="shared" si="15"/>
        <v>-3.9765976092387051E-2</v>
      </c>
      <c r="E38" s="8">
        <f t="shared" si="16"/>
        <v>-3.2673777510826771E-2</v>
      </c>
      <c r="F38" s="8">
        <f t="shared" si="17"/>
        <v>-2.8227514553925512E-2</v>
      </c>
      <c r="G38" s="8">
        <f t="shared" si="18"/>
        <v>-8.7582241544025552E-3</v>
      </c>
      <c r="H38" s="8">
        <f t="shared" si="19"/>
        <v>-1.6689053015463973E-2</v>
      </c>
      <c r="J38" s="8" t="s">
        <v>88</v>
      </c>
      <c r="K38" s="7">
        <f t="shared" si="20"/>
        <v>2.625696029066707E-2</v>
      </c>
      <c r="L38" s="7">
        <f t="shared" si="21"/>
        <v>2.8920709885372421E-2</v>
      </c>
      <c r="M38" s="7">
        <f t="shared" si="22"/>
        <v>2.7920791724441993E-2</v>
      </c>
      <c r="N38" s="7">
        <f t="shared" si="23"/>
        <v>2.7071452955201972E-2</v>
      </c>
      <c r="O38" s="7">
        <f t="shared" si="24"/>
        <v>2.5277597206013493E-2</v>
      </c>
      <c r="P38" s="7">
        <f t="shared" si="25"/>
        <v>2.6000830521945403E-2</v>
      </c>
    </row>
    <row r="39" spans="2:16" x14ac:dyDescent="0.3">
      <c r="B39" s="8" t="s">
        <v>92</v>
      </c>
      <c r="C39" s="8">
        <f t="shared" si="14"/>
        <v>9.9042231056887392E-3</v>
      </c>
      <c r="D39" s="8">
        <f t="shared" si="15"/>
        <v>-3.5767808212275591E-2</v>
      </c>
      <c r="E39" s="8">
        <f t="shared" si="16"/>
        <v>2.571745056505282E-2</v>
      </c>
      <c r="F39" s="8">
        <f t="shared" si="17"/>
        <v>9.2417277063512396E-3</v>
      </c>
      <c r="G39" s="8">
        <f t="shared" si="18"/>
        <v>1.9668320593625652E-3</v>
      </c>
      <c r="H39" s="8">
        <f t="shared" si="19"/>
        <v>2.4626343090966625E-2</v>
      </c>
      <c r="J39" s="8" t="s">
        <v>92</v>
      </c>
      <c r="K39" s="7">
        <f t="shared" si="20"/>
        <v>4.0286000703204601E-2</v>
      </c>
      <c r="L39" s="7">
        <f t="shared" si="21"/>
        <v>3.8898397065206015E-2</v>
      </c>
      <c r="M39" s="7">
        <f t="shared" si="22"/>
        <v>4.1169769186980461E-2</v>
      </c>
      <c r="N39" s="7">
        <f t="shared" si="23"/>
        <v>3.9423691658052387E-2</v>
      </c>
      <c r="O39" s="7">
        <f t="shared" si="24"/>
        <v>3.7702296483614409E-2</v>
      </c>
      <c r="P39" s="7">
        <f t="shared" si="25"/>
        <v>3.9423691658052387E-2</v>
      </c>
    </row>
    <row r="40" spans="2:16" x14ac:dyDescent="0.3">
      <c r="B40" s="8" t="s">
        <v>86</v>
      </c>
      <c r="C40" s="8">
        <f t="shared" si="14"/>
        <v>9.2167729528828304E-2</v>
      </c>
      <c r="D40" s="8">
        <f t="shared" si="15"/>
        <v>0.12566055249533548</v>
      </c>
      <c r="E40" s="8">
        <f t="shared" si="16"/>
        <v>8.5686342308359351E-2</v>
      </c>
      <c r="F40" s="8">
        <f t="shared" si="17"/>
        <v>2.0765447600230594E-2</v>
      </c>
      <c r="G40" s="8">
        <f t="shared" si="18"/>
        <v>5.624547145234747E-2</v>
      </c>
      <c r="H40" s="8">
        <f t="shared" si="19"/>
        <v>5.3808322156152083E-3</v>
      </c>
      <c r="J40" s="8" t="s">
        <v>86</v>
      </c>
      <c r="K40" s="7">
        <f t="shared" si="20"/>
        <v>5.5082842158772738E-2</v>
      </c>
      <c r="L40" s="7">
        <f t="shared" si="21"/>
        <v>5.2908840849623828E-2</v>
      </c>
      <c r="M40" s="7">
        <f t="shared" si="22"/>
        <v>5.6555910381873631E-2</v>
      </c>
      <c r="N40" s="7">
        <f t="shared" si="23"/>
        <v>5.0109884626539813E-2</v>
      </c>
      <c r="O40" s="7">
        <f t="shared" si="24"/>
        <v>4.9845337654774474E-2</v>
      </c>
      <c r="P40" s="7">
        <f t="shared" si="25"/>
        <v>5.010988462653982E-2</v>
      </c>
    </row>
    <row r="41" spans="2:16" x14ac:dyDescent="0.3">
      <c r="B41" s="8" t="s">
        <v>79</v>
      </c>
      <c r="C41" s="8">
        <f t="shared" si="14"/>
        <v>-3.5390263697839944E-2</v>
      </c>
      <c r="D41" s="8">
        <f t="shared" si="15"/>
        <v>5.638877066492648E-2</v>
      </c>
      <c r="E41" s="8">
        <f t="shared" si="16"/>
        <v>-3.8037112929235645E-2</v>
      </c>
      <c r="F41" s="8">
        <f t="shared" si="17"/>
        <v>2.1455522095314275E-2</v>
      </c>
      <c r="G41" s="8">
        <f t="shared" si="18"/>
        <v>2.9833578147788933E-2</v>
      </c>
      <c r="H41" s="8">
        <f t="shared" si="19"/>
        <v>2.5301675941468121E-2</v>
      </c>
      <c r="J41" s="8" t="s">
        <v>79</v>
      </c>
      <c r="K41" s="7">
        <f t="shared" si="20"/>
        <v>6.8395233446956347E-2</v>
      </c>
      <c r="L41" s="7">
        <f t="shared" si="21"/>
        <v>7.3529390918078294E-2</v>
      </c>
      <c r="M41" s="7">
        <f t="shared" si="22"/>
        <v>6.9409659086498043E-2</v>
      </c>
      <c r="N41" s="7">
        <f t="shared" si="23"/>
        <v>6.2279394107612324E-2</v>
      </c>
      <c r="O41" s="7">
        <f t="shared" si="24"/>
        <v>6.4601364873529216E-2</v>
      </c>
      <c r="P41" s="7">
        <f t="shared" si="25"/>
        <v>6.1595005161374831E-2</v>
      </c>
    </row>
    <row r="42" spans="2:16" x14ac:dyDescent="0.3">
      <c r="B42" s="8" t="s">
        <v>93</v>
      </c>
      <c r="C42" s="8">
        <f t="shared" si="14"/>
        <v>-4.9072432027075785E-2</v>
      </c>
      <c r="D42" s="8">
        <f t="shared" si="15"/>
        <v>-5.2552205841777833E-2</v>
      </c>
      <c r="E42" s="8">
        <f t="shared" si="16"/>
        <v>-2.1721656635986852E-2</v>
      </c>
      <c r="F42" s="8">
        <f t="shared" si="17"/>
        <v>-3.5196833940951383E-2</v>
      </c>
      <c r="G42" s="8">
        <f t="shared" si="18"/>
        <v>-2.6669702158005654E-2</v>
      </c>
      <c r="H42" s="8">
        <f t="shared" si="19"/>
        <v>-6.5966064710182154E-2</v>
      </c>
      <c r="J42" s="8" t="s">
        <v>93</v>
      </c>
      <c r="K42" s="7">
        <f t="shared" si="20"/>
        <v>0.17077494813593869</v>
      </c>
      <c r="L42" s="7">
        <f t="shared" si="21"/>
        <v>0.19441528186550042</v>
      </c>
      <c r="M42" s="7">
        <f t="shared" si="22"/>
        <v>0.17642707407897212</v>
      </c>
      <c r="N42" s="7">
        <f t="shared" si="23"/>
        <v>0.16639610331194024</v>
      </c>
      <c r="O42" s="7">
        <f t="shared" si="24"/>
        <v>0.17397422042013908</v>
      </c>
      <c r="P42" s="7">
        <f t="shared" si="25"/>
        <v>0.16119622508344211</v>
      </c>
    </row>
    <row r="43" spans="2:16" x14ac:dyDescent="0.3">
      <c r="B43" s="8" t="s">
        <v>74</v>
      </c>
      <c r="C43" s="8">
        <f t="shared" si="14"/>
        <v>-4.2626902307102255E-2</v>
      </c>
      <c r="D43" s="8">
        <f t="shared" si="15"/>
        <v>-0.12831633249414007</v>
      </c>
      <c r="E43" s="8">
        <f t="shared" si="16"/>
        <v>-7.7205612137771773E-2</v>
      </c>
      <c r="F43" s="8">
        <f t="shared" si="17"/>
        <v>-3.3370369366358787E-2</v>
      </c>
      <c r="G43" s="8">
        <f t="shared" si="18"/>
        <v>-6.5660172586394561E-2</v>
      </c>
      <c r="H43" s="8">
        <f t="shared" si="19"/>
        <v>1.2450152490258715E-3</v>
      </c>
      <c r="J43" s="8" t="s">
        <v>74</v>
      </c>
      <c r="K43" s="7">
        <f t="shared" si="20"/>
        <v>0.61624408561535959</v>
      </c>
      <c r="L43" s="7">
        <f t="shared" si="21"/>
        <v>0.64777657519100251</v>
      </c>
      <c r="M43" s="7">
        <f t="shared" si="22"/>
        <v>0.62896855822411446</v>
      </c>
      <c r="N43" s="7">
        <f t="shared" si="23"/>
        <v>0.61283781336190313</v>
      </c>
      <c r="O43" s="7">
        <f t="shared" si="24"/>
        <v>0.6247200009457502</v>
      </c>
      <c r="P43" s="7">
        <f t="shared" si="25"/>
        <v>0.60009984495484281</v>
      </c>
    </row>
    <row r="44" spans="2:16" x14ac:dyDescent="0.3">
      <c r="J44" s="11" t="s">
        <v>114</v>
      </c>
      <c r="K44" s="9">
        <f>SUM(K24:K43)</f>
        <v>1.0725849008817425</v>
      </c>
      <c r="L44" s="9">
        <f t="shared" ref="L44:P44" si="26">SUM(L24:L43)</f>
        <v>1.1599325401312321</v>
      </c>
      <c r="M44" s="9">
        <f t="shared" si="26"/>
        <v>1.1093222783410637</v>
      </c>
      <c r="N44" s="9">
        <f t="shared" si="26"/>
        <v>1.0597327000383592</v>
      </c>
      <c r="O44" s="9">
        <f t="shared" si="26"/>
        <v>1.0688548724966715</v>
      </c>
      <c r="P44" s="9">
        <f t="shared" si="26"/>
        <v>1.0447770557157396</v>
      </c>
    </row>
    <row r="45" spans="2:16" x14ac:dyDescent="0.3">
      <c r="J45" s="12" t="s">
        <v>115</v>
      </c>
      <c r="K45" s="10">
        <f>1-K44</f>
        <v>-7.258490088174252E-2</v>
      </c>
      <c r="L45" s="10">
        <f t="shared" ref="L45:P45" si="27">1-L44</f>
        <v>-0.15993254013123215</v>
      </c>
      <c r="M45" s="10">
        <f t="shared" si="27"/>
        <v>-0.10932227834106367</v>
      </c>
      <c r="N45" s="10">
        <f t="shared" si="27"/>
        <v>-5.9732700038359177E-2</v>
      </c>
      <c r="O45" s="10">
        <f t="shared" si="27"/>
        <v>-6.8854872496671549E-2</v>
      </c>
      <c r="P45" s="10">
        <f t="shared" si="27"/>
        <v>-4.4777055715739644E-2</v>
      </c>
    </row>
  </sheetData>
  <sortState xmlns:xlrd2="http://schemas.microsoft.com/office/spreadsheetml/2017/richdata2" ref="A2:P22">
    <sortCondition ref="B1:B22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ALÉM PARAÍBA</vt:lpstr>
      <vt:lpstr>CARANGOLA</vt:lpstr>
      <vt:lpstr>JUIZ DE FORA</vt:lpstr>
      <vt:lpstr>LEOPOLDINA-CATAGUASES</vt:lpstr>
      <vt:lpstr>LIMA DUARTE</vt:lpstr>
      <vt:lpstr>MURIAÉ</vt:lpstr>
      <vt:lpstr>SANTOS DUMONT</vt:lpstr>
      <vt:lpstr>SÃO JOÃO NEPOMUCENO-BICAS</vt:lpstr>
      <vt:lpstr>UBÁ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cp:lastPrinted>2025-05-03T21:23:56Z</cp:lastPrinted>
  <dcterms:created xsi:type="dcterms:W3CDTF">2025-04-21T21:29:39Z</dcterms:created>
  <dcterms:modified xsi:type="dcterms:W3CDTF">2025-11-26T01:27:50Z</dcterms:modified>
</cp:coreProperties>
</file>