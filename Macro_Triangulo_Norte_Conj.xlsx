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22" documentId="8_{10033AB4-940B-48F1-BB3D-38C693AF6334}" xr6:coauthVersionLast="47" xr6:coauthVersionMax="47" xr10:uidLastSave="{2EB428F9-8639-4F49-A1ED-B0A1A252FF13}"/>
  <bookViews>
    <workbookView xWindow="-108" yWindow="-108" windowWidth="23256" windowHeight="12456" activeTab="2" xr2:uid="{1A751624-106C-4D62-BEB7-397CEF418ABD}"/>
  </bookViews>
  <sheets>
    <sheet name="ITUIUTABA" sheetId="1" r:id="rId1"/>
    <sheet name="PATROCÍNIO-MONTE CARMELO" sheetId="2" r:id="rId2"/>
    <sheet name="UBERLÂNDIA-ARAGUAR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3" l="1"/>
  <c r="O13" i="3"/>
  <c r="N13" i="3"/>
  <c r="M13" i="3"/>
  <c r="L13" i="3"/>
  <c r="K13" i="3"/>
  <c r="P13" i="2"/>
  <c r="O13" i="2"/>
  <c r="N13" i="2"/>
  <c r="M13" i="2"/>
  <c r="L13" i="2"/>
  <c r="K13" i="2"/>
  <c r="K14" i="1"/>
  <c r="P13" i="1"/>
  <c r="O13" i="1"/>
  <c r="N13" i="1"/>
  <c r="M13" i="1"/>
  <c r="L13" i="1"/>
  <c r="K13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P3" i="1"/>
  <c r="P4" i="1" s="1"/>
  <c r="P5" i="1" s="1"/>
  <c r="P6" i="1" s="1"/>
  <c r="P7" i="1" s="1"/>
  <c r="P8" i="1" s="1"/>
  <c r="P9" i="1" s="1"/>
  <c r="P10" i="1" s="1"/>
  <c r="O3" i="1"/>
  <c r="O4" i="1" s="1"/>
  <c r="O5" i="1" s="1"/>
  <c r="O6" i="1" s="1"/>
  <c r="O7" i="1" s="1"/>
  <c r="O8" i="1" s="1"/>
  <c r="O9" i="1" s="1"/>
  <c r="O10" i="1" s="1"/>
  <c r="N3" i="1"/>
  <c r="N4" i="1" s="1"/>
  <c r="N5" i="1" s="1"/>
  <c r="N6" i="1" s="1"/>
  <c r="N7" i="1" s="1"/>
  <c r="N8" i="1" s="1"/>
  <c r="N9" i="1" s="1"/>
  <c r="N10" i="1" s="1"/>
  <c r="M3" i="1"/>
  <c r="M4" i="1" s="1"/>
  <c r="M5" i="1" s="1"/>
  <c r="M6" i="1" s="1"/>
  <c r="M7" i="1" s="1"/>
  <c r="M8" i="1" s="1"/>
  <c r="M9" i="1" s="1"/>
  <c r="M10" i="1" s="1"/>
  <c r="L3" i="1"/>
  <c r="L4" i="1" s="1"/>
  <c r="L5" i="1" s="1"/>
  <c r="L6" i="1" s="1"/>
  <c r="L7" i="1" s="1"/>
  <c r="L8" i="1" s="1"/>
  <c r="L9" i="1" s="1"/>
  <c r="L10" i="1" s="1"/>
  <c r="K3" i="1"/>
  <c r="K4" i="1" s="1"/>
  <c r="K5" i="1" s="1"/>
  <c r="K6" i="1" s="1"/>
  <c r="K7" i="1" s="1"/>
  <c r="K8" i="1" s="1"/>
  <c r="K9" i="1" s="1"/>
  <c r="K10" i="1" s="1"/>
  <c r="J3" i="1"/>
  <c r="J4" i="1" s="1"/>
  <c r="J5" i="1" s="1"/>
  <c r="J6" i="1" s="1"/>
  <c r="J7" i="1" s="1"/>
  <c r="J8" i="1" s="1"/>
  <c r="J9" i="1" s="1"/>
  <c r="J10" i="1" s="1"/>
  <c r="P3" i="2"/>
  <c r="P4" i="2" s="1"/>
  <c r="P5" i="2" s="1"/>
  <c r="P6" i="2" s="1"/>
  <c r="P7" i="2" s="1"/>
  <c r="P8" i="2" s="1"/>
  <c r="P9" i="2" s="1"/>
  <c r="P10" i="2" s="1"/>
  <c r="O3" i="2"/>
  <c r="O4" i="2" s="1"/>
  <c r="O5" i="2" s="1"/>
  <c r="O6" i="2" s="1"/>
  <c r="O7" i="2" s="1"/>
  <c r="O8" i="2" s="1"/>
  <c r="O9" i="2" s="1"/>
  <c r="O10" i="2" s="1"/>
  <c r="N3" i="2"/>
  <c r="N4" i="2" s="1"/>
  <c r="N5" i="2" s="1"/>
  <c r="N6" i="2" s="1"/>
  <c r="N7" i="2" s="1"/>
  <c r="N8" i="2" s="1"/>
  <c r="N9" i="2" s="1"/>
  <c r="N10" i="2" s="1"/>
  <c r="M3" i="2"/>
  <c r="M4" i="2" s="1"/>
  <c r="M5" i="2" s="1"/>
  <c r="M6" i="2" s="1"/>
  <c r="M7" i="2" s="1"/>
  <c r="M8" i="2" s="1"/>
  <c r="M9" i="2" s="1"/>
  <c r="M10" i="2" s="1"/>
  <c r="L3" i="2"/>
  <c r="L4" i="2" s="1"/>
  <c r="L5" i="2" s="1"/>
  <c r="L6" i="2" s="1"/>
  <c r="L7" i="2" s="1"/>
  <c r="L8" i="2" s="1"/>
  <c r="L9" i="2" s="1"/>
  <c r="L10" i="2" s="1"/>
  <c r="K3" i="2"/>
  <c r="K4" i="2" s="1"/>
  <c r="K5" i="2" s="1"/>
  <c r="K6" i="2" s="1"/>
  <c r="K7" i="2" s="1"/>
  <c r="K8" i="2" s="1"/>
  <c r="K9" i="2" s="1"/>
  <c r="K10" i="2" s="1"/>
  <c r="J3" i="2"/>
  <c r="J4" i="2" s="1"/>
  <c r="J5" i="2" s="1"/>
  <c r="J6" i="2" s="1"/>
  <c r="J7" i="2" s="1"/>
  <c r="J8" i="2" s="1"/>
  <c r="J9" i="2" s="1"/>
  <c r="J10" i="2" s="1"/>
  <c r="N21" i="2" s="1"/>
  <c r="P3" i="3"/>
  <c r="P4" i="3" s="1"/>
  <c r="P5" i="3" s="1"/>
  <c r="P6" i="3" s="1"/>
  <c r="P7" i="3" s="1"/>
  <c r="P8" i="3" s="1"/>
  <c r="P9" i="3" s="1"/>
  <c r="P10" i="3" s="1"/>
  <c r="O3" i="3"/>
  <c r="O4" i="3" s="1"/>
  <c r="O5" i="3" s="1"/>
  <c r="O6" i="3" s="1"/>
  <c r="O7" i="3" s="1"/>
  <c r="O8" i="3" s="1"/>
  <c r="O9" i="3" s="1"/>
  <c r="O10" i="3" s="1"/>
  <c r="N3" i="3"/>
  <c r="N4" i="3" s="1"/>
  <c r="N5" i="3" s="1"/>
  <c r="N6" i="3" s="1"/>
  <c r="N7" i="3" s="1"/>
  <c r="N8" i="3" s="1"/>
  <c r="N9" i="3" s="1"/>
  <c r="N10" i="3" s="1"/>
  <c r="M3" i="3"/>
  <c r="M4" i="3" s="1"/>
  <c r="M5" i="3" s="1"/>
  <c r="M6" i="3" s="1"/>
  <c r="M7" i="3" s="1"/>
  <c r="M8" i="3" s="1"/>
  <c r="M9" i="3" s="1"/>
  <c r="M10" i="3" s="1"/>
  <c r="L3" i="3"/>
  <c r="L4" i="3" s="1"/>
  <c r="L5" i="3" s="1"/>
  <c r="L6" i="3" s="1"/>
  <c r="L7" i="3" s="1"/>
  <c r="L8" i="3" s="1"/>
  <c r="L9" i="3" s="1"/>
  <c r="L10" i="3" s="1"/>
  <c r="K3" i="3"/>
  <c r="K4" i="3" s="1"/>
  <c r="K5" i="3" s="1"/>
  <c r="K6" i="3" s="1"/>
  <c r="K7" i="3" s="1"/>
  <c r="K8" i="3" s="1"/>
  <c r="K9" i="3" s="1"/>
  <c r="K10" i="3" s="1"/>
  <c r="J3" i="3"/>
  <c r="J4" i="3" s="1"/>
  <c r="J5" i="3" s="1"/>
  <c r="J6" i="3" s="1"/>
  <c r="J7" i="3" s="1"/>
  <c r="J8" i="3" s="1"/>
  <c r="J9" i="3" s="1"/>
  <c r="J10" i="3" s="1"/>
  <c r="P21" i="3" l="1"/>
  <c r="O16" i="3"/>
  <c r="K17" i="3"/>
  <c r="K18" i="3"/>
  <c r="M18" i="3"/>
  <c r="K14" i="3"/>
  <c r="M19" i="3"/>
  <c r="M14" i="3"/>
  <c r="O19" i="3"/>
  <c r="M15" i="3"/>
  <c r="O20" i="3"/>
  <c r="O15" i="3"/>
  <c r="K21" i="3"/>
  <c r="K15" i="2"/>
  <c r="P21" i="2"/>
  <c r="L15" i="2"/>
  <c r="O17" i="2"/>
  <c r="L19" i="2"/>
  <c r="N19" i="2"/>
  <c r="L14" i="2"/>
  <c r="L22" i="2" s="1"/>
  <c r="L23" i="2" s="1"/>
  <c r="K19" i="2"/>
  <c r="N15" i="2"/>
  <c r="M20" i="2"/>
  <c r="M16" i="2"/>
  <c r="N20" i="2"/>
  <c r="N16" i="2"/>
  <c r="O21" i="2"/>
  <c r="L18" i="2"/>
  <c r="L18" i="1"/>
  <c r="P21" i="1"/>
  <c r="L14" i="1"/>
  <c r="O20" i="1"/>
  <c r="M19" i="1"/>
  <c r="N19" i="1"/>
  <c r="M15" i="1"/>
  <c r="N15" i="1"/>
  <c r="O16" i="1"/>
  <c r="K18" i="1"/>
  <c r="L14" i="3"/>
  <c r="N15" i="3"/>
  <c r="P16" i="3"/>
  <c r="L18" i="3"/>
  <c r="N19" i="3"/>
  <c r="P20" i="3"/>
  <c r="N14" i="3"/>
  <c r="P15" i="3"/>
  <c r="L17" i="3"/>
  <c r="N18" i="3"/>
  <c r="P19" i="3"/>
  <c r="L21" i="3"/>
  <c r="O14" i="3"/>
  <c r="K16" i="3"/>
  <c r="M17" i="3"/>
  <c r="O18" i="3"/>
  <c r="K20" i="3"/>
  <c r="M21" i="3"/>
  <c r="P14" i="3"/>
  <c r="L16" i="3"/>
  <c r="N17" i="3"/>
  <c r="P18" i="3"/>
  <c r="L20" i="3"/>
  <c r="N21" i="3"/>
  <c r="K15" i="3"/>
  <c r="M16" i="3"/>
  <c r="O17" i="3"/>
  <c r="K19" i="3"/>
  <c r="M20" i="3"/>
  <c r="O21" i="3"/>
  <c r="L15" i="3"/>
  <c r="N16" i="3"/>
  <c r="P17" i="3"/>
  <c r="L19" i="3"/>
  <c r="N20" i="3"/>
  <c r="P17" i="2"/>
  <c r="K14" i="2"/>
  <c r="M15" i="2"/>
  <c r="O16" i="2"/>
  <c r="K18" i="2"/>
  <c r="M19" i="2"/>
  <c r="O20" i="2"/>
  <c r="M14" i="2"/>
  <c r="O15" i="2"/>
  <c r="K17" i="2"/>
  <c r="M18" i="2"/>
  <c r="O19" i="2"/>
  <c r="K21" i="2"/>
  <c r="P20" i="2"/>
  <c r="N14" i="2"/>
  <c r="P15" i="2"/>
  <c r="L17" i="2"/>
  <c r="N18" i="2"/>
  <c r="P19" i="2"/>
  <c r="L21" i="2"/>
  <c r="P16" i="2"/>
  <c r="O14" i="2"/>
  <c r="K16" i="2"/>
  <c r="M17" i="2"/>
  <c r="O18" i="2"/>
  <c r="K20" i="2"/>
  <c r="M21" i="2"/>
  <c r="P14" i="2"/>
  <c r="L16" i="2"/>
  <c r="N17" i="2"/>
  <c r="P18" i="2"/>
  <c r="L20" i="2"/>
  <c r="K21" i="1"/>
  <c r="N14" i="1"/>
  <c r="P15" i="1"/>
  <c r="L17" i="1"/>
  <c r="N18" i="1"/>
  <c r="P19" i="1"/>
  <c r="L21" i="1"/>
  <c r="P16" i="1"/>
  <c r="M14" i="1"/>
  <c r="O19" i="1"/>
  <c r="O14" i="1"/>
  <c r="K16" i="1"/>
  <c r="M17" i="1"/>
  <c r="O18" i="1"/>
  <c r="K20" i="1"/>
  <c r="M21" i="1"/>
  <c r="P20" i="1"/>
  <c r="O15" i="1"/>
  <c r="P14" i="1"/>
  <c r="L16" i="1"/>
  <c r="N17" i="1"/>
  <c r="P18" i="1"/>
  <c r="L20" i="1"/>
  <c r="N21" i="1"/>
  <c r="M18" i="1"/>
  <c r="K15" i="1"/>
  <c r="M16" i="1"/>
  <c r="O17" i="1"/>
  <c r="K19" i="1"/>
  <c r="M20" i="1"/>
  <c r="O21" i="1"/>
  <c r="K17" i="1"/>
  <c r="L15" i="1"/>
  <c r="N16" i="1"/>
  <c r="P17" i="1"/>
  <c r="L19" i="1"/>
  <c r="N20" i="1"/>
  <c r="K22" i="3" l="1"/>
  <c r="K23" i="3" s="1"/>
  <c r="M22" i="3"/>
  <c r="M23" i="3" s="1"/>
  <c r="O22" i="3"/>
  <c r="O23" i="3" s="1"/>
  <c r="K22" i="2"/>
  <c r="K23" i="2" s="1"/>
  <c r="P22" i="2"/>
  <c r="P23" i="2" s="1"/>
  <c r="P22" i="1"/>
  <c r="P23" i="1" s="1"/>
  <c r="O22" i="1"/>
  <c r="O23" i="1" s="1"/>
  <c r="P22" i="3"/>
  <c r="P23" i="3" s="1"/>
  <c r="N22" i="3"/>
  <c r="N23" i="3" s="1"/>
  <c r="L22" i="3"/>
  <c r="L23" i="3" s="1"/>
  <c r="O22" i="2"/>
  <c r="O23" i="2" s="1"/>
  <c r="M22" i="2"/>
  <c r="M23" i="2" s="1"/>
  <c r="N22" i="2"/>
  <c r="N23" i="2" s="1"/>
  <c r="N22" i="1"/>
  <c r="N23" i="1" s="1"/>
  <c r="M22" i="1"/>
  <c r="M23" i="1" s="1"/>
  <c r="L22" i="1"/>
  <c r="L23" i="1" s="1"/>
  <c r="K22" i="1"/>
  <c r="K23" i="1" s="1"/>
</calcChain>
</file>

<file path=xl/sharedStrings.xml><?xml version="1.0" encoding="utf-8"?>
<sst xmlns="http://schemas.openxmlformats.org/spreadsheetml/2006/main" count="174" uniqueCount="49">
  <si>
    <t>ITUIUTABA</t>
  </si>
  <si>
    <t>CACHOEIRA DOURADA</t>
  </si>
  <si>
    <t>CAMPINA VERDE</t>
  </si>
  <si>
    <t>CANÁPOLIS</t>
  </si>
  <si>
    <t>CAPINÓPOLIS</t>
  </si>
  <si>
    <t>CENTRALINA</t>
  </si>
  <si>
    <t>GURINHATÃ</t>
  </si>
  <si>
    <t>IPIAÇU</t>
  </si>
  <si>
    <t>SANTA VITÓRIA</t>
  </si>
  <si>
    <t>ABADIA DOS DOURADOS</t>
  </si>
  <si>
    <t>COROMANDEL</t>
  </si>
  <si>
    <t>DOURADOQUARA</t>
  </si>
  <si>
    <t>ESTRELA DO SUL</t>
  </si>
  <si>
    <t>GRUPIARA</t>
  </si>
  <si>
    <t>IRAÍ DE MINAS</t>
  </si>
  <si>
    <t>MONTE CARMELO</t>
  </si>
  <si>
    <t>PATROCÍNIO</t>
  </si>
  <si>
    <t>ROMARIA</t>
  </si>
  <si>
    <t>ARAGUARI</t>
  </si>
  <si>
    <t>ARAPORÃ</t>
  </si>
  <si>
    <t>CASCALHO RICO</t>
  </si>
  <si>
    <t>INDIANÓPOLIS</t>
  </si>
  <si>
    <t>MONTE ALEGRE DE MINAS</t>
  </si>
  <si>
    <t>NOVA PONTE</t>
  </si>
  <si>
    <t>PRATA</t>
  </si>
  <si>
    <t>TUPACIGUARA</t>
  </si>
  <si>
    <t>UBERLÂNDIA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</si>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</sst>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1" fillId="2" borderId="1" xfId="0" applyNumberFormat="1" applyFont="1" applyFill="1" applyBorder="1" applyAlignment="1">
      <alignment vertical="center"/>
    </xf>
    <xf numFmtId="2" fontId="1" fillId="3" borderId="1" xfId="0" applyNumberFormat="1" applyFont="1" applyFill="1" applyBorder="1" applyAlignment="1">
      <alignment vertical="center" wrapText="1"/>
    </xf>
    <xf numFmtId="2" fontId="1" fillId="4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ITUIUTABA!$J$1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ITUIUTABA!$J$2:$J$10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DA-4DB8-A6C8-3011EF60C675}"/>
            </c:ext>
          </c:extLst>
        </c:ser>
        <c:ser>
          <c:idx val="1"/>
          <c:order val="1"/>
          <c:tx>
            <c:strRef>
              <c:f>ITUIUTABA!$K$1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ITUIUTABA!$K$2:$K$10</c:f>
              <c:numCache>
                <c:formatCode>0.00</c:formatCode>
                <c:ptCount val="9"/>
                <c:pt idx="0">
                  <c:v>9.5238095238095247E-3</c:v>
                </c:pt>
                <c:pt idx="1">
                  <c:v>4.7619047619047623E-2</c:v>
                </c:pt>
                <c:pt idx="2">
                  <c:v>5.7142857142857148E-2</c:v>
                </c:pt>
                <c:pt idx="3">
                  <c:v>0.10476190476190476</c:v>
                </c:pt>
                <c:pt idx="4">
                  <c:v>0.12380952380952381</c:v>
                </c:pt>
                <c:pt idx="5">
                  <c:v>0.23809523809523808</c:v>
                </c:pt>
                <c:pt idx="6">
                  <c:v>0.30476190476190473</c:v>
                </c:pt>
                <c:pt idx="7">
                  <c:v>0.40952380952380951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DA-4DB8-A6C8-3011EF60C675}"/>
            </c:ext>
          </c:extLst>
        </c:ser>
        <c:ser>
          <c:idx val="2"/>
          <c:order val="2"/>
          <c:tx>
            <c:strRef>
              <c:f>ITUIUTABA!$L$1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ITUIUTABA!$L$2:$L$10</c:f>
              <c:numCache>
                <c:formatCode>0.00</c:formatCode>
                <c:ptCount val="9"/>
                <c:pt idx="0">
                  <c:v>3.4883720930232558E-2</c:v>
                </c:pt>
                <c:pt idx="1">
                  <c:v>8.1395348837209308E-2</c:v>
                </c:pt>
                <c:pt idx="2">
                  <c:v>0.11627906976744187</c:v>
                </c:pt>
                <c:pt idx="3">
                  <c:v>0.11627906976744187</c:v>
                </c:pt>
                <c:pt idx="4">
                  <c:v>0.13953488372093026</c:v>
                </c:pt>
                <c:pt idx="5">
                  <c:v>0.27906976744186052</c:v>
                </c:pt>
                <c:pt idx="6">
                  <c:v>0.31395348837209308</c:v>
                </c:pt>
                <c:pt idx="7">
                  <c:v>0.46511627906976749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DA-4DB8-A6C8-3011EF60C675}"/>
            </c:ext>
          </c:extLst>
        </c:ser>
        <c:ser>
          <c:idx val="3"/>
          <c:order val="3"/>
          <c:tx>
            <c:strRef>
              <c:f>ITUIUTABA!$M$1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ITUIUTABA!$M$2:$M$10</c:f>
              <c:numCache>
                <c:formatCode>0.00</c:formatCode>
                <c:ptCount val="9"/>
                <c:pt idx="0">
                  <c:v>0</c:v>
                </c:pt>
                <c:pt idx="1">
                  <c:v>3.5714285714285712E-2</c:v>
                </c:pt>
                <c:pt idx="2">
                  <c:v>5.3571428571428568E-2</c:v>
                </c:pt>
                <c:pt idx="3">
                  <c:v>0.10714285714285714</c:v>
                </c:pt>
                <c:pt idx="4">
                  <c:v>0.125</c:v>
                </c:pt>
                <c:pt idx="5">
                  <c:v>0.1607142857142857</c:v>
                </c:pt>
                <c:pt idx="6">
                  <c:v>0.23214285714285712</c:v>
                </c:pt>
                <c:pt idx="7">
                  <c:v>0.4642857142857143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DA-4DB8-A6C8-3011EF60C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757248"/>
        <c:axId val="2021774048"/>
      </c:scatterChart>
      <c:valAx>
        <c:axId val="2021757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74048"/>
        <c:crosses val="autoZero"/>
        <c:crossBetween val="midCat"/>
      </c:valAx>
      <c:valAx>
        <c:axId val="20217740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5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ITUIUTABA!$J$1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ITUIUTABA!$J$2:$J$10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81-4258-BCE5-0B18E1CEF8D3}"/>
            </c:ext>
          </c:extLst>
        </c:ser>
        <c:ser>
          <c:idx val="1"/>
          <c:order val="1"/>
          <c:tx>
            <c:strRef>
              <c:f>ITUIUTABA!$N$1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ITUIUTABA!$N$2:$N$10</c:f>
              <c:numCache>
                <c:formatCode>0.00</c:formatCode>
                <c:ptCount val="9"/>
                <c:pt idx="0">
                  <c:v>0</c:v>
                </c:pt>
                <c:pt idx="1">
                  <c:v>4.3859649122807015E-2</c:v>
                </c:pt>
                <c:pt idx="2">
                  <c:v>7.0175438596491224E-2</c:v>
                </c:pt>
                <c:pt idx="3">
                  <c:v>0.11403508771929824</c:v>
                </c:pt>
                <c:pt idx="4">
                  <c:v>0.22807017543859648</c:v>
                </c:pt>
                <c:pt idx="5">
                  <c:v>0.35087719298245612</c:v>
                </c:pt>
                <c:pt idx="6">
                  <c:v>0.38596491228070173</c:v>
                </c:pt>
                <c:pt idx="7">
                  <c:v>0.42105263157894735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81-4258-BCE5-0B18E1CEF8D3}"/>
            </c:ext>
          </c:extLst>
        </c:ser>
        <c:ser>
          <c:idx val="2"/>
          <c:order val="2"/>
          <c:tx>
            <c:strRef>
              <c:f>ITUIUTABA!$O$1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ITUIUTABA!$O$2:$O$10</c:f>
              <c:numCache>
                <c:formatCode>0.00</c:formatCode>
                <c:ptCount val="9"/>
                <c:pt idx="0">
                  <c:v>0</c:v>
                </c:pt>
                <c:pt idx="1">
                  <c:v>7.8125E-3</c:v>
                </c:pt>
                <c:pt idx="2">
                  <c:v>8.59375E-2</c:v>
                </c:pt>
                <c:pt idx="3">
                  <c:v>0.1171875</c:v>
                </c:pt>
                <c:pt idx="4">
                  <c:v>0.328125</c:v>
                </c:pt>
                <c:pt idx="5">
                  <c:v>0.46875</c:v>
                </c:pt>
                <c:pt idx="6">
                  <c:v>0.484375</c:v>
                </c:pt>
                <c:pt idx="7">
                  <c:v>0.5234375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81-4258-BCE5-0B18E1CEF8D3}"/>
            </c:ext>
          </c:extLst>
        </c:ser>
        <c:ser>
          <c:idx val="3"/>
          <c:order val="3"/>
          <c:tx>
            <c:strRef>
              <c:f>ITUIUTABA!$P$1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ITUIUTABA!$P$2:$P$10</c:f>
              <c:numCache>
                <c:formatCode>0.00</c:formatCode>
                <c:ptCount val="9"/>
                <c:pt idx="0">
                  <c:v>1.3698630136986301E-2</c:v>
                </c:pt>
                <c:pt idx="1">
                  <c:v>1.3698630136986301E-2</c:v>
                </c:pt>
                <c:pt idx="2">
                  <c:v>4.1095890410958902E-2</c:v>
                </c:pt>
                <c:pt idx="3">
                  <c:v>5.4794520547945202E-2</c:v>
                </c:pt>
                <c:pt idx="4">
                  <c:v>0.35616438356164382</c:v>
                </c:pt>
                <c:pt idx="5">
                  <c:v>0.41095890410958902</c:v>
                </c:pt>
                <c:pt idx="6">
                  <c:v>0.45205479452054792</c:v>
                </c:pt>
                <c:pt idx="7">
                  <c:v>0.46575342465753422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81-4258-BCE5-0B18E1CEF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204752"/>
        <c:axId val="653198032"/>
      </c:scatterChart>
      <c:valAx>
        <c:axId val="6532047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198032"/>
        <c:crosses val="autoZero"/>
        <c:crossBetween val="midCat"/>
      </c:valAx>
      <c:valAx>
        <c:axId val="6531980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20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'PATROCÍNIO-MONTE CARMELO'!$J$1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CARMELO'!$J$2:$J$10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03-46DC-8A8D-14E6F82CC631}"/>
            </c:ext>
          </c:extLst>
        </c:ser>
        <c:ser>
          <c:idx val="1"/>
          <c:order val="1"/>
          <c:tx>
            <c:strRef>
              <c:f>'PATROCÍNIO-MONTE CARMELO'!$K$1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CARMELO'!$K$2:$K$10</c:f>
              <c:numCache>
                <c:formatCode>0.00</c:formatCode>
                <c:ptCount val="9"/>
                <c:pt idx="0">
                  <c:v>2.8901734104046241E-3</c:v>
                </c:pt>
                <c:pt idx="1">
                  <c:v>5.7803468208092483E-3</c:v>
                </c:pt>
                <c:pt idx="2">
                  <c:v>1.7341040462427744E-2</c:v>
                </c:pt>
                <c:pt idx="3">
                  <c:v>2.8901734104046242E-2</c:v>
                </c:pt>
                <c:pt idx="4">
                  <c:v>3.4682080924855488E-2</c:v>
                </c:pt>
                <c:pt idx="5">
                  <c:v>5.2023121387283232E-2</c:v>
                </c:pt>
                <c:pt idx="6">
                  <c:v>0.19364161849710984</c:v>
                </c:pt>
                <c:pt idx="7">
                  <c:v>0.69653179190751446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03-46DC-8A8D-14E6F82CC631}"/>
            </c:ext>
          </c:extLst>
        </c:ser>
        <c:ser>
          <c:idx val="2"/>
          <c:order val="2"/>
          <c:tx>
            <c:strRef>
              <c:f>'PATROCÍNIO-MONTE CARMELO'!$L$1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CARMELO'!$L$2:$L$10</c:f>
              <c:numCache>
                <c:formatCode>0.00</c:formatCode>
                <c:ptCount val="9"/>
                <c:pt idx="0">
                  <c:v>0</c:v>
                </c:pt>
                <c:pt idx="1">
                  <c:v>8.0645161290322578E-3</c:v>
                </c:pt>
                <c:pt idx="2">
                  <c:v>8.0645161290322578E-3</c:v>
                </c:pt>
                <c:pt idx="3">
                  <c:v>2.8225806451612902E-2</c:v>
                </c:pt>
                <c:pt idx="4">
                  <c:v>3.6290322580645157E-2</c:v>
                </c:pt>
                <c:pt idx="5">
                  <c:v>5.2419354838709672E-2</c:v>
                </c:pt>
                <c:pt idx="6">
                  <c:v>0.14919354838709675</c:v>
                </c:pt>
                <c:pt idx="7">
                  <c:v>0.52419354838709675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03-46DC-8A8D-14E6F82CC631}"/>
            </c:ext>
          </c:extLst>
        </c:ser>
        <c:ser>
          <c:idx val="3"/>
          <c:order val="3"/>
          <c:tx>
            <c:strRef>
              <c:f>'PATROCÍNIO-MONTE CARMELO'!$M$1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CARMELO'!$M$2:$M$10</c:f>
              <c:numCache>
                <c:formatCode>0.00</c:formatCode>
                <c:ptCount val="9"/>
                <c:pt idx="0">
                  <c:v>0</c:v>
                </c:pt>
                <c:pt idx="1">
                  <c:v>7.8125E-3</c:v>
                </c:pt>
                <c:pt idx="2">
                  <c:v>7.8125E-3</c:v>
                </c:pt>
                <c:pt idx="3">
                  <c:v>3.90625E-2</c:v>
                </c:pt>
                <c:pt idx="4">
                  <c:v>3.90625E-2</c:v>
                </c:pt>
                <c:pt idx="5">
                  <c:v>4.6875E-2</c:v>
                </c:pt>
                <c:pt idx="6">
                  <c:v>8.59375E-2</c:v>
                </c:pt>
                <c:pt idx="7">
                  <c:v>0.21875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03-46DC-8A8D-14E6F82CC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37072"/>
        <c:axId val="525148112"/>
      </c:scatterChart>
      <c:valAx>
        <c:axId val="5251370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48112"/>
        <c:crosses val="autoZero"/>
        <c:crossBetween val="midCat"/>
      </c:valAx>
      <c:valAx>
        <c:axId val="525148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37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'PATROCÍNIO-MONTE CARMELO'!$J$1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CARMELO'!$J$2:$J$10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4-43A4-A5E5-2C1FD63E0727}"/>
            </c:ext>
          </c:extLst>
        </c:ser>
        <c:ser>
          <c:idx val="1"/>
          <c:order val="1"/>
          <c:tx>
            <c:strRef>
              <c:f>'PATROCÍNIO-MONTE CARMELO'!$N$1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CARMELO'!$N$2:$N$10</c:f>
              <c:numCache>
                <c:formatCode>0.00</c:formatCode>
                <c:ptCount val="9"/>
                <c:pt idx="0">
                  <c:v>3.5335689045936395E-3</c:v>
                </c:pt>
                <c:pt idx="1">
                  <c:v>1.7667844522968199E-2</c:v>
                </c:pt>
                <c:pt idx="2">
                  <c:v>2.4734982332155479E-2</c:v>
                </c:pt>
                <c:pt idx="3">
                  <c:v>5.3003533568904596E-2</c:v>
                </c:pt>
                <c:pt idx="4">
                  <c:v>6.0070671378091876E-2</c:v>
                </c:pt>
                <c:pt idx="5">
                  <c:v>6.7137809187279157E-2</c:v>
                </c:pt>
                <c:pt idx="6">
                  <c:v>0.15547703180212014</c:v>
                </c:pt>
                <c:pt idx="7">
                  <c:v>0.47349823321554768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D4-43A4-A5E5-2C1FD63E0727}"/>
            </c:ext>
          </c:extLst>
        </c:ser>
        <c:ser>
          <c:idx val="2"/>
          <c:order val="2"/>
          <c:tx>
            <c:strRef>
              <c:f>'PATROCÍNIO-MONTE CARMELO'!$O$1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CARMELO'!$O$2:$O$10</c:f>
              <c:numCache>
                <c:formatCode>0.00</c:formatCode>
                <c:ptCount val="9"/>
                <c:pt idx="0">
                  <c:v>2.617801047120419E-3</c:v>
                </c:pt>
                <c:pt idx="1">
                  <c:v>1.3089005235602094E-2</c:v>
                </c:pt>
                <c:pt idx="2">
                  <c:v>2.6178010471204188E-2</c:v>
                </c:pt>
                <c:pt idx="3">
                  <c:v>3.6649214659685861E-2</c:v>
                </c:pt>
                <c:pt idx="4">
                  <c:v>4.1884816753926697E-2</c:v>
                </c:pt>
                <c:pt idx="5">
                  <c:v>4.9738219895287955E-2</c:v>
                </c:pt>
                <c:pt idx="6">
                  <c:v>0.12827225130890052</c:v>
                </c:pt>
                <c:pt idx="7">
                  <c:v>0.63089005235602091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D4-43A4-A5E5-2C1FD63E0727}"/>
            </c:ext>
          </c:extLst>
        </c:ser>
        <c:ser>
          <c:idx val="3"/>
          <c:order val="3"/>
          <c:tx>
            <c:strRef>
              <c:f>'PATROCÍNIO-MONTE CARMELO'!$P$1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CARMELO'!$P$2:$P$10</c:f>
              <c:numCache>
                <c:formatCode>0.00</c:formatCode>
                <c:ptCount val="9"/>
                <c:pt idx="0">
                  <c:v>2.7548209366391185E-3</c:v>
                </c:pt>
                <c:pt idx="1">
                  <c:v>2.2038567493112948E-2</c:v>
                </c:pt>
                <c:pt idx="2">
                  <c:v>3.3057851239669422E-2</c:v>
                </c:pt>
                <c:pt idx="3">
                  <c:v>4.9586776859504134E-2</c:v>
                </c:pt>
                <c:pt idx="4">
                  <c:v>5.5096418732782371E-2</c:v>
                </c:pt>
                <c:pt idx="5">
                  <c:v>5.7851239669421489E-2</c:v>
                </c:pt>
                <c:pt idx="6">
                  <c:v>0.14325068870523416</c:v>
                </c:pt>
                <c:pt idx="7">
                  <c:v>0.61983471074380159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D4-43A4-A5E5-2C1FD63E0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00496"/>
        <c:axId val="650506736"/>
      </c:scatterChart>
      <c:valAx>
        <c:axId val="6505004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6736"/>
        <c:crosses val="autoZero"/>
        <c:crossBetween val="midCat"/>
      </c:valAx>
      <c:valAx>
        <c:axId val="650506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'UBERLÂNDIA-ARAGUARI'!$J$1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'UBERLÂNDIA-ARAGUARI'!$J$2:$J$10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80-442C-B0D3-45630A033163}"/>
            </c:ext>
          </c:extLst>
        </c:ser>
        <c:ser>
          <c:idx val="1"/>
          <c:order val="1"/>
          <c:tx>
            <c:strRef>
              <c:f>'UBERLÂNDIA-ARAGUARI'!$K$1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'UBERLÂNDIA-ARAGUARI'!$K$2:$K$10</c:f>
              <c:numCache>
                <c:formatCode>0.00</c:formatCode>
                <c:ptCount val="9"/>
                <c:pt idx="0">
                  <c:v>6.3897763578274762E-4</c:v>
                </c:pt>
                <c:pt idx="1">
                  <c:v>7.0287539936102232E-3</c:v>
                </c:pt>
                <c:pt idx="2">
                  <c:v>1.0223642172523962E-2</c:v>
                </c:pt>
                <c:pt idx="3">
                  <c:v>1.5974440894568689E-2</c:v>
                </c:pt>
                <c:pt idx="4">
                  <c:v>3.5782747603833862E-2</c:v>
                </c:pt>
                <c:pt idx="5">
                  <c:v>5.9424920127795523E-2</c:v>
                </c:pt>
                <c:pt idx="6">
                  <c:v>6.5175718849840247E-2</c:v>
                </c:pt>
                <c:pt idx="7">
                  <c:v>0.12523961661341854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80-442C-B0D3-45630A033163}"/>
            </c:ext>
          </c:extLst>
        </c:ser>
        <c:ser>
          <c:idx val="2"/>
          <c:order val="2"/>
          <c:tx>
            <c:strRef>
              <c:f>'UBERLÂNDIA-ARAGUARI'!$L$1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'UBERLÂNDIA-ARAGUARI'!$L$2:$L$10</c:f>
              <c:numCache>
                <c:formatCode>0.00</c:formatCode>
                <c:ptCount val="9"/>
                <c:pt idx="0">
                  <c:v>2.1231422505307855E-3</c:v>
                </c:pt>
                <c:pt idx="1">
                  <c:v>7.4309978768577496E-3</c:v>
                </c:pt>
                <c:pt idx="2">
                  <c:v>1.0615711252653929E-2</c:v>
                </c:pt>
                <c:pt idx="3">
                  <c:v>1.4861995753715499E-2</c:v>
                </c:pt>
                <c:pt idx="4">
                  <c:v>2.1231422505307858E-2</c:v>
                </c:pt>
                <c:pt idx="5">
                  <c:v>3.8216560509554146E-2</c:v>
                </c:pt>
                <c:pt idx="6">
                  <c:v>5.3078556263269641E-2</c:v>
                </c:pt>
                <c:pt idx="7">
                  <c:v>9.0233545647558394E-2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80-442C-B0D3-45630A033163}"/>
            </c:ext>
          </c:extLst>
        </c:ser>
        <c:ser>
          <c:idx val="3"/>
          <c:order val="3"/>
          <c:tx>
            <c:strRef>
              <c:f>'UBERLÂNDIA-ARAGUARI'!$M$1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'UBERLÂNDIA-ARAGUARI'!$M$2:$M$10</c:f>
              <c:numCache>
                <c:formatCode>0.00</c:formatCode>
                <c:ptCount val="9"/>
                <c:pt idx="0">
                  <c:v>1.7346053772766695E-3</c:v>
                </c:pt>
                <c:pt idx="1">
                  <c:v>3.469210754553339E-3</c:v>
                </c:pt>
                <c:pt idx="2">
                  <c:v>5.2038161318300087E-3</c:v>
                </c:pt>
                <c:pt idx="3">
                  <c:v>1.3009540329575022E-2</c:v>
                </c:pt>
                <c:pt idx="4">
                  <c:v>1.9080659150043366E-2</c:v>
                </c:pt>
                <c:pt idx="5">
                  <c:v>3.1222896790980052E-2</c:v>
                </c:pt>
                <c:pt idx="6">
                  <c:v>5.9843885516045095E-2</c:v>
                </c:pt>
                <c:pt idx="7">
                  <c:v>0.11014744145706851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80-442C-B0D3-45630A033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69904"/>
        <c:axId val="2055277104"/>
      </c:scatterChart>
      <c:valAx>
        <c:axId val="2055269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77104"/>
        <c:crosses val="autoZero"/>
        <c:crossBetween val="midCat"/>
      </c:valAx>
      <c:valAx>
        <c:axId val="2055277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6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'UBERLÂNDIA-ARAGUARI'!$J$1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'UBERLÂNDIA-ARAGUARI'!$J$2:$J$10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3A-4FD5-A4B1-96BA8FC028F1}"/>
            </c:ext>
          </c:extLst>
        </c:ser>
        <c:ser>
          <c:idx val="1"/>
          <c:order val="1"/>
          <c:tx>
            <c:strRef>
              <c:f>'UBERLÂNDIA-ARAGUARI'!$N$1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'UBERLÂNDIA-ARAGUARI'!$N$2:$N$10</c:f>
              <c:numCache>
                <c:formatCode>0.00</c:formatCode>
                <c:ptCount val="9"/>
                <c:pt idx="0">
                  <c:v>1.7103762827822121E-3</c:v>
                </c:pt>
                <c:pt idx="1">
                  <c:v>2.2805017103762829E-3</c:v>
                </c:pt>
                <c:pt idx="2">
                  <c:v>6.8415051311288486E-3</c:v>
                </c:pt>
                <c:pt idx="3">
                  <c:v>1.3112884834663626E-2</c:v>
                </c:pt>
                <c:pt idx="4">
                  <c:v>3.5347776510832381E-2</c:v>
                </c:pt>
                <c:pt idx="5">
                  <c:v>4.1049030786773091E-2</c:v>
                </c:pt>
                <c:pt idx="6">
                  <c:v>6.8415051311288486E-2</c:v>
                </c:pt>
                <c:pt idx="7">
                  <c:v>0.15393386545039911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3A-4FD5-A4B1-96BA8FC028F1}"/>
            </c:ext>
          </c:extLst>
        </c:ser>
        <c:ser>
          <c:idx val="2"/>
          <c:order val="2"/>
          <c:tx>
            <c:strRef>
              <c:f>'UBERLÂNDIA-ARAGUARI'!$O$1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'UBERLÂNDIA-ARAGUARI'!$O$2:$O$10</c:f>
              <c:numCache>
                <c:formatCode>0.00</c:formatCode>
                <c:ptCount val="9"/>
                <c:pt idx="0">
                  <c:v>3.2180209171359612E-3</c:v>
                </c:pt>
                <c:pt idx="1">
                  <c:v>7.2405470635559131E-3</c:v>
                </c:pt>
                <c:pt idx="2">
                  <c:v>1.0458567980691873E-2</c:v>
                </c:pt>
                <c:pt idx="3">
                  <c:v>1.7699115044247787E-2</c:v>
                </c:pt>
                <c:pt idx="4">
                  <c:v>4.1834271922767494E-2</c:v>
                </c:pt>
                <c:pt idx="5">
                  <c:v>4.8270313757039413E-2</c:v>
                </c:pt>
                <c:pt idx="6">
                  <c:v>7.4014481094127102E-2</c:v>
                </c:pt>
                <c:pt idx="7">
                  <c:v>0.1415929203539823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3A-4FD5-A4B1-96BA8FC028F1}"/>
            </c:ext>
          </c:extLst>
        </c:ser>
        <c:ser>
          <c:idx val="3"/>
          <c:order val="3"/>
          <c:tx>
            <c:strRef>
              <c:f>'UBERLÂNDIA-ARAGUARI'!$P$1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'UBERLÂNDIA-ARAGUARI'!$P$2:$P$10</c:f>
              <c:numCache>
                <c:formatCode>0.00</c:formatCode>
                <c:ptCount val="9"/>
                <c:pt idx="0">
                  <c:v>3.4542314335060447E-3</c:v>
                </c:pt>
                <c:pt idx="1">
                  <c:v>8.6355785837651123E-3</c:v>
                </c:pt>
                <c:pt idx="2">
                  <c:v>1.2089810017271156E-2</c:v>
                </c:pt>
                <c:pt idx="3">
                  <c:v>2.0725388601036267E-2</c:v>
                </c:pt>
                <c:pt idx="4">
                  <c:v>7.9447322970639028E-2</c:v>
                </c:pt>
                <c:pt idx="5">
                  <c:v>8.2901554404145067E-2</c:v>
                </c:pt>
                <c:pt idx="6">
                  <c:v>9.8445595854922269E-2</c:v>
                </c:pt>
                <c:pt idx="7">
                  <c:v>0.1778929188255613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3A-4FD5-A4B1-96BA8FC02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286480"/>
        <c:axId val="893277360"/>
      </c:scatterChart>
      <c:valAx>
        <c:axId val="8932864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77360"/>
        <c:crosses val="autoZero"/>
        <c:crossBetween val="midCat"/>
      </c:valAx>
      <c:valAx>
        <c:axId val="893277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8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64770</xdr:rowOff>
    </xdr:from>
    <xdr:to>
      <xdr:col>23</xdr:col>
      <xdr:colOff>396240</xdr:colOff>
      <xdr:row>12</xdr:row>
      <xdr:rowOff>148590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6CCCC07-F8DE-1970-0445-6DCD9EA34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13</xdr:row>
      <xdr:rowOff>11430</xdr:rowOff>
    </xdr:from>
    <xdr:to>
      <xdr:col>23</xdr:col>
      <xdr:colOff>403860</xdr:colOff>
      <xdr:row>28</xdr:row>
      <xdr:rowOff>11430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9AE32B0-E462-55A5-AA81-D14A24C38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213360</xdr:colOff>
      <xdr:row>0</xdr:row>
      <xdr:rowOff>80010</xdr:rowOff>
    </xdr:from>
    <xdr:to>
      <xdr:col>23</xdr:col>
      <xdr:colOff>518160</xdr:colOff>
      <xdr:row>12</xdr:row>
      <xdr:rowOff>163830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C4CD9B0-1686-B3F2-0273-E959C3C70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220980</xdr:colOff>
      <xdr:row>13</xdr:row>
      <xdr:rowOff>64770</xdr:rowOff>
    </xdr:from>
    <xdr:to>
      <xdr:col>23</xdr:col>
      <xdr:colOff>525780</xdr:colOff>
      <xdr:row>28</xdr:row>
      <xdr:rowOff>64770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6DD1E9-F8ED-DDC8-0F64-8CF2198B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72390</xdr:rowOff>
    </xdr:from>
    <xdr:to>
      <xdr:col>23</xdr:col>
      <xdr:colOff>426720</xdr:colOff>
      <xdr:row>12</xdr:row>
      <xdr:rowOff>156210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12C98D5-FAF3-7E35-8E7A-B4C3B5CC9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26670</xdr:rowOff>
    </xdr:from>
    <xdr:to>
      <xdr:col>23</xdr:col>
      <xdr:colOff>396240</xdr:colOff>
      <xdr:row>28</xdr:row>
      <xdr:rowOff>26670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3D5A607-B05F-AA5A-3435-558ED0496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DA75-511A-471B-BCCB-3E3154806241}">
  <dimension ref="A1:P23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1</v>
      </c>
      <c r="B2" s="9">
        <v>1.3812224834583374E-2</v>
      </c>
      <c r="C2" s="9">
        <v>9.5238095238095247E-3</v>
      </c>
      <c r="D2" s="9">
        <v>3.4883720930232558E-2</v>
      </c>
      <c r="E2" s="9">
        <v>0</v>
      </c>
      <c r="F2" s="9">
        <v>0</v>
      </c>
      <c r="G2" s="9">
        <v>0</v>
      </c>
      <c r="H2" s="9">
        <v>1.3698630136986301E-2</v>
      </c>
      <c r="I2" s="9">
        <v>1.3812224834583374E-2</v>
      </c>
      <c r="J2" s="9">
        <v>1.3812224834583374E-2</v>
      </c>
      <c r="K2" s="9">
        <v>9.5238095238095247E-3</v>
      </c>
      <c r="L2" s="9">
        <v>3.4883720930232558E-2</v>
      </c>
      <c r="M2" s="9">
        <v>0</v>
      </c>
      <c r="N2" s="9">
        <v>0</v>
      </c>
      <c r="O2" s="9">
        <v>0</v>
      </c>
      <c r="P2" s="9">
        <v>1.3698630136986301E-2</v>
      </c>
    </row>
    <row r="3" spans="1:16" x14ac:dyDescent="0.3">
      <c r="A3" s="9" t="s">
        <v>7</v>
      </c>
      <c r="B3" s="9">
        <v>2.1474962803475401E-2</v>
      </c>
      <c r="C3" s="9">
        <v>3.8095238095238099E-2</v>
      </c>
      <c r="D3" s="9">
        <v>4.6511627906976744E-2</v>
      </c>
      <c r="E3" s="9">
        <v>3.5714285714285712E-2</v>
      </c>
      <c r="F3" s="9">
        <v>4.3859649122807015E-2</v>
      </c>
      <c r="G3" s="9">
        <v>7.8125E-3</v>
      </c>
      <c r="H3" s="9">
        <v>0</v>
      </c>
      <c r="I3" s="9">
        <v>3.5287187638058777E-2</v>
      </c>
      <c r="J3" s="9">
        <f t="shared" ref="J3:P10" si="0">J2+B3</f>
        <v>3.5287187638058777E-2</v>
      </c>
      <c r="K3" s="9">
        <f t="shared" si="0"/>
        <v>4.7619047619047623E-2</v>
      </c>
      <c r="L3" s="9">
        <f t="shared" si="0"/>
        <v>8.1395348837209308E-2</v>
      </c>
      <c r="M3" s="9">
        <f t="shared" si="0"/>
        <v>3.5714285714285712E-2</v>
      </c>
      <c r="N3" s="9">
        <f t="shared" si="0"/>
        <v>4.3859649122807015E-2</v>
      </c>
      <c r="O3" s="9">
        <f t="shared" si="0"/>
        <v>7.8125E-3</v>
      </c>
      <c r="P3" s="9">
        <f t="shared" si="0"/>
        <v>1.3698630136986301E-2</v>
      </c>
    </row>
    <row r="4" spans="1:16" x14ac:dyDescent="0.3">
      <c r="A4" s="9" t="s">
        <v>6</v>
      </c>
      <c r="B4" s="9">
        <v>2.8010379480721284E-2</v>
      </c>
      <c r="C4" s="9">
        <v>9.5238095238095247E-3</v>
      </c>
      <c r="D4" s="9">
        <v>3.4883720930232558E-2</v>
      </c>
      <c r="E4" s="9">
        <v>1.7857142857142856E-2</v>
      </c>
      <c r="F4" s="9">
        <v>2.6315789473684209E-2</v>
      </c>
      <c r="G4" s="9">
        <v>7.8125E-2</v>
      </c>
      <c r="H4" s="9">
        <v>2.7397260273972601E-2</v>
      </c>
      <c r="I4" s="9">
        <v>6.3297567118780068E-2</v>
      </c>
      <c r="J4" s="9">
        <f t="shared" si="0"/>
        <v>6.3297567118780068E-2</v>
      </c>
      <c r="K4" s="9">
        <f t="shared" si="0"/>
        <v>5.7142857142857148E-2</v>
      </c>
      <c r="L4" s="9">
        <f t="shared" si="0"/>
        <v>0.11627906976744187</v>
      </c>
      <c r="M4" s="9">
        <f t="shared" si="0"/>
        <v>5.3571428571428568E-2</v>
      </c>
      <c r="N4" s="9">
        <f t="shared" si="0"/>
        <v>7.0175438596491224E-2</v>
      </c>
      <c r="O4" s="9">
        <f t="shared" si="0"/>
        <v>8.59375E-2</v>
      </c>
      <c r="P4" s="9">
        <f t="shared" si="0"/>
        <v>4.1095890410958902E-2</v>
      </c>
    </row>
    <row r="5" spans="1:16" x14ac:dyDescent="0.3">
      <c r="A5" s="9" t="s">
        <v>5</v>
      </c>
      <c r="B5" s="9">
        <v>5.2522000538270525E-2</v>
      </c>
      <c r="C5" s="9">
        <v>4.7619047619047616E-2</v>
      </c>
      <c r="D5" s="9">
        <v>0</v>
      </c>
      <c r="E5" s="9">
        <v>5.3571428571428568E-2</v>
      </c>
      <c r="F5" s="9">
        <v>4.3859649122807015E-2</v>
      </c>
      <c r="G5" s="9">
        <v>3.125E-2</v>
      </c>
      <c r="H5" s="9">
        <v>1.3698630136986301E-2</v>
      </c>
      <c r="I5" s="9">
        <v>0.11581956765705059</v>
      </c>
      <c r="J5" s="9">
        <f t="shared" si="0"/>
        <v>0.11581956765705059</v>
      </c>
      <c r="K5" s="9">
        <f t="shared" si="0"/>
        <v>0.10476190476190476</v>
      </c>
      <c r="L5" s="9">
        <f t="shared" si="0"/>
        <v>0.11627906976744187</v>
      </c>
      <c r="M5" s="9">
        <f t="shared" si="0"/>
        <v>0.10714285714285714</v>
      </c>
      <c r="N5" s="9">
        <f t="shared" si="0"/>
        <v>0.11403508771929824</v>
      </c>
      <c r="O5" s="9">
        <f t="shared" si="0"/>
        <v>0.1171875</v>
      </c>
      <c r="P5" s="9">
        <f t="shared" si="0"/>
        <v>5.4794520547945202E-2</v>
      </c>
    </row>
    <row r="6" spans="1:16" x14ac:dyDescent="0.3">
      <c r="A6" s="9" t="s">
        <v>3</v>
      </c>
      <c r="B6" s="9">
        <v>6.2210870017823862E-2</v>
      </c>
      <c r="C6" s="9">
        <v>1.9047619047619049E-2</v>
      </c>
      <c r="D6" s="9">
        <v>2.3255813953488372E-2</v>
      </c>
      <c r="E6" s="9">
        <v>1.7857142857142856E-2</v>
      </c>
      <c r="F6" s="9">
        <v>0.11403508771929824</v>
      </c>
      <c r="G6" s="9">
        <v>0.2109375</v>
      </c>
      <c r="H6" s="9">
        <v>0.30136986301369861</v>
      </c>
      <c r="I6" s="9">
        <v>0.17803043767487445</v>
      </c>
      <c r="J6" s="9">
        <f t="shared" si="0"/>
        <v>0.17803043767487445</v>
      </c>
      <c r="K6" s="9">
        <f t="shared" si="0"/>
        <v>0.12380952380952381</v>
      </c>
      <c r="L6" s="9">
        <f t="shared" si="0"/>
        <v>0.13953488372093026</v>
      </c>
      <c r="M6" s="9">
        <f t="shared" si="0"/>
        <v>0.125</v>
      </c>
      <c r="N6" s="9">
        <f t="shared" si="0"/>
        <v>0.22807017543859648</v>
      </c>
      <c r="O6" s="9">
        <f t="shared" si="0"/>
        <v>0.328125</v>
      </c>
      <c r="P6" s="9">
        <f t="shared" si="0"/>
        <v>0.35616438356164382</v>
      </c>
    </row>
    <row r="7" spans="1:16" x14ac:dyDescent="0.3">
      <c r="A7" s="9" t="s">
        <v>4</v>
      </c>
      <c r="B7" s="9">
        <v>8.2741320387757902E-2</v>
      </c>
      <c r="C7" s="9">
        <v>0.11428571428571428</v>
      </c>
      <c r="D7" s="9">
        <v>0.13953488372093023</v>
      </c>
      <c r="E7" s="9">
        <v>3.5714285714285712E-2</v>
      </c>
      <c r="F7" s="9">
        <v>0.12280701754385964</v>
      </c>
      <c r="G7" s="9">
        <v>0.140625</v>
      </c>
      <c r="H7" s="9">
        <v>5.4794520547945202E-2</v>
      </c>
      <c r="I7" s="9">
        <v>0.26077175806263236</v>
      </c>
      <c r="J7" s="9">
        <f t="shared" si="0"/>
        <v>0.26077175806263236</v>
      </c>
      <c r="K7" s="9">
        <f t="shared" si="0"/>
        <v>0.23809523809523808</v>
      </c>
      <c r="L7" s="9">
        <f t="shared" si="0"/>
        <v>0.27906976744186052</v>
      </c>
      <c r="M7" s="9">
        <f t="shared" si="0"/>
        <v>0.1607142857142857</v>
      </c>
      <c r="N7" s="9">
        <f t="shared" si="0"/>
        <v>0.35087719298245612</v>
      </c>
      <c r="O7" s="9">
        <f t="shared" si="0"/>
        <v>0.46875</v>
      </c>
      <c r="P7" s="9">
        <f t="shared" si="0"/>
        <v>0.41095890410958902</v>
      </c>
    </row>
    <row r="8" spans="1:16" x14ac:dyDescent="0.3">
      <c r="A8" s="9" t="s">
        <v>2</v>
      </c>
      <c r="B8" s="9">
        <v>0.10033667298034298</v>
      </c>
      <c r="C8" s="9">
        <v>6.6666666666666666E-2</v>
      </c>
      <c r="D8" s="9">
        <v>3.4883720930232558E-2</v>
      </c>
      <c r="E8" s="9">
        <v>7.1428571428571425E-2</v>
      </c>
      <c r="F8" s="9">
        <v>3.5087719298245612E-2</v>
      </c>
      <c r="G8" s="9">
        <v>1.5625E-2</v>
      </c>
      <c r="H8" s="9">
        <v>4.1095890410958902E-2</v>
      </c>
      <c r="I8" s="9">
        <v>0.36110843104297535</v>
      </c>
      <c r="J8" s="9">
        <f t="shared" si="0"/>
        <v>0.36110843104297535</v>
      </c>
      <c r="K8" s="9">
        <f t="shared" si="0"/>
        <v>0.30476190476190473</v>
      </c>
      <c r="L8" s="9">
        <f t="shared" si="0"/>
        <v>0.31395348837209308</v>
      </c>
      <c r="M8" s="9">
        <f t="shared" si="0"/>
        <v>0.23214285714285712</v>
      </c>
      <c r="N8" s="9">
        <f t="shared" si="0"/>
        <v>0.38596491228070173</v>
      </c>
      <c r="O8" s="9">
        <f t="shared" si="0"/>
        <v>0.484375</v>
      </c>
      <c r="P8" s="9">
        <f t="shared" si="0"/>
        <v>0.45205479452054792</v>
      </c>
    </row>
    <row r="9" spans="1:16" x14ac:dyDescent="0.3">
      <c r="A9" s="9" t="s">
        <v>8</v>
      </c>
      <c r="B9" s="9">
        <v>0.10154524265336902</v>
      </c>
      <c r="C9" s="9">
        <v>0.10476190476190476</v>
      </c>
      <c r="D9" s="9">
        <v>0.15116279069767441</v>
      </c>
      <c r="E9" s="9">
        <v>0.23214285714285715</v>
      </c>
      <c r="F9" s="9">
        <v>3.5087719298245612E-2</v>
      </c>
      <c r="G9" s="9">
        <v>3.90625E-2</v>
      </c>
      <c r="H9" s="9">
        <v>1.3698630136986301E-2</v>
      </c>
      <c r="I9" s="9">
        <v>0.46265367369634436</v>
      </c>
      <c r="J9" s="9">
        <f t="shared" si="0"/>
        <v>0.46265367369634436</v>
      </c>
      <c r="K9" s="9">
        <f t="shared" si="0"/>
        <v>0.40952380952380951</v>
      </c>
      <c r="L9" s="9">
        <f t="shared" si="0"/>
        <v>0.46511627906976749</v>
      </c>
      <c r="M9" s="9">
        <f t="shared" si="0"/>
        <v>0.4642857142857143</v>
      </c>
      <c r="N9" s="9">
        <f t="shared" si="0"/>
        <v>0.42105263157894735</v>
      </c>
      <c r="O9" s="9">
        <f t="shared" si="0"/>
        <v>0.5234375</v>
      </c>
      <c r="P9" s="9">
        <f t="shared" si="0"/>
        <v>0.46575342465753422</v>
      </c>
    </row>
    <row r="10" spans="1:16" x14ac:dyDescent="0.3">
      <c r="A10" s="9" t="s">
        <v>0</v>
      </c>
      <c r="B10" s="9">
        <v>0.53734632630365564</v>
      </c>
      <c r="C10" s="9">
        <v>0.59047619047619049</v>
      </c>
      <c r="D10" s="9">
        <v>0.53488372093023251</v>
      </c>
      <c r="E10" s="9">
        <v>0.5357142857142857</v>
      </c>
      <c r="F10" s="9">
        <v>0.57894736842105265</v>
      </c>
      <c r="G10" s="9">
        <v>0.4765625</v>
      </c>
      <c r="H10" s="9">
        <v>0.53424657534246578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0" t="s">
        <v>27</v>
      </c>
      <c r="C12" s="11" t="s">
        <v>35</v>
      </c>
      <c r="D12" s="11" t="s">
        <v>36</v>
      </c>
      <c r="E12" s="11" t="s">
        <v>37</v>
      </c>
      <c r="F12" s="11" t="s">
        <v>38</v>
      </c>
      <c r="G12" s="11" t="s">
        <v>39</v>
      </c>
      <c r="H12" s="11" t="s">
        <v>40</v>
      </c>
      <c r="J12" s="8"/>
      <c r="K12" s="12" t="s">
        <v>41</v>
      </c>
      <c r="L12" s="12" t="s">
        <v>42</v>
      </c>
      <c r="M12" s="12" t="s">
        <v>43</v>
      </c>
      <c r="N12" s="12" t="s">
        <v>44</v>
      </c>
      <c r="O12" s="12" t="s">
        <v>45</v>
      </c>
      <c r="P12" s="12" t="s">
        <v>46</v>
      </c>
    </row>
    <row r="13" spans="1:16" x14ac:dyDescent="0.3">
      <c r="B13" s="9" t="s">
        <v>1</v>
      </c>
      <c r="C13" s="9">
        <f>C2-B2</f>
        <v>-4.2884153107738496E-3</v>
      </c>
      <c r="D13" s="9">
        <f>D2-B2</f>
        <v>2.1071496095649185E-2</v>
      </c>
      <c r="E13" s="9">
        <f>E2-B2</f>
        <v>-1.3812224834583374E-2</v>
      </c>
      <c r="F13" s="9">
        <f>F2-B2</f>
        <v>-1.3812224834583374E-2</v>
      </c>
      <c r="G13" s="9">
        <f>G2-B2</f>
        <v>-1.3812224834583374E-2</v>
      </c>
      <c r="H13" s="9">
        <f>H2-B2</f>
        <v>-1.135946975970737E-4</v>
      </c>
      <c r="J13" s="9" t="s">
        <v>1</v>
      </c>
      <c r="K13" s="8">
        <f>($J2-0) * ((K2+0))</f>
        <v>1.3154499842460359E-4</v>
      </c>
      <c r="L13" s="8">
        <f t="shared" ref="L13:P13" si="1">($J2-0) * ((L2+0))</f>
        <v>4.81821796555234E-4</v>
      </c>
      <c r="M13" s="8">
        <f t="shared" si="1"/>
        <v>0</v>
      </c>
      <c r="N13" s="8">
        <f t="shared" si="1"/>
        <v>0</v>
      </c>
      <c r="O13" s="8">
        <f t="shared" si="1"/>
        <v>0</v>
      </c>
      <c r="P13" s="8">
        <f t="shared" si="1"/>
        <v>1.8920855937785443E-4</v>
      </c>
    </row>
    <row r="14" spans="1:16" x14ac:dyDescent="0.3">
      <c r="B14" s="9" t="s">
        <v>7</v>
      </c>
      <c r="C14" s="9">
        <f t="shared" ref="C14:C21" si="2">C3-B3</f>
        <v>1.6620275291762698E-2</v>
      </c>
      <c r="D14" s="9">
        <f t="shared" ref="D14:D21" si="3">D3-B3</f>
        <v>2.5036665103501343E-2</v>
      </c>
      <c r="E14" s="9">
        <f t="shared" ref="E14:E21" si="4">E3-B3</f>
        <v>1.4239322910810311E-2</v>
      </c>
      <c r="F14" s="9">
        <f t="shared" ref="F14:F21" si="5">F3-B3</f>
        <v>2.2384686319331614E-2</v>
      </c>
      <c r="G14" s="9">
        <f t="shared" ref="G14:G21" si="6">G3-B3</f>
        <v>-1.3662462803475401E-2</v>
      </c>
      <c r="H14" s="9">
        <f t="shared" ref="H14:H21" si="7">H3-B3</f>
        <v>-2.1474962803475401E-2</v>
      </c>
      <c r="J14" s="9" t="s">
        <v>7</v>
      </c>
      <c r="K14" s="8">
        <f>($J3-$J2) * ((K3+K2))</f>
        <v>1.227140731627166E-3</v>
      </c>
      <c r="L14" s="8">
        <f t="shared" ref="L14:P14" si="8">($J3-$J2) * ((L3+L2))</f>
        <v>2.4970886980785357E-3</v>
      </c>
      <c r="M14" s="8">
        <f t="shared" si="8"/>
        <v>7.6696295726697873E-4</v>
      </c>
      <c r="N14" s="8">
        <f t="shared" si="8"/>
        <v>9.4188433348576335E-4</v>
      </c>
      <c r="O14" s="8">
        <f t="shared" si="8"/>
        <v>1.677731469021516E-4</v>
      </c>
      <c r="P14" s="8">
        <f t="shared" si="8"/>
        <v>5.88355145300696E-4</v>
      </c>
    </row>
    <row r="15" spans="1:16" x14ac:dyDescent="0.3">
      <c r="B15" s="9" t="s">
        <v>6</v>
      </c>
      <c r="C15" s="9">
        <f t="shared" si="2"/>
        <v>-1.8486569956911759E-2</v>
      </c>
      <c r="D15" s="9">
        <f t="shared" si="3"/>
        <v>6.8733414495112735E-3</v>
      </c>
      <c r="E15" s="9">
        <f t="shared" si="4"/>
        <v>-1.0153236623578428E-2</v>
      </c>
      <c r="F15" s="9">
        <f t="shared" si="5"/>
        <v>-1.6945900070370751E-3</v>
      </c>
      <c r="G15" s="9">
        <f t="shared" si="6"/>
        <v>5.0114620519278716E-2</v>
      </c>
      <c r="H15" s="9">
        <f t="shared" si="7"/>
        <v>-6.1311920674868292E-4</v>
      </c>
      <c r="J15" s="9" t="s">
        <v>6</v>
      </c>
      <c r="K15" s="8">
        <f t="shared" ref="K15:P21" si="9">($J4-$J3) * ((K4+K3))</f>
        <v>2.9344207075041357E-3</v>
      </c>
      <c r="L15" s="8">
        <f t="shared" si="9"/>
        <v>5.5369354787472326E-3</v>
      </c>
      <c r="M15" s="8">
        <f t="shared" si="9"/>
        <v>2.5009267393501151E-3</v>
      </c>
      <c r="N15" s="8">
        <f t="shared" si="9"/>
        <v>3.194166081134884E-3</v>
      </c>
      <c r="O15" s="8">
        <f t="shared" si="9"/>
        <v>2.6259730763176208E-3</v>
      </c>
      <c r="P15" s="8">
        <f t="shared" si="9"/>
        <v>1.5348153140121255E-3</v>
      </c>
    </row>
    <row r="16" spans="1:16" x14ac:dyDescent="0.3">
      <c r="B16" s="9" t="s">
        <v>5</v>
      </c>
      <c r="C16" s="9">
        <f t="shared" si="2"/>
        <v>-4.9029529192229082E-3</v>
      </c>
      <c r="D16" s="9">
        <f t="shared" si="3"/>
        <v>-5.2522000538270525E-2</v>
      </c>
      <c r="E16" s="9">
        <f t="shared" si="4"/>
        <v>1.0494280331580438E-3</v>
      </c>
      <c r="F16" s="9">
        <f t="shared" si="5"/>
        <v>-8.6623514154635095E-3</v>
      </c>
      <c r="G16" s="9">
        <f t="shared" si="6"/>
        <v>-2.1272000538270525E-2</v>
      </c>
      <c r="H16" s="9">
        <f t="shared" si="7"/>
        <v>-3.8823370401284224E-2</v>
      </c>
      <c r="J16" s="9" t="s">
        <v>5</v>
      </c>
      <c r="K16" s="8">
        <f t="shared" si="9"/>
        <v>8.5035619919104667E-3</v>
      </c>
      <c r="L16" s="8">
        <f t="shared" si="9"/>
        <v>1.2214418729830355E-2</v>
      </c>
      <c r="M16" s="8">
        <f t="shared" si="9"/>
        <v>8.4410358007934762E-3</v>
      </c>
      <c r="N16" s="8">
        <f t="shared" si="9"/>
        <v>9.6751053623129902E-3</v>
      </c>
      <c r="O16" s="8">
        <f t="shared" si="9"/>
        <v>1.06685313593362E-2</v>
      </c>
      <c r="P16" s="8">
        <f t="shared" si="9"/>
        <v>5.0363562159985433E-3</v>
      </c>
    </row>
    <row r="17" spans="2:16" x14ac:dyDescent="0.3">
      <c r="B17" s="9" t="s">
        <v>3</v>
      </c>
      <c r="C17" s="9">
        <f t="shared" si="2"/>
        <v>-4.3163250970204813E-2</v>
      </c>
      <c r="D17" s="9">
        <f t="shared" si="3"/>
        <v>-3.895505606433549E-2</v>
      </c>
      <c r="E17" s="9">
        <f t="shared" si="4"/>
        <v>-4.4353727160681006E-2</v>
      </c>
      <c r="F17" s="9">
        <f t="shared" si="5"/>
        <v>5.1824217701474377E-2</v>
      </c>
      <c r="G17" s="9">
        <f t="shared" si="6"/>
        <v>0.14872662998217615</v>
      </c>
      <c r="H17" s="9">
        <f t="shared" si="7"/>
        <v>0.23915899299587476</v>
      </c>
      <c r="J17" s="9" t="s">
        <v>3</v>
      </c>
      <c r="K17" s="8">
        <f t="shared" si="9"/>
        <v>1.4219627432645454E-2</v>
      </c>
      <c r="L17" s="8">
        <f t="shared" si="9"/>
        <v>1.5914408609210753E-2</v>
      </c>
      <c r="M17" s="8">
        <f t="shared" si="9"/>
        <v>1.4441809111280538E-2</v>
      </c>
      <c r="N17" s="8">
        <f t="shared" si="9"/>
        <v>2.1282666058729211E-2</v>
      </c>
      <c r="O17" s="8">
        <f t="shared" si="9"/>
        <v>2.7703278054812184E-2</v>
      </c>
      <c r="P17" s="8">
        <f t="shared" si="9"/>
        <v>2.5566110966228982E-2</v>
      </c>
    </row>
    <row r="18" spans="2:16" x14ac:dyDescent="0.3">
      <c r="B18" s="9" t="s">
        <v>4</v>
      </c>
      <c r="C18" s="9">
        <f t="shared" si="2"/>
        <v>3.154439389795638E-2</v>
      </c>
      <c r="D18" s="9">
        <f t="shared" si="3"/>
        <v>5.6793563333172328E-2</v>
      </c>
      <c r="E18" s="9">
        <f t="shared" si="4"/>
        <v>-4.702703467347219E-2</v>
      </c>
      <c r="F18" s="9">
        <f t="shared" si="5"/>
        <v>4.006569715610174E-2</v>
      </c>
      <c r="G18" s="9">
        <f t="shared" si="6"/>
        <v>5.7883679612242098E-2</v>
      </c>
      <c r="H18" s="9">
        <f t="shared" si="7"/>
        <v>-2.79467998398127E-2</v>
      </c>
      <c r="J18" s="9" t="s">
        <v>4</v>
      </c>
      <c r="K18" s="8">
        <f t="shared" si="9"/>
        <v>2.9944477854617148E-2</v>
      </c>
      <c r="L18" s="8">
        <f t="shared" si="9"/>
        <v>3.4635901557666111E-2</v>
      </c>
      <c r="M18" s="8">
        <f t="shared" si="9"/>
        <v>2.3640377253645116E-2</v>
      </c>
      <c r="N18" s="8">
        <f t="shared" si="9"/>
        <v>4.7902869698175636E-2</v>
      </c>
      <c r="O18" s="8">
        <f t="shared" si="9"/>
        <v>6.5934489683994596E-2</v>
      </c>
      <c r="P18" s="8">
        <f t="shared" si="9"/>
        <v>6.3472793722115659E-2</v>
      </c>
    </row>
    <row r="19" spans="2:16" x14ac:dyDescent="0.3">
      <c r="B19" s="9" t="s">
        <v>2</v>
      </c>
      <c r="C19" s="9">
        <f t="shared" si="2"/>
        <v>-3.3670006313676309E-2</v>
      </c>
      <c r="D19" s="9">
        <f t="shared" si="3"/>
        <v>-6.5452952050110424E-2</v>
      </c>
      <c r="E19" s="9">
        <f t="shared" si="4"/>
        <v>-2.8908101551771551E-2</v>
      </c>
      <c r="F19" s="9">
        <f t="shared" si="5"/>
        <v>-6.5248953682097363E-2</v>
      </c>
      <c r="G19" s="9">
        <f t="shared" si="6"/>
        <v>-8.4711672980342975E-2</v>
      </c>
      <c r="H19" s="9">
        <f t="shared" si="7"/>
        <v>-5.9240782569384073E-2</v>
      </c>
      <c r="J19" s="9" t="s">
        <v>2</v>
      </c>
      <c r="K19" s="8">
        <f t="shared" si="9"/>
        <v>5.4468479617900474E-2</v>
      </c>
      <c r="L19" s="8">
        <f t="shared" si="9"/>
        <v>5.9501980488342952E-2</v>
      </c>
      <c r="M19" s="8">
        <f t="shared" si="9"/>
        <v>3.9417978670849028E-2</v>
      </c>
      <c r="N19" s="8">
        <f t="shared" si="9"/>
        <v>7.3932285353936936E-2</v>
      </c>
      <c r="O19" s="8">
        <f t="shared" si="9"/>
        <v>9.5633391434389411E-2</v>
      </c>
      <c r="P19" s="8">
        <f t="shared" si="9"/>
        <v>8.6591923257008319E-2</v>
      </c>
    </row>
    <row r="20" spans="2:16" x14ac:dyDescent="0.3">
      <c r="B20" s="9" t="s">
        <v>8</v>
      </c>
      <c r="C20" s="9">
        <f t="shared" si="2"/>
        <v>3.216662108535745E-3</v>
      </c>
      <c r="D20" s="9">
        <f t="shared" si="3"/>
        <v>4.961754804430539E-2</v>
      </c>
      <c r="E20" s="9">
        <f t="shared" si="4"/>
        <v>0.13059761448948815</v>
      </c>
      <c r="F20" s="9">
        <f t="shared" si="5"/>
        <v>-6.6457523355123407E-2</v>
      </c>
      <c r="G20" s="9">
        <f t="shared" si="6"/>
        <v>-6.2482742653369019E-2</v>
      </c>
      <c r="H20" s="9">
        <f t="shared" si="7"/>
        <v>-8.7846612516382719E-2</v>
      </c>
      <c r="J20" s="9" t="s">
        <v>8</v>
      </c>
      <c r="K20" s="8">
        <f t="shared" si="9"/>
        <v>7.2532316180977857E-2</v>
      </c>
      <c r="L20" s="8">
        <f t="shared" si="9"/>
        <v>7.9110828578787484E-2</v>
      </c>
      <c r="M20" s="8">
        <f t="shared" si="9"/>
        <v>7.0719008276453416E-2</v>
      </c>
      <c r="N20" s="8">
        <f t="shared" si="9"/>
        <v>8.1948792316753935E-2</v>
      </c>
      <c r="O20" s="8">
        <f t="shared" si="9"/>
        <v>0.10233856486159845</v>
      </c>
      <c r="P20" s="8">
        <f t="shared" si="9"/>
        <v>9.3199058325694834E-2</v>
      </c>
    </row>
    <row r="21" spans="2:16" x14ac:dyDescent="0.3">
      <c r="B21" s="9" t="s">
        <v>0</v>
      </c>
      <c r="C21" s="9">
        <f t="shared" si="2"/>
        <v>5.3129864172534846E-2</v>
      </c>
      <c r="D21" s="9">
        <f t="shared" si="3"/>
        <v>-2.4626053734231323E-3</v>
      </c>
      <c r="E21" s="9">
        <f t="shared" si="4"/>
        <v>-1.632040589369943E-3</v>
      </c>
      <c r="F21" s="9">
        <f t="shared" si="5"/>
        <v>4.1601042117397014E-2</v>
      </c>
      <c r="G21" s="9">
        <f t="shared" si="6"/>
        <v>-6.0783826303655641E-2</v>
      </c>
      <c r="H21" s="9">
        <f t="shared" si="7"/>
        <v>-3.0997509611898622E-3</v>
      </c>
      <c r="J21" s="9" t="s">
        <v>0</v>
      </c>
      <c r="K21" s="8">
        <f t="shared" si="9"/>
        <v>0.75740244088515263</v>
      </c>
      <c r="L21" s="8">
        <f t="shared" si="9"/>
        <v>0.78727485016582099</v>
      </c>
      <c r="M21" s="8">
        <f t="shared" si="9"/>
        <v>0.78682854923035295</v>
      </c>
      <c r="N21" s="8">
        <f t="shared" si="9"/>
        <v>0.76359741106308954</v>
      </c>
      <c r="O21" s="8">
        <f t="shared" si="9"/>
        <v>0.81861354397822539</v>
      </c>
      <c r="P21" s="8">
        <f t="shared" si="9"/>
        <v>0.78761721800672813</v>
      </c>
    </row>
    <row r="22" spans="2:16" x14ac:dyDescent="0.3">
      <c r="J22" s="13" t="s">
        <v>47</v>
      </c>
      <c r="K22" s="12">
        <f>SUM(K13:K21)</f>
        <v>0.9413640104007599</v>
      </c>
      <c r="L22" s="12">
        <f t="shared" ref="L22:P22" si="10">SUM(L13:L21)</f>
        <v>0.99716823410303967</v>
      </c>
      <c r="M22" s="12">
        <f t="shared" si="10"/>
        <v>0.9467566480399916</v>
      </c>
      <c r="N22" s="12">
        <f t="shared" si="10"/>
        <v>1.0024751802676188</v>
      </c>
      <c r="O22" s="12">
        <f t="shared" si="10"/>
        <v>1.1236855455955759</v>
      </c>
      <c r="P22" s="12">
        <f t="shared" si="10"/>
        <v>1.0637958395124651</v>
      </c>
    </row>
    <row r="23" spans="2:16" x14ac:dyDescent="0.3">
      <c r="J23" s="14" t="s">
        <v>48</v>
      </c>
      <c r="K23" s="15">
        <f>1-K22</f>
        <v>5.8635989599240101E-2</v>
      </c>
      <c r="L23" s="15">
        <f t="shared" ref="L23:P23" si="11">1-L22</f>
        <v>2.8317658969603254E-3</v>
      </c>
      <c r="M23" s="15">
        <f t="shared" si="11"/>
        <v>5.32433519600084E-2</v>
      </c>
      <c r="N23" s="15">
        <f t="shared" si="11"/>
        <v>-2.4751802676188372E-3</v>
      </c>
      <c r="O23" s="15">
        <f t="shared" si="11"/>
        <v>-0.12368554559557587</v>
      </c>
      <c r="P23" s="15">
        <f t="shared" si="11"/>
        <v>-6.3795839512465147E-2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8B9E-713D-48FA-98B7-17B158F22FF0}">
  <dimension ref="A1:P23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13</v>
      </c>
      <c r="B2" s="9">
        <v>7.032784140209157E-3</v>
      </c>
      <c r="C2" s="9">
        <v>2.8901734104046241E-3</v>
      </c>
      <c r="D2" s="9">
        <v>0</v>
      </c>
      <c r="E2" s="9">
        <v>0</v>
      </c>
      <c r="F2" s="9">
        <v>3.5335689045936395E-3</v>
      </c>
      <c r="G2" s="9">
        <v>2.617801047120419E-3</v>
      </c>
      <c r="H2" s="9">
        <v>2.7548209366391185E-3</v>
      </c>
      <c r="I2" s="9">
        <v>7.032784140209157E-3</v>
      </c>
      <c r="J2" s="9">
        <v>7.032784140209157E-3</v>
      </c>
      <c r="K2" s="9">
        <v>2.8901734104046241E-3</v>
      </c>
      <c r="L2" s="9">
        <v>0</v>
      </c>
      <c r="M2" s="9">
        <v>0</v>
      </c>
      <c r="N2" s="9">
        <v>3.5335689045936395E-3</v>
      </c>
      <c r="O2" s="9">
        <v>2.617801047120419E-3</v>
      </c>
      <c r="P2" s="9">
        <v>2.7548209366391185E-3</v>
      </c>
    </row>
    <row r="3" spans="1:16" x14ac:dyDescent="0.3">
      <c r="A3" s="9" t="s">
        <v>11</v>
      </c>
      <c r="B3" s="9">
        <v>9.7170141619772974E-3</v>
      </c>
      <c r="C3" s="9">
        <v>2.8901734104046241E-3</v>
      </c>
      <c r="D3" s="9">
        <v>8.0645161290322578E-3</v>
      </c>
      <c r="E3" s="9">
        <v>7.8125E-3</v>
      </c>
      <c r="F3" s="9">
        <v>1.4134275618374558E-2</v>
      </c>
      <c r="G3" s="9">
        <v>1.0471204188481676E-2</v>
      </c>
      <c r="H3" s="9">
        <v>1.928374655647383E-2</v>
      </c>
      <c r="I3" s="9">
        <v>1.6749798302186453E-2</v>
      </c>
      <c r="J3" s="9">
        <f t="shared" ref="J3:P10" si="0">J2+B3</f>
        <v>1.6749798302186453E-2</v>
      </c>
      <c r="K3" s="9">
        <f t="shared" si="0"/>
        <v>5.7803468208092483E-3</v>
      </c>
      <c r="L3" s="9">
        <f t="shared" si="0"/>
        <v>8.0645161290322578E-3</v>
      </c>
      <c r="M3" s="9">
        <f t="shared" si="0"/>
        <v>7.8125E-3</v>
      </c>
      <c r="N3" s="9">
        <f t="shared" si="0"/>
        <v>1.7667844522968199E-2</v>
      </c>
      <c r="O3" s="9">
        <f t="shared" si="0"/>
        <v>1.3089005235602094E-2</v>
      </c>
      <c r="P3" s="9">
        <f t="shared" si="0"/>
        <v>2.2038567493112948E-2</v>
      </c>
    </row>
    <row r="4" spans="1:16" x14ac:dyDescent="0.3">
      <c r="A4" s="9" t="s">
        <v>17</v>
      </c>
      <c r="B4" s="9">
        <v>1.779507502143832E-2</v>
      </c>
      <c r="C4" s="9">
        <v>1.1560693641618497E-2</v>
      </c>
      <c r="D4" s="9">
        <v>0</v>
      </c>
      <c r="E4" s="9">
        <v>0</v>
      </c>
      <c r="F4" s="9">
        <v>7.0671378091872791E-3</v>
      </c>
      <c r="G4" s="9">
        <v>1.3089005235602094E-2</v>
      </c>
      <c r="H4" s="9">
        <v>1.1019283746556474E-2</v>
      </c>
      <c r="I4" s="9">
        <v>3.454487332362477E-2</v>
      </c>
      <c r="J4" s="9">
        <f t="shared" si="0"/>
        <v>3.454487332362477E-2</v>
      </c>
      <c r="K4" s="9">
        <f t="shared" si="0"/>
        <v>1.7341040462427744E-2</v>
      </c>
      <c r="L4" s="9">
        <f t="shared" si="0"/>
        <v>8.0645161290322578E-3</v>
      </c>
      <c r="M4" s="9">
        <f t="shared" si="0"/>
        <v>7.8125E-3</v>
      </c>
      <c r="N4" s="9">
        <f t="shared" si="0"/>
        <v>2.4734982332155479E-2</v>
      </c>
      <c r="O4" s="9">
        <f t="shared" si="0"/>
        <v>2.6178010471204188E-2</v>
      </c>
      <c r="P4" s="9">
        <f t="shared" si="0"/>
        <v>3.3057851239669422E-2</v>
      </c>
    </row>
    <row r="5" spans="1:16" x14ac:dyDescent="0.3">
      <c r="A5" s="9" t="s">
        <v>9</v>
      </c>
      <c r="B5" s="9">
        <v>3.5630743313527197E-2</v>
      </c>
      <c r="C5" s="9">
        <v>1.1560693641618497E-2</v>
      </c>
      <c r="D5" s="9">
        <v>2.0161290322580645E-2</v>
      </c>
      <c r="E5" s="9">
        <v>3.125E-2</v>
      </c>
      <c r="F5" s="9">
        <v>2.8268551236749116E-2</v>
      </c>
      <c r="G5" s="9">
        <v>1.0471204188481676E-2</v>
      </c>
      <c r="H5" s="9">
        <v>1.6528925619834711E-2</v>
      </c>
      <c r="I5" s="9">
        <v>7.0175616637151966E-2</v>
      </c>
      <c r="J5" s="9">
        <f t="shared" si="0"/>
        <v>7.0175616637151966E-2</v>
      </c>
      <c r="K5" s="9">
        <f t="shared" si="0"/>
        <v>2.8901734104046242E-2</v>
      </c>
      <c r="L5" s="9">
        <f t="shared" si="0"/>
        <v>2.8225806451612902E-2</v>
      </c>
      <c r="M5" s="9">
        <f t="shared" si="0"/>
        <v>3.90625E-2</v>
      </c>
      <c r="N5" s="9">
        <f t="shared" si="0"/>
        <v>5.3003533568904596E-2</v>
      </c>
      <c r="O5" s="9">
        <f t="shared" si="0"/>
        <v>3.6649214659685861E-2</v>
      </c>
      <c r="P5" s="9">
        <f t="shared" si="0"/>
        <v>4.9586776859504134E-2</v>
      </c>
    </row>
    <row r="6" spans="1:16" x14ac:dyDescent="0.3">
      <c r="A6" s="9" t="s">
        <v>14</v>
      </c>
      <c r="B6" s="9">
        <v>3.5859080460936589E-2</v>
      </c>
      <c r="C6" s="9">
        <v>5.7803468208092483E-3</v>
      </c>
      <c r="D6" s="9">
        <v>8.0645161290322578E-3</v>
      </c>
      <c r="E6" s="9">
        <v>0</v>
      </c>
      <c r="F6" s="9">
        <v>7.0671378091872791E-3</v>
      </c>
      <c r="G6" s="9">
        <v>5.235602094240838E-3</v>
      </c>
      <c r="H6" s="9">
        <v>5.5096418732782371E-3</v>
      </c>
      <c r="I6" s="9">
        <v>0.10603469709808855</v>
      </c>
      <c r="J6" s="9">
        <f t="shared" si="0"/>
        <v>0.10603469709808855</v>
      </c>
      <c r="K6" s="9">
        <f t="shared" si="0"/>
        <v>3.4682080924855488E-2</v>
      </c>
      <c r="L6" s="9">
        <f t="shared" si="0"/>
        <v>3.6290322580645157E-2</v>
      </c>
      <c r="M6" s="9">
        <f t="shared" si="0"/>
        <v>3.90625E-2</v>
      </c>
      <c r="N6" s="9">
        <f t="shared" si="0"/>
        <v>6.0070671378091876E-2</v>
      </c>
      <c r="O6" s="9">
        <f t="shared" si="0"/>
        <v>4.1884816753926697E-2</v>
      </c>
      <c r="P6" s="9">
        <f t="shared" si="0"/>
        <v>5.5096418732782371E-2</v>
      </c>
    </row>
    <row r="7" spans="1:16" x14ac:dyDescent="0.3">
      <c r="A7" s="9" t="s">
        <v>12</v>
      </c>
      <c r="B7" s="9">
        <v>4.088249770394313E-2</v>
      </c>
      <c r="C7" s="9">
        <v>1.7341040462427744E-2</v>
      </c>
      <c r="D7" s="9">
        <v>1.6129032258064516E-2</v>
      </c>
      <c r="E7" s="9">
        <v>7.8125E-3</v>
      </c>
      <c r="F7" s="9">
        <v>7.0671378091872791E-3</v>
      </c>
      <c r="G7" s="9">
        <v>7.8534031413612562E-3</v>
      </c>
      <c r="H7" s="9">
        <v>2.7548209366391185E-3</v>
      </c>
      <c r="I7" s="9">
        <v>0.14691719480203169</v>
      </c>
      <c r="J7" s="9">
        <f t="shared" si="0"/>
        <v>0.14691719480203169</v>
      </c>
      <c r="K7" s="9">
        <f t="shared" si="0"/>
        <v>5.2023121387283232E-2</v>
      </c>
      <c r="L7" s="9">
        <f t="shared" si="0"/>
        <v>5.2419354838709672E-2</v>
      </c>
      <c r="M7" s="9">
        <f t="shared" si="0"/>
        <v>4.6875E-2</v>
      </c>
      <c r="N7" s="9">
        <f t="shared" si="0"/>
        <v>6.7137809187279157E-2</v>
      </c>
      <c r="O7" s="9">
        <f t="shared" si="0"/>
        <v>4.9738219895287955E-2</v>
      </c>
      <c r="P7" s="9">
        <f t="shared" si="0"/>
        <v>5.7851239669421489E-2</v>
      </c>
    </row>
    <row r="8" spans="1:16" x14ac:dyDescent="0.3">
      <c r="A8" s="9" t="s">
        <v>10</v>
      </c>
      <c r="B8" s="9">
        <v>0.14186333260603723</v>
      </c>
      <c r="C8" s="9">
        <v>0.1416184971098266</v>
      </c>
      <c r="D8" s="9">
        <v>9.6774193548387094E-2</v>
      </c>
      <c r="E8" s="9">
        <v>3.90625E-2</v>
      </c>
      <c r="F8" s="9">
        <v>8.8339222614840993E-2</v>
      </c>
      <c r="G8" s="9">
        <v>7.8534031413612565E-2</v>
      </c>
      <c r="H8" s="9">
        <v>8.5399449035812675E-2</v>
      </c>
      <c r="I8" s="9">
        <v>0.28878052740806892</v>
      </c>
      <c r="J8" s="9">
        <f t="shared" si="0"/>
        <v>0.28878052740806892</v>
      </c>
      <c r="K8" s="9">
        <f t="shared" si="0"/>
        <v>0.19364161849710984</v>
      </c>
      <c r="L8" s="9">
        <f t="shared" si="0"/>
        <v>0.14919354838709675</v>
      </c>
      <c r="M8" s="9">
        <f t="shared" si="0"/>
        <v>8.59375E-2</v>
      </c>
      <c r="N8" s="9">
        <f t="shared" si="0"/>
        <v>0.15547703180212014</v>
      </c>
      <c r="O8" s="9">
        <f t="shared" si="0"/>
        <v>0.12827225130890052</v>
      </c>
      <c r="P8" s="9">
        <f t="shared" si="0"/>
        <v>0.14325068870523416</v>
      </c>
    </row>
    <row r="9" spans="1:16" x14ac:dyDescent="0.3">
      <c r="A9" s="9" t="s">
        <v>15</v>
      </c>
      <c r="B9" s="9">
        <v>0.24380825768608208</v>
      </c>
      <c r="C9" s="9">
        <v>0.50289017341040465</v>
      </c>
      <c r="D9" s="9">
        <v>0.375</v>
      </c>
      <c r="E9" s="9">
        <v>0.1328125</v>
      </c>
      <c r="F9" s="9">
        <v>0.31802120141342755</v>
      </c>
      <c r="G9" s="9">
        <v>0.50261780104712039</v>
      </c>
      <c r="H9" s="9">
        <v>0.47658402203856748</v>
      </c>
      <c r="I9" s="9">
        <v>0.53258878509415097</v>
      </c>
      <c r="J9" s="9">
        <f t="shared" si="0"/>
        <v>0.53258878509415097</v>
      </c>
      <c r="K9" s="9">
        <f t="shared" si="0"/>
        <v>0.69653179190751446</v>
      </c>
      <c r="L9" s="9">
        <f t="shared" si="0"/>
        <v>0.52419354838709675</v>
      </c>
      <c r="M9" s="9">
        <f t="shared" si="0"/>
        <v>0.21875</v>
      </c>
      <c r="N9" s="9">
        <f t="shared" si="0"/>
        <v>0.47349823321554768</v>
      </c>
      <c r="O9" s="9">
        <f t="shared" si="0"/>
        <v>0.63089005235602091</v>
      </c>
      <c r="P9" s="9">
        <f t="shared" si="0"/>
        <v>0.61983471074380159</v>
      </c>
    </row>
    <row r="10" spans="1:16" x14ac:dyDescent="0.3">
      <c r="A10" s="9" t="s">
        <v>16</v>
      </c>
      <c r="B10" s="9">
        <v>0.46741121490584897</v>
      </c>
      <c r="C10" s="9">
        <v>0.30346820809248554</v>
      </c>
      <c r="D10" s="9">
        <v>0.47580645161290325</v>
      </c>
      <c r="E10" s="9">
        <v>0.78125</v>
      </c>
      <c r="F10" s="9">
        <v>0.52650176678445226</v>
      </c>
      <c r="G10" s="9">
        <v>0.36910994764397903</v>
      </c>
      <c r="H10" s="9">
        <v>0.38016528925619836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0" t="s">
        <v>27</v>
      </c>
      <c r="C12" s="11" t="s">
        <v>35</v>
      </c>
      <c r="D12" s="11" t="s">
        <v>36</v>
      </c>
      <c r="E12" s="11" t="s">
        <v>37</v>
      </c>
      <c r="F12" s="11" t="s">
        <v>38</v>
      </c>
      <c r="G12" s="11" t="s">
        <v>39</v>
      </c>
      <c r="H12" s="11" t="s">
        <v>40</v>
      </c>
      <c r="J12" s="8"/>
      <c r="K12" s="12" t="s">
        <v>41</v>
      </c>
      <c r="L12" s="12" t="s">
        <v>42</v>
      </c>
      <c r="M12" s="12" t="s">
        <v>43</v>
      </c>
      <c r="N12" s="12" t="s">
        <v>44</v>
      </c>
      <c r="O12" s="12" t="s">
        <v>45</v>
      </c>
      <c r="P12" s="12" t="s">
        <v>46</v>
      </c>
    </row>
    <row r="13" spans="1:16" x14ac:dyDescent="0.3">
      <c r="B13" s="9" t="s">
        <v>13</v>
      </c>
      <c r="C13" s="9">
        <f>C2-B2</f>
        <v>-4.1426107298045325E-3</v>
      </c>
      <c r="D13" s="9">
        <f>D2-B2</f>
        <v>-7.032784140209157E-3</v>
      </c>
      <c r="E13" s="9">
        <f>E2-B2</f>
        <v>-7.032784140209157E-3</v>
      </c>
      <c r="F13" s="9">
        <f>F2-B2</f>
        <v>-3.4992152356155175E-3</v>
      </c>
      <c r="G13" s="9">
        <f>G2-B2</f>
        <v>-4.414983093088738E-3</v>
      </c>
      <c r="H13" s="9">
        <f>H2-B2</f>
        <v>-4.2779632035700385E-3</v>
      </c>
      <c r="J13" s="9" t="s">
        <v>13</v>
      </c>
      <c r="K13" s="8">
        <f>($J2-0) * ((K2+0))</f>
        <v>2.0325965723147852E-5</v>
      </c>
      <c r="L13" s="8">
        <f t="shared" ref="L13:P13" si="1">($J2-0) * ((L2+0))</f>
        <v>0</v>
      </c>
      <c r="M13" s="8">
        <f t="shared" si="1"/>
        <v>0</v>
      </c>
      <c r="N13" s="8">
        <f t="shared" si="1"/>
        <v>2.4850827350562393E-5</v>
      </c>
      <c r="O13" s="8">
        <f t="shared" si="1"/>
        <v>1.8410429686411406E-5</v>
      </c>
      <c r="P13" s="8">
        <f t="shared" si="1"/>
        <v>1.9374060992311727E-5</v>
      </c>
    </row>
    <row r="14" spans="1:16" x14ac:dyDescent="0.3">
      <c r="B14" s="9" t="s">
        <v>11</v>
      </c>
      <c r="C14" s="9">
        <f t="shared" ref="C14:C21" si="2">C3-B3</f>
        <v>-6.8268407515726728E-3</v>
      </c>
      <c r="D14" s="9">
        <f t="shared" ref="D14:D21" si="3">D3-B3</f>
        <v>-1.6524980329450396E-3</v>
      </c>
      <c r="E14" s="9">
        <f t="shared" ref="E14:E21" si="4">E3-B3</f>
        <v>-1.9045141619772974E-3</v>
      </c>
      <c r="F14" s="9">
        <f t="shared" ref="F14:F21" si="5">F3-B3</f>
        <v>4.4172614563972607E-3</v>
      </c>
      <c r="G14" s="9">
        <f t="shared" ref="G14:G21" si="6">G3-B3</f>
        <v>7.5419002650437862E-4</v>
      </c>
      <c r="H14" s="9">
        <f t="shared" ref="H14:H21" si="7">H3-B3</f>
        <v>9.5667323944965323E-3</v>
      </c>
      <c r="J14" s="9" t="s">
        <v>11</v>
      </c>
      <c r="K14" s="8">
        <f>($J3-$J2) * ((K3+K2))</f>
        <v>8.4251567878415844E-5</v>
      </c>
      <c r="L14" s="8">
        <f t="shared" ref="L14:P14" si="8">($J3-$J2) * ((L3+L2))</f>
        <v>7.836301743530077E-5</v>
      </c>
      <c r="M14" s="8">
        <f t="shared" si="8"/>
        <v>7.5914173140447622E-5</v>
      </c>
      <c r="N14" s="8">
        <f t="shared" si="8"/>
        <v>2.0601443452955399E-4</v>
      </c>
      <c r="O14" s="8">
        <f t="shared" si="8"/>
        <v>1.5262325908864863E-4</v>
      </c>
      <c r="P14" s="8">
        <f t="shared" si="8"/>
        <v>2.4091770649530486E-4</v>
      </c>
    </row>
    <row r="15" spans="1:16" x14ac:dyDescent="0.3">
      <c r="B15" s="9" t="s">
        <v>17</v>
      </c>
      <c r="C15" s="9">
        <f t="shared" si="2"/>
        <v>-6.2343813798198238E-3</v>
      </c>
      <c r="D15" s="9">
        <f t="shared" si="3"/>
        <v>-1.779507502143832E-2</v>
      </c>
      <c r="E15" s="9">
        <f t="shared" si="4"/>
        <v>-1.779507502143832E-2</v>
      </c>
      <c r="F15" s="9">
        <f t="shared" si="5"/>
        <v>-1.0727937212251041E-2</v>
      </c>
      <c r="G15" s="9">
        <f t="shared" si="6"/>
        <v>-4.7060697858362262E-3</v>
      </c>
      <c r="H15" s="9">
        <f t="shared" si="7"/>
        <v>-6.7757912748818462E-3</v>
      </c>
      <c r="J15" s="9" t="s">
        <v>17</v>
      </c>
      <c r="K15" s="8">
        <f t="shared" ref="K15:P21" si="9">($J4-$J3) * ((K4+K3))</f>
        <v>4.1144682130493215E-4</v>
      </c>
      <c r="L15" s="8">
        <f t="shared" si="9"/>
        <v>2.870173390554567E-4</v>
      </c>
      <c r="M15" s="8">
        <f t="shared" si="9"/>
        <v>2.780480472099737E-4</v>
      </c>
      <c r="N15" s="8">
        <f t="shared" si="9"/>
        <v>7.5456148500798522E-4</v>
      </c>
      <c r="O15" s="8">
        <f t="shared" si="9"/>
        <v>6.9875949037061453E-4</v>
      </c>
      <c r="P15" s="8">
        <f t="shared" si="9"/>
        <v>9.8044490476244164E-4</v>
      </c>
    </row>
    <row r="16" spans="1:16" x14ac:dyDescent="0.3">
      <c r="B16" s="9" t="s">
        <v>9</v>
      </c>
      <c r="C16" s="9">
        <f t="shared" si="2"/>
        <v>-2.4070049671908698E-2</v>
      </c>
      <c r="D16" s="9">
        <f t="shared" si="3"/>
        <v>-1.5469452990946552E-2</v>
      </c>
      <c r="E16" s="9">
        <f t="shared" si="4"/>
        <v>-4.3807433135271967E-3</v>
      </c>
      <c r="F16" s="9">
        <f t="shared" si="5"/>
        <v>-7.3621920767780805E-3</v>
      </c>
      <c r="G16" s="9">
        <f t="shared" si="6"/>
        <v>-2.5159539125045521E-2</v>
      </c>
      <c r="H16" s="9">
        <f t="shared" si="7"/>
        <v>-1.9101817693692486E-2</v>
      </c>
      <c r="J16" s="9" t="s">
        <v>9</v>
      </c>
      <c r="K16" s="8">
        <f t="shared" si="9"/>
        <v>1.6476644306833385E-3</v>
      </c>
      <c r="L16" s="8">
        <f t="shared" si="9"/>
        <v>1.2930511686360675E-3</v>
      </c>
      <c r="M16" s="8">
        <f t="shared" si="9"/>
        <v>1.6701910928215873E-3</v>
      </c>
      <c r="N16" s="8">
        <f t="shared" si="9"/>
        <v>2.7698811056452236E-3</v>
      </c>
      <c r="O16" s="8">
        <f t="shared" si="9"/>
        <v>2.2385807317399286E-3</v>
      </c>
      <c r="P16" s="8">
        <f t="shared" si="9"/>
        <v>2.9446895300435701E-3</v>
      </c>
    </row>
    <row r="17" spans="2:16" x14ac:dyDescent="0.3">
      <c r="B17" s="9" t="s">
        <v>14</v>
      </c>
      <c r="C17" s="9">
        <f t="shared" si="2"/>
        <v>-3.007873364012734E-2</v>
      </c>
      <c r="D17" s="9">
        <f t="shared" si="3"/>
        <v>-2.7794564331904331E-2</v>
      </c>
      <c r="E17" s="9">
        <f t="shared" si="4"/>
        <v>-3.5859080460936589E-2</v>
      </c>
      <c r="F17" s="9">
        <f t="shared" si="5"/>
        <v>-2.8791942651749308E-2</v>
      </c>
      <c r="G17" s="9">
        <f t="shared" si="6"/>
        <v>-3.0623478366695753E-2</v>
      </c>
      <c r="H17" s="9">
        <f t="shared" si="7"/>
        <v>-3.0349438587658352E-2</v>
      </c>
      <c r="J17" s="9" t="s">
        <v>14</v>
      </c>
      <c r="K17" s="8">
        <f t="shared" si="9"/>
        <v>2.2800571391346958E-3</v>
      </c>
      <c r="L17" s="8">
        <f t="shared" si="9"/>
        <v>2.3134890619959086E-3</v>
      </c>
      <c r="M17" s="8">
        <f t="shared" si="9"/>
        <v>2.8014906610106705E-3</v>
      </c>
      <c r="N17" s="8">
        <f t="shared" si="9"/>
        <v>4.0547370132507799E-3</v>
      </c>
      <c r="O17" s="8">
        <f t="shared" si="9"/>
        <v>2.8161581513824539E-3</v>
      </c>
      <c r="P17" s="8">
        <f t="shared" si="9"/>
        <v>3.7538431336517635E-3</v>
      </c>
    </row>
    <row r="18" spans="2:16" x14ac:dyDescent="0.3">
      <c r="B18" s="9" t="s">
        <v>12</v>
      </c>
      <c r="C18" s="9">
        <f t="shared" si="2"/>
        <v>-2.3541457241515386E-2</v>
      </c>
      <c r="D18" s="9">
        <f t="shared" si="3"/>
        <v>-2.4753465445878614E-2</v>
      </c>
      <c r="E18" s="9">
        <f t="shared" si="4"/>
        <v>-3.306999770394313E-2</v>
      </c>
      <c r="F18" s="9">
        <f t="shared" si="5"/>
        <v>-3.3815359894755849E-2</v>
      </c>
      <c r="G18" s="9">
        <f t="shared" si="6"/>
        <v>-3.3029094562581872E-2</v>
      </c>
      <c r="H18" s="9">
        <f t="shared" si="7"/>
        <v>-3.8127676767304011E-2</v>
      </c>
      <c r="J18" s="9" t="s">
        <v>12</v>
      </c>
      <c r="K18" s="8">
        <f t="shared" si="9"/>
        <v>3.5447252344459365E-3</v>
      </c>
      <c r="L18" s="8">
        <f t="shared" si="9"/>
        <v>3.6266731834143106E-3</v>
      </c>
      <c r="M18" s="8">
        <f t="shared" si="9"/>
        <v>3.5133396464326139E-3</v>
      </c>
      <c r="N18" s="8">
        <f t="shared" si="9"/>
        <v>5.2006004146358774E-3</v>
      </c>
      <c r="O18" s="8">
        <f t="shared" si="9"/>
        <v>3.7457785854398164E-3</v>
      </c>
      <c r="P18" s="8">
        <f t="shared" si="9"/>
        <v>4.6175823852938535E-3</v>
      </c>
    </row>
    <row r="19" spans="2:16" x14ac:dyDescent="0.3">
      <c r="B19" s="9" t="s">
        <v>10</v>
      </c>
      <c r="C19" s="9">
        <f t="shared" si="2"/>
        <v>-2.4483549621062695E-4</v>
      </c>
      <c r="D19" s="9">
        <f t="shared" si="3"/>
        <v>-4.5089139057650135E-2</v>
      </c>
      <c r="E19" s="9">
        <f t="shared" si="4"/>
        <v>-0.10280083260603723</v>
      </c>
      <c r="F19" s="9">
        <f t="shared" si="5"/>
        <v>-5.3524109991196236E-2</v>
      </c>
      <c r="G19" s="9">
        <f t="shared" si="6"/>
        <v>-6.3329301192424664E-2</v>
      </c>
      <c r="H19" s="9">
        <f t="shared" si="7"/>
        <v>-5.6463883570224555E-2</v>
      </c>
      <c r="J19" s="9" t="s">
        <v>10</v>
      </c>
      <c r="K19" s="8">
        <f t="shared" si="9"/>
        <v>3.4850818703795278E-2</v>
      </c>
      <c r="L19" s="8">
        <f t="shared" si="9"/>
        <v>2.8601478347991375E-2</v>
      </c>
      <c r="M19" s="8">
        <f t="shared" si="9"/>
        <v>1.8841223861739319E-2</v>
      </c>
      <c r="N19" s="8">
        <f t="shared" si="9"/>
        <v>3.158088323031924E-2</v>
      </c>
      <c r="O19" s="8">
        <f t="shared" si="9"/>
        <v>2.5253158683797201E-2</v>
      </c>
      <c r="P19" s="8">
        <f t="shared" si="9"/>
        <v>2.8528989752729252E-2</v>
      </c>
    </row>
    <row r="20" spans="2:16" x14ac:dyDescent="0.3">
      <c r="B20" s="9" t="s">
        <v>15</v>
      </c>
      <c r="C20" s="9">
        <f t="shared" si="2"/>
        <v>0.2590819157243226</v>
      </c>
      <c r="D20" s="9">
        <f t="shared" si="3"/>
        <v>0.13119174231391792</v>
      </c>
      <c r="E20" s="9">
        <f t="shared" si="4"/>
        <v>-0.11099575768608208</v>
      </c>
      <c r="F20" s="9">
        <f t="shared" si="5"/>
        <v>7.4212943727345465E-2</v>
      </c>
      <c r="G20" s="9">
        <f t="shared" si="6"/>
        <v>0.25880954336103834</v>
      </c>
      <c r="H20" s="9">
        <f t="shared" si="7"/>
        <v>0.2327757643524854</v>
      </c>
      <c r="J20" s="9" t="s">
        <v>15</v>
      </c>
      <c r="K20" s="8">
        <f t="shared" si="9"/>
        <v>0.21703162822922911</v>
      </c>
      <c r="L20" s="8">
        <f t="shared" si="9"/>
        <v>0.16417733481280525</v>
      </c>
      <c r="M20" s="8">
        <f t="shared" si="9"/>
        <v>7.4285328513728127E-2</v>
      </c>
      <c r="N20" s="8">
        <f t="shared" si="9"/>
        <v>0.15334936349159931</v>
      </c>
      <c r="O20" s="8">
        <f t="shared" si="9"/>
        <v>0.18509003855749684</v>
      </c>
      <c r="P20" s="8">
        <f t="shared" si="9"/>
        <v>0.18604652170535738</v>
      </c>
    </row>
    <row r="21" spans="2:16" x14ac:dyDescent="0.3">
      <c r="B21" s="9" t="s">
        <v>16</v>
      </c>
      <c r="C21" s="9">
        <f t="shared" si="2"/>
        <v>-0.16394300681336343</v>
      </c>
      <c r="D21" s="9">
        <f t="shared" si="3"/>
        <v>8.3952367070542766E-3</v>
      </c>
      <c r="E21" s="9">
        <f t="shared" si="4"/>
        <v>0.31383878509415103</v>
      </c>
      <c r="F21" s="9">
        <f t="shared" si="5"/>
        <v>5.9090551878603292E-2</v>
      </c>
      <c r="G21" s="9">
        <f t="shared" si="6"/>
        <v>-9.830126726186994E-2</v>
      </c>
      <c r="H21" s="9">
        <f t="shared" si="7"/>
        <v>-8.7245925649650613E-2</v>
      </c>
      <c r="J21" s="9" t="s">
        <v>16</v>
      </c>
      <c r="K21" s="8">
        <f t="shared" si="9"/>
        <v>0.7929779859818884</v>
      </c>
      <c r="L21" s="8">
        <f t="shared" si="9"/>
        <v>0.7124251582032699</v>
      </c>
      <c r="M21" s="8">
        <f t="shared" si="9"/>
        <v>0.5696574181665035</v>
      </c>
      <c r="N21" s="8">
        <f t="shared" si="9"/>
        <v>0.68872959934890121</v>
      </c>
      <c r="O21" s="8">
        <f t="shared" si="9"/>
        <v>0.76229630074959143</v>
      </c>
      <c r="P21" s="8">
        <f t="shared" si="9"/>
        <v>0.75712891009542482</v>
      </c>
    </row>
    <row r="22" spans="2:16" x14ac:dyDescent="0.3">
      <c r="J22" s="13" t="s">
        <v>47</v>
      </c>
      <c r="K22" s="12">
        <f>SUM(K13:K21)</f>
        <v>1.0528489040740832</v>
      </c>
      <c r="L22" s="12">
        <f t="shared" ref="L22:P22" si="10">SUM(L13:L21)</f>
        <v>0.91280256513460356</v>
      </c>
      <c r="M22" s="12">
        <f t="shared" si="10"/>
        <v>0.67112295416258627</v>
      </c>
      <c r="N22" s="12">
        <f t="shared" si="10"/>
        <v>0.88667049135123976</v>
      </c>
      <c r="O22" s="12">
        <f t="shared" si="10"/>
        <v>0.9823098086385933</v>
      </c>
      <c r="P22" s="12">
        <f t="shared" si="10"/>
        <v>0.98426127327475066</v>
      </c>
    </row>
    <row r="23" spans="2:16" x14ac:dyDescent="0.3">
      <c r="J23" s="14" t="s">
        <v>48</v>
      </c>
      <c r="K23" s="15">
        <f>1-K22</f>
        <v>-5.2848904074083158E-2</v>
      </c>
      <c r="L23" s="15">
        <f t="shared" ref="L23:P23" si="11">1-L22</f>
        <v>8.7197434865396439E-2</v>
      </c>
      <c r="M23" s="15">
        <f t="shared" si="11"/>
        <v>0.32887704583741373</v>
      </c>
      <c r="N23" s="15">
        <f t="shared" si="11"/>
        <v>0.11332950864876024</v>
      </c>
      <c r="O23" s="15">
        <f t="shared" si="11"/>
        <v>1.7690191361406704E-2</v>
      </c>
      <c r="P23" s="15">
        <f t="shared" si="11"/>
        <v>1.5738726725249341E-2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9E19-CC8E-4485-AE27-62FCD7DAE61B}">
  <dimension ref="A1:P23"/>
  <sheetViews>
    <sheetView tabSelected="1" workbookViewId="0">
      <selection activeCell="I17" sqref="I17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20</v>
      </c>
      <c r="B2" s="9">
        <v>3.3308291385391294E-3</v>
      </c>
      <c r="C2" s="9">
        <v>6.3897763578274762E-4</v>
      </c>
      <c r="D2" s="9">
        <v>2.1231422505307855E-3</v>
      </c>
      <c r="E2" s="9">
        <v>1.7346053772766695E-3</v>
      </c>
      <c r="F2" s="9">
        <v>1.7103762827822121E-3</v>
      </c>
      <c r="G2" s="9">
        <v>3.2180209171359612E-3</v>
      </c>
      <c r="H2" s="9">
        <v>3.4542314335060447E-3</v>
      </c>
      <c r="I2" s="9">
        <v>3.3308291385391294E-3</v>
      </c>
      <c r="J2" s="9">
        <v>3.3308291385391294E-3</v>
      </c>
      <c r="K2" s="9">
        <v>6.3897763578274762E-4</v>
      </c>
      <c r="L2" s="9">
        <v>2.1231422505307855E-3</v>
      </c>
      <c r="M2" s="9">
        <v>1.7346053772766695E-3</v>
      </c>
      <c r="N2" s="9">
        <v>1.7103762827822121E-3</v>
      </c>
      <c r="O2" s="9">
        <v>3.2180209171359612E-3</v>
      </c>
      <c r="P2" s="9">
        <v>3.4542314335060447E-3</v>
      </c>
    </row>
    <row r="3" spans="1:16" x14ac:dyDescent="0.3">
      <c r="A3" s="9" t="s">
        <v>19</v>
      </c>
      <c r="B3" s="9">
        <v>7.4932938663660204E-3</v>
      </c>
      <c r="C3" s="9">
        <v>6.3897763578274758E-3</v>
      </c>
      <c r="D3" s="9">
        <v>5.3078556263269636E-3</v>
      </c>
      <c r="E3" s="9">
        <v>1.7346053772766695E-3</v>
      </c>
      <c r="F3" s="9">
        <v>5.7012542759407071E-4</v>
      </c>
      <c r="G3" s="9">
        <v>4.0225261464199519E-3</v>
      </c>
      <c r="H3" s="9">
        <v>5.1813471502590676E-3</v>
      </c>
      <c r="I3" s="9">
        <v>1.0824123004905151E-2</v>
      </c>
      <c r="J3" s="9">
        <f t="shared" ref="J3:P10" si="0">J2+B3</f>
        <v>1.0824123004905151E-2</v>
      </c>
      <c r="K3" s="9">
        <f t="shared" si="0"/>
        <v>7.0287539936102232E-3</v>
      </c>
      <c r="L3" s="9">
        <f t="shared" si="0"/>
        <v>7.4309978768577496E-3</v>
      </c>
      <c r="M3" s="9">
        <f t="shared" si="0"/>
        <v>3.469210754553339E-3</v>
      </c>
      <c r="N3" s="9">
        <f t="shared" si="0"/>
        <v>2.2805017103762829E-3</v>
      </c>
      <c r="O3" s="9">
        <f t="shared" si="0"/>
        <v>7.2405470635559131E-3</v>
      </c>
      <c r="P3" s="9">
        <f t="shared" si="0"/>
        <v>8.6355785837651123E-3</v>
      </c>
    </row>
    <row r="4" spans="1:16" x14ac:dyDescent="0.3">
      <c r="A4" s="9" t="s">
        <v>21</v>
      </c>
      <c r="B4" s="9">
        <v>7.5115126872653658E-3</v>
      </c>
      <c r="C4" s="9">
        <v>3.1948881789137379E-3</v>
      </c>
      <c r="D4" s="9">
        <v>3.1847133757961785E-3</v>
      </c>
      <c r="E4" s="9">
        <v>1.7346053772766695E-3</v>
      </c>
      <c r="F4" s="9">
        <v>4.5610034207525657E-3</v>
      </c>
      <c r="G4" s="9">
        <v>3.2180209171359612E-3</v>
      </c>
      <c r="H4" s="9">
        <v>3.4542314335060447E-3</v>
      </c>
      <c r="I4" s="9">
        <v>1.8335635692170518E-2</v>
      </c>
      <c r="J4" s="9">
        <f t="shared" si="0"/>
        <v>1.8335635692170518E-2</v>
      </c>
      <c r="K4" s="9">
        <f t="shared" si="0"/>
        <v>1.0223642172523962E-2</v>
      </c>
      <c r="L4" s="9">
        <f t="shared" si="0"/>
        <v>1.0615711252653929E-2</v>
      </c>
      <c r="M4" s="9">
        <f t="shared" si="0"/>
        <v>5.2038161318300087E-3</v>
      </c>
      <c r="N4" s="9">
        <f t="shared" si="0"/>
        <v>6.8415051311288486E-3</v>
      </c>
      <c r="O4" s="9">
        <f t="shared" si="0"/>
        <v>1.0458567980691873E-2</v>
      </c>
      <c r="P4" s="9">
        <f t="shared" si="0"/>
        <v>1.2089810017271156E-2</v>
      </c>
    </row>
    <row r="5" spans="1:16" x14ac:dyDescent="0.3">
      <c r="A5" s="9" t="s">
        <v>23</v>
      </c>
      <c r="B5" s="9">
        <v>1.7196423538287924E-2</v>
      </c>
      <c r="C5" s="9">
        <v>5.7507987220447284E-3</v>
      </c>
      <c r="D5" s="9">
        <v>4.246284501061571E-3</v>
      </c>
      <c r="E5" s="9">
        <v>7.8057241977450131E-3</v>
      </c>
      <c r="F5" s="9">
        <v>6.2713797035347778E-3</v>
      </c>
      <c r="G5" s="9">
        <v>7.2405470635559131E-3</v>
      </c>
      <c r="H5" s="9">
        <v>8.6355785837651123E-3</v>
      </c>
      <c r="I5" s="9">
        <v>3.5532059230458442E-2</v>
      </c>
      <c r="J5" s="9">
        <f t="shared" si="0"/>
        <v>3.5532059230458442E-2</v>
      </c>
      <c r="K5" s="9">
        <f t="shared" si="0"/>
        <v>1.5974440894568689E-2</v>
      </c>
      <c r="L5" s="9">
        <f t="shared" si="0"/>
        <v>1.4861995753715499E-2</v>
      </c>
      <c r="M5" s="9">
        <f t="shared" si="0"/>
        <v>1.3009540329575022E-2</v>
      </c>
      <c r="N5" s="9">
        <f t="shared" si="0"/>
        <v>1.3112884834663626E-2</v>
      </c>
      <c r="O5" s="9">
        <f t="shared" si="0"/>
        <v>1.7699115044247787E-2</v>
      </c>
      <c r="P5" s="9">
        <f t="shared" si="0"/>
        <v>2.0725388601036267E-2</v>
      </c>
    </row>
    <row r="6" spans="1:16" x14ac:dyDescent="0.3">
      <c r="A6" s="9" t="s">
        <v>22</v>
      </c>
      <c r="B6" s="9">
        <v>2.2879623963536638E-2</v>
      </c>
      <c r="C6" s="9">
        <v>1.9808306709265176E-2</v>
      </c>
      <c r="D6" s="9">
        <v>6.369426751592357E-3</v>
      </c>
      <c r="E6" s="9">
        <v>6.0711188204683438E-3</v>
      </c>
      <c r="F6" s="9">
        <v>2.2234891676168756E-2</v>
      </c>
      <c r="G6" s="9">
        <v>2.413515687851971E-2</v>
      </c>
      <c r="H6" s="9">
        <v>5.8721934369602762E-2</v>
      </c>
      <c r="I6" s="9">
        <v>5.8411683193995076E-2</v>
      </c>
      <c r="J6" s="9">
        <f t="shared" si="0"/>
        <v>5.8411683193995076E-2</v>
      </c>
      <c r="K6" s="9">
        <f t="shared" si="0"/>
        <v>3.5782747603833862E-2</v>
      </c>
      <c r="L6" s="9">
        <f t="shared" si="0"/>
        <v>2.1231422505307858E-2</v>
      </c>
      <c r="M6" s="9">
        <f t="shared" si="0"/>
        <v>1.9080659150043366E-2</v>
      </c>
      <c r="N6" s="9">
        <f t="shared" si="0"/>
        <v>3.5347776510832381E-2</v>
      </c>
      <c r="O6" s="9">
        <f t="shared" si="0"/>
        <v>4.1834271922767494E-2</v>
      </c>
      <c r="P6" s="9">
        <f t="shared" si="0"/>
        <v>7.9447322970639028E-2</v>
      </c>
    </row>
    <row r="7" spans="1:16" x14ac:dyDescent="0.3">
      <c r="A7" s="9" t="s">
        <v>25</v>
      </c>
      <c r="B7" s="9">
        <v>2.7291793707219261E-2</v>
      </c>
      <c r="C7" s="9">
        <v>2.3642172523961662E-2</v>
      </c>
      <c r="D7" s="9">
        <v>1.6985138004246284E-2</v>
      </c>
      <c r="E7" s="9">
        <v>1.2142237640936688E-2</v>
      </c>
      <c r="F7" s="9">
        <v>5.7012542759407071E-3</v>
      </c>
      <c r="G7" s="9">
        <v>6.4360418342719224E-3</v>
      </c>
      <c r="H7" s="9">
        <v>3.4542314335060447E-3</v>
      </c>
      <c r="I7" s="9">
        <v>8.570347690121434E-2</v>
      </c>
      <c r="J7" s="9">
        <f t="shared" si="0"/>
        <v>8.570347690121434E-2</v>
      </c>
      <c r="K7" s="9">
        <f t="shared" si="0"/>
        <v>5.9424920127795523E-2</v>
      </c>
      <c r="L7" s="9">
        <f t="shared" si="0"/>
        <v>3.8216560509554146E-2</v>
      </c>
      <c r="M7" s="9">
        <f t="shared" si="0"/>
        <v>3.1222896790980052E-2</v>
      </c>
      <c r="N7" s="9">
        <f t="shared" si="0"/>
        <v>4.1049030786773091E-2</v>
      </c>
      <c r="O7" s="9">
        <f t="shared" si="0"/>
        <v>4.8270313757039413E-2</v>
      </c>
      <c r="P7" s="9">
        <f t="shared" si="0"/>
        <v>8.2901554404145067E-2</v>
      </c>
    </row>
    <row r="8" spans="1:16" x14ac:dyDescent="0.3">
      <c r="A8" s="9" t="s">
        <v>24</v>
      </c>
      <c r="B8" s="9">
        <v>3.0192873011603245E-2</v>
      </c>
      <c r="C8" s="9">
        <v>5.7507987220447284E-3</v>
      </c>
      <c r="D8" s="9">
        <v>1.4861995753715499E-2</v>
      </c>
      <c r="E8" s="9">
        <v>2.8620988725065046E-2</v>
      </c>
      <c r="F8" s="9">
        <v>2.7366020524515394E-2</v>
      </c>
      <c r="G8" s="9">
        <v>2.5744167337087689E-2</v>
      </c>
      <c r="H8" s="9">
        <v>1.5544041450777202E-2</v>
      </c>
      <c r="I8" s="9">
        <v>0.11589634991281758</v>
      </c>
      <c r="J8" s="9">
        <f t="shared" si="0"/>
        <v>0.11589634991281758</v>
      </c>
      <c r="K8" s="9">
        <f t="shared" si="0"/>
        <v>6.5175718849840247E-2</v>
      </c>
      <c r="L8" s="9">
        <f t="shared" si="0"/>
        <v>5.3078556263269641E-2</v>
      </c>
      <c r="M8" s="9">
        <f t="shared" si="0"/>
        <v>5.9843885516045095E-2</v>
      </c>
      <c r="N8" s="9">
        <f t="shared" si="0"/>
        <v>6.8415051311288486E-2</v>
      </c>
      <c r="O8" s="9">
        <f t="shared" si="0"/>
        <v>7.4014481094127102E-2</v>
      </c>
      <c r="P8" s="9">
        <f t="shared" si="0"/>
        <v>9.8445595854922269E-2</v>
      </c>
    </row>
    <row r="9" spans="1:16" x14ac:dyDescent="0.3">
      <c r="A9" s="9" t="s">
        <v>18</v>
      </c>
      <c r="B9" s="9">
        <v>0.12684693296867114</v>
      </c>
      <c r="C9" s="9">
        <v>6.0063897763578275E-2</v>
      </c>
      <c r="D9" s="9">
        <v>3.7154989384288746E-2</v>
      </c>
      <c r="E9" s="9">
        <v>5.0303555941023419E-2</v>
      </c>
      <c r="F9" s="9">
        <v>8.551881413911061E-2</v>
      </c>
      <c r="G9" s="9">
        <v>6.7578439259855183E-2</v>
      </c>
      <c r="H9" s="9">
        <v>7.9447322970639028E-2</v>
      </c>
      <c r="I9" s="9">
        <v>0.24274328288148872</v>
      </c>
      <c r="J9" s="9">
        <f t="shared" si="0"/>
        <v>0.24274328288148872</v>
      </c>
      <c r="K9" s="9">
        <f t="shared" si="0"/>
        <v>0.12523961661341854</v>
      </c>
      <c r="L9" s="9">
        <f t="shared" si="0"/>
        <v>9.0233545647558394E-2</v>
      </c>
      <c r="M9" s="9">
        <f t="shared" si="0"/>
        <v>0.11014744145706851</v>
      </c>
      <c r="N9" s="9">
        <f t="shared" si="0"/>
        <v>0.15393386545039911</v>
      </c>
      <c r="O9" s="9">
        <f t="shared" si="0"/>
        <v>0.1415929203539823</v>
      </c>
      <c r="P9" s="9">
        <f t="shared" si="0"/>
        <v>0.1778929188255613</v>
      </c>
    </row>
    <row r="10" spans="1:16" x14ac:dyDescent="0.3">
      <c r="A10" s="9" t="s">
        <v>26</v>
      </c>
      <c r="B10" s="9">
        <v>0.75725671711851128</v>
      </c>
      <c r="C10" s="9">
        <v>0.87476038338658146</v>
      </c>
      <c r="D10" s="9">
        <v>0.90976645435244163</v>
      </c>
      <c r="E10" s="9">
        <v>0.88985255854293144</v>
      </c>
      <c r="F10" s="9">
        <v>0.84606613454960089</v>
      </c>
      <c r="G10" s="9">
        <v>0.8584070796460177</v>
      </c>
      <c r="H10" s="9">
        <v>0.82210708117443865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0" t="s">
        <v>27</v>
      </c>
      <c r="C12" s="11" t="s">
        <v>35</v>
      </c>
      <c r="D12" s="11" t="s">
        <v>36</v>
      </c>
      <c r="E12" s="11" t="s">
        <v>37</v>
      </c>
      <c r="F12" s="11" t="s">
        <v>38</v>
      </c>
      <c r="G12" s="11" t="s">
        <v>39</v>
      </c>
      <c r="H12" s="11" t="s">
        <v>40</v>
      </c>
      <c r="J12" s="8"/>
      <c r="K12" s="12" t="s">
        <v>41</v>
      </c>
      <c r="L12" s="12" t="s">
        <v>42</v>
      </c>
      <c r="M12" s="12" t="s">
        <v>43</v>
      </c>
      <c r="N12" s="12" t="s">
        <v>44</v>
      </c>
      <c r="O12" s="12" t="s">
        <v>45</v>
      </c>
      <c r="P12" s="12" t="s">
        <v>46</v>
      </c>
    </row>
    <row r="13" spans="1:16" x14ac:dyDescent="0.3">
      <c r="B13" s="9" t="s">
        <v>20</v>
      </c>
      <c r="C13" s="9">
        <f>C2-B2</f>
        <v>-2.691851502756382E-3</v>
      </c>
      <c r="D13" s="9">
        <f>D2-B2</f>
        <v>-1.2076868880083439E-3</v>
      </c>
      <c r="E13" s="9">
        <f>E2-B2</f>
        <v>-1.5962237612624599E-3</v>
      </c>
      <c r="F13" s="9">
        <f>F2-B2</f>
        <v>-1.6204528557569172E-3</v>
      </c>
      <c r="G13" s="9">
        <f>G2-B2</f>
        <v>-1.128082214031682E-4</v>
      </c>
      <c r="H13" s="9">
        <f>H2-B2</f>
        <v>1.2340229496691536E-4</v>
      </c>
      <c r="J13" s="9" t="s">
        <v>20</v>
      </c>
      <c r="K13" s="8">
        <f>($J2-0) * ((K2+0))</f>
        <v>2.1283253281400188E-6</v>
      </c>
      <c r="L13" s="8">
        <f t="shared" ref="L13:P13" si="1">($J2-0) * ((L2+0))</f>
        <v>7.0718240733314848E-6</v>
      </c>
      <c r="M13" s="8">
        <f t="shared" si="1"/>
        <v>5.7776741344997903E-6</v>
      </c>
      <c r="N13" s="8">
        <f t="shared" si="1"/>
        <v>5.6969711605572344E-6</v>
      </c>
      <c r="O13" s="8">
        <f t="shared" si="1"/>
        <v>1.0718677839224872E-5</v>
      </c>
      <c r="P13" s="8">
        <f t="shared" si="1"/>
        <v>1.1505454709979721E-5</v>
      </c>
    </row>
    <row r="14" spans="1:16" x14ac:dyDescent="0.3">
      <c r="B14" s="9" t="s">
        <v>19</v>
      </c>
      <c r="C14" s="9">
        <f t="shared" ref="C14:C21" si="2">C3-B3</f>
        <v>-1.1035175085385446E-3</v>
      </c>
      <c r="D14" s="9">
        <f t="shared" ref="D14:D21" si="3">D3-B3</f>
        <v>-2.1854382400390568E-3</v>
      </c>
      <c r="E14" s="9">
        <f t="shared" ref="E14:E21" si="4">E3-B3</f>
        <v>-5.7586884890893511E-3</v>
      </c>
      <c r="F14" s="9">
        <f t="shared" ref="F14:F21" si="5">F3-B3</f>
        <v>-6.9231684387719497E-3</v>
      </c>
      <c r="G14" s="9">
        <f t="shared" ref="G14:G21" si="6">G3-B3</f>
        <v>-3.4707677199460685E-3</v>
      </c>
      <c r="H14" s="9">
        <f t="shared" ref="H14:H21" si="7">H3-B3</f>
        <v>-2.3119467161069529E-3</v>
      </c>
      <c r="J14" s="9" t="s">
        <v>19</v>
      </c>
      <c r="K14" s="8">
        <f>($J3-$J2) * ((K3+K2))</f>
        <v>5.7456566387471083E-5</v>
      </c>
      <c r="L14" s="8">
        <f t="shared" ref="L14:P14" si="8">($J3-$J2) * ((L3+L2))</f>
        <v>7.1591979614961984E-5</v>
      </c>
      <c r="M14" s="8">
        <f t="shared" si="8"/>
        <v>3.899372350233836E-5</v>
      </c>
      <c r="N14" s="8">
        <f t="shared" si="8"/>
        <v>2.9904821587549685E-5</v>
      </c>
      <c r="O14" s="8">
        <f t="shared" si="8"/>
        <v>7.836912330069048E-5</v>
      </c>
      <c r="P14" s="8">
        <f t="shared" si="8"/>
        <v>9.0592499247948432E-5</v>
      </c>
    </row>
    <row r="15" spans="1:16" x14ac:dyDescent="0.3">
      <c r="B15" s="9" t="s">
        <v>21</v>
      </c>
      <c r="C15" s="9">
        <f t="shared" si="2"/>
        <v>-4.316624508351628E-3</v>
      </c>
      <c r="D15" s="9">
        <f t="shared" si="3"/>
        <v>-4.3267993114691873E-3</v>
      </c>
      <c r="E15" s="9">
        <f t="shared" si="4"/>
        <v>-5.7769073099886966E-3</v>
      </c>
      <c r="F15" s="9">
        <f t="shared" si="5"/>
        <v>-2.9505092665128001E-3</v>
      </c>
      <c r="G15" s="9">
        <f t="shared" si="6"/>
        <v>-4.2934917701294047E-3</v>
      </c>
      <c r="H15" s="9">
        <f t="shared" si="7"/>
        <v>-4.0572812537593211E-3</v>
      </c>
      <c r="J15" s="9" t="s">
        <v>21</v>
      </c>
      <c r="K15" s="8">
        <f t="shared" ref="K15:P21" si="9">($J4-$J3) * ((K4+K3))</f>
        <v>1.2959159268764533E-4</v>
      </c>
      <c r="L15" s="8">
        <f t="shared" si="9"/>
        <v>1.3555808458971471E-4</v>
      </c>
      <c r="M15" s="8">
        <f t="shared" si="9"/>
        <v>6.514755149406216E-5</v>
      </c>
      <c r="N15" s="8">
        <f t="shared" si="9"/>
        <v>6.8520070123287278E-5</v>
      </c>
      <c r="O15" s="8">
        <f t="shared" si="9"/>
        <v>1.3294712720823658E-4</v>
      </c>
      <c r="P15" s="8">
        <f t="shared" si="9"/>
        <v>1.5567901942518895E-4</v>
      </c>
    </row>
    <row r="16" spans="1:16" x14ac:dyDescent="0.3">
      <c r="B16" s="9" t="s">
        <v>23</v>
      </c>
      <c r="C16" s="9">
        <f t="shared" si="2"/>
        <v>-1.1445624816243196E-2</v>
      </c>
      <c r="D16" s="9">
        <f t="shared" si="3"/>
        <v>-1.2950139037226353E-2</v>
      </c>
      <c r="E16" s="9">
        <f t="shared" si="4"/>
        <v>-9.3906993405429105E-3</v>
      </c>
      <c r="F16" s="9">
        <f t="shared" si="5"/>
        <v>-1.0925043834753146E-2</v>
      </c>
      <c r="G16" s="9">
        <f t="shared" si="6"/>
        <v>-9.9558764747320096E-3</v>
      </c>
      <c r="H16" s="9">
        <f t="shared" si="7"/>
        <v>-8.5608449545228112E-3</v>
      </c>
      <c r="J16" s="9" t="s">
        <v>23</v>
      </c>
      <c r="K16" s="8">
        <f t="shared" si="9"/>
        <v>4.5051333231297433E-4</v>
      </c>
      <c r="L16" s="8">
        <f t="shared" si="9"/>
        <v>4.3812544046593438E-4</v>
      </c>
      <c r="M16" s="8">
        <f t="shared" si="9"/>
        <v>3.1320459176413393E-4</v>
      </c>
      <c r="N16" s="8">
        <f t="shared" si="9"/>
        <v>3.4314414129993012E-4</v>
      </c>
      <c r="O16" s="8">
        <f t="shared" si="9"/>
        <v>4.8421144315372266E-4</v>
      </c>
      <c r="P16" s="8">
        <f t="shared" si="9"/>
        <v>5.643040539334551E-4</v>
      </c>
    </row>
    <row r="17" spans="2:16" x14ac:dyDescent="0.3">
      <c r="B17" s="9" t="s">
        <v>22</v>
      </c>
      <c r="C17" s="9">
        <f t="shared" si="2"/>
        <v>-3.071317254271462E-3</v>
      </c>
      <c r="D17" s="9">
        <f t="shared" si="3"/>
        <v>-1.6510197211944279E-2</v>
      </c>
      <c r="E17" s="9">
        <f t="shared" si="4"/>
        <v>-1.6808505143068295E-2</v>
      </c>
      <c r="F17" s="9">
        <f t="shared" si="5"/>
        <v>-6.4473228736788152E-4</v>
      </c>
      <c r="G17" s="9">
        <f t="shared" si="6"/>
        <v>1.2555329149830721E-3</v>
      </c>
      <c r="H17" s="9">
        <f t="shared" si="7"/>
        <v>3.5842310406066127E-2</v>
      </c>
      <c r="J17" s="9" t="s">
        <v>22</v>
      </c>
      <c r="K17" s="8">
        <f t="shared" si="9"/>
        <v>1.1841850102533337E-3</v>
      </c>
      <c r="L17" s="8">
        <f t="shared" si="9"/>
        <v>8.2580383732510157E-4</v>
      </c>
      <c r="M17" s="8">
        <f t="shared" si="9"/>
        <v>7.3421169700854769E-4</v>
      </c>
      <c r="N17" s="8">
        <f t="shared" si="9"/>
        <v>1.108761708609244E-3</v>
      </c>
      <c r="O17" s="8">
        <f t="shared" si="9"/>
        <v>1.3621015070810225E-3</v>
      </c>
      <c r="P17" s="8">
        <f t="shared" si="9"/>
        <v>2.2919139721677452E-3</v>
      </c>
    </row>
    <row r="18" spans="2:16" x14ac:dyDescent="0.3">
      <c r="B18" s="9" t="s">
        <v>25</v>
      </c>
      <c r="C18" s="9">
        <f t="shared" si="2"/>
        <v>-3.6496211832575988E-3</v>
      </c>
      <c r="D18" s="9">
        <f t="shared" si="3"/>
        <v>-1.0306655702972976E-2</v>
      </c>
      <c r="E18" s="9">
        <f t="shared" si="4"/>
        <v>-1.5149556066282573E-2</v>
      </c>
      <c r="F18" s="9">
        <f t="shared" si="5"/>
        <v>-2.1590539431278553E-2</v>
      </c>
      <c r="G18" s="9">
        <f t="shared" si="6"/>
        <v>-2.0855751872947338E-2</v>
      </c>
      <c r="H18" s="9">
        <f t="shared" si="7"/>
        <v>-2.3837562273713215E-2</v>
      </c>
      <c r="J18" s="9" t="s">
        <v>25</v>
      </c>
      <c r="K18" s="8">
        <f t="shared" si="9"/>
        <v>2.5983880270771054E-3</v>
      </c>
      <c r="L18" s="8">
        <f t="shared" si="9"/>
        <v>1.6224420887518884E-3</v>
      </c>
      <c r="M18" s="8">
        <f t="shared" si="9"/>
        <v>1.3728742714819752E-3</v>
      </c>
      <c r="N18" s="8">
        <f t="shared" si="9"/>
        <v>2.0850059046564318E-3</v>
      </c>
      <c r="O18" s="8">
        <f t="shared" si="9"/>
        <v>2.4591157644477529E-3</v>
      </c>
      <c r="P18" s="8">
        <f t="shared" si="9"/>
        <v>4.4307920699112446E-3</v>
      </c>
    </row>
    <row r="19" spans="2:16" x14ac:dyDescent="0.3">
      <c r="B19" s="9" t="s">
        <v>24</v>
      </c>
      <c r="C19" s="9">
        <f t="shared" si="2"/>
        <v>-2.4442074289558517E-2</v>
      </c>
      <c r="D19" s="9">
        <f t="shared" si="3"/>
        <v>-1.5330877257887746E-2</v>
      </c>
      <c r="E19" s="9">
        <f t="shared" si="4"/>
        <v>-1.5718842865381985E-3</v>
      </c>
      <c r="F19" s="9">
        <f t="shared" si="5"/>
        <v>-2.8268524870878504E-3</v>
      </c>
      <c r="G19" s="9">
        <f t="shared" si="6"/>
        <v>-4.4487056745155552E-3</v>
      </c>
      <c r="H19" s="9">
        <f t="shared" si="7"/>
        <v>-1.4648831560826043E-2</v>
      </c>
      <c r="J19" s="9" t="s">
        <v>24</v>
      </c>
      <c r="K19" s="8">
        <f t="shared" si="9"/>
        <v>3.7620512698163778E-3</v>
      </c>
      <c r="L19" s="8">
        <f t="shared" si="9"/>
        <v>2.7564618673013579E-3</v>
      </c>
      <c r="M19" s="8">
        <f t="shared" si="9"/>
        <v>2.7495677937713269E-3</v>
      </c>
      <c r="N19" s="8">
        <f t="shared" si="9"/>
        <v>3.305035130118485E-3</v>
      </c>
      <c r="O19" s="8">
        <f t="shared" si="9"/>
        <v>3.6921292821912245E-3</v>
      </c>
      <c r="P19" s="8">
        <f t="shared" si="9"/>
        <v>5.4753914787881519E-3</v>
      </c>
    </row>
    <row r="20" spans="2:16" x14ac:dyDescent="0.3">
      <c r="B20" s="9" t="s">
        <v>18</v>
      </c>
      <c r="C20" s="9">
        <f t="shared" si="2"/>
        <v>-6.6783035205092864E-2</v>
      </c>
      <c r="D20" s="9">
        <f t="shared" si="3"/>
        <v>-8.96919435843824E-2</v>
      </c>
      <c r="E20" s="9">
        <f t="shared" si="4"/>
        <v>-7.6543377027647713E-2</v>
      </c>
      <c r="F20" s="9">
        <f t="shared" si="5"/>
        <v>-4.1328118829560528E-2</v>
      </c>
      <c r="G20" s="9">
        <f t="shared" si="6"/>
        <v>-5.9268493708815956E-2</v>
      </c>
      <c r="H20" s="9">
        <f t="shared" si="7"/>
        <v>-4.7399609998032111E-2</v>
      </c>
      <c r="J20" s="9" t="s">
        <v>18</v>
      </c>
      <c r="K20" s="8">
        <f t="shared" si="9"/>
        <v>2.4153601293715014E-2</v>
      </c>
      <c r="L20" s="8">
        <f t="shared" si="9"/>
        <v>1.8178700584682173E-2</v>
      </c>
      <c r="M20" s="8">
        <f t="shared" si="9"/>
        <v>2.1562878457813999E-2</v>
      </c>
      <c r="N20" s="8">
        <f t="shared" si="9"/>
        <v>2.8204278140126427E-2</v>
      </c>
      <c r="O20" s="8">
        <f t="shared" si="9"/>
        <v>2.7349137599037704E-2</v>
      </c>
      <c r="P20" s="8">
        <f t="shared" si="9"/>
        <v>3.5052693048337441E-2</v>
      </c>
    </row>
    <row r="21" spans="2:16" x14ac:dyDescent="0.3">
      <c r="B21" s="9" t="s">
        <v>26</v>
      </c>
      <c r="C21" s="9">
        <f t="shared" si="2"/>
        <v>0.11750366626807018</v>
      </c>
      <c r="D21" s="9">
        <f t="shared" si="3"/>
        <v>0.15250973723393035</v>
      </c>
      <c r="E21" s="9">
        <f t="shared" si="4"/>
        <v>0.13259584142442016</v>
      </c>
      <c r="F21" s="9">
        <f t="shared" si="5"/>
        <v>8.880941743108961E-2</v>
      </c>
      <c r="G21" s="9">
        <f t="shared" si="6"/>
        <v>0.10115036252750642</v>
      </c>
      <c r="H21" s="9">
        <f t="shared" si="7"/>
        <v>6.4850364055927368E-2</v>
      </c>
      <c r="J21" s="9" t="s">
        <v>26</v>
      </c>
      <c r="K21" s="8">
        <f t="shared" si="9"/>
        <v>0.85209525804836961</v>
      </c>
      <c r="L21" s="8">
        <f t="shared" si="9"/>
        <v>0.82558667566954469</v>
      </c>
      <c r="M21" s="8">
        <f t="shared" si="9"/>
        <v>0.84066660703529439</v>
      </c>
      <c r="N21" s="8">
        <f t="shared" si="9"/>
        <v>0.87382417072284324</v>
      </c>
      <c r="O21" s="8">
        <f t="shared" si="9"/>
        <v>0.86447890715299081</v>
      </c>
      <c r="P21" s="8">
        <f t="shared" si="9"/>
        <v>0.89196732482698571</v>
      </c>
    </row>
    <row r="22" spans="2:16" x14ac:dyDescent="0.3">
      <c r="J22" s="13" t="s">
        <v>47</v>
      </c>
      <c r="K22" s="12">
        <f>SUM(K13:K21)</f>
        <v>0.88443317346594763</v>
      </c>
      <c r="L22" s="12">
        <f t="shared" ref="L22:P22" si="10">SUM(L13:L21)</f>
        <v>0.84962243137634919</v>
      </c>
      <c r="M22" s="12">
        <f t="shared" si="10"/>
        <v>0.86750926279626528</v>
      </c>
      <c r="N22" s="12">
        <f t="shared" si="10"/>
        <v>0.90897451761052517</v>
      </c>
      <c r="O22" s="12">
        <f t="shared" si="10"/>
        <v>0.90004763767725038</v>
      </c>
      <c r="P22" s="12">
        <f t="shared" si="10"/>
        <v>0.94004019642350689</v>
      </c>
    </row>
    <row r="23" spans="2:16" x14ac:dyDescent="0.3">
      <c r="J23" s="14" t="s">
        <v>48</v>
      </c>
      <c r="K23" s="15">
        <f>1-K22</f>
        <v>0.11556682653405237</v>
      </c>
      <c r="L23" s="15">
        <f t="shared" ref="L23:P23" si="11">1-L22</f>
        <v>0.15037756862365081</v>
      </c>
      <c r="M23" s="15">
        <f t="shared" si="11"/>
        <v>0.13249073720373472</v>
      </c>
      <c r="N23" s="15">
        <f t="shared" si="11"/>
        <v>9.1025482389474832E-2</v>
      </c>
      <c r="O23" s="15">
        <f t="shared" si="11"/>
        <v>9.9952362322749622E-2</v>
      </c>
      <c r="P23" s="15">
        <f t="shared" si="11"/>
        <v>5.9959803576493109E-2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ITUIUTABA</vt:lpstr>
      <vt:lpstr>PATROCÍNIO-MONTE CARMELO</vt:lpstr>
      <vt:lpstr>UBERLÂNDIA-ARAGUARI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2025-04-25T00:57:24Z</dcterms:created>
  <dcterms:modified xsi:type="dcterms:W3CDTF">2025-08-24T20:31:05Z</dcterms:modified>
</cp:coreProperties>
</file>