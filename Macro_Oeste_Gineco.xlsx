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63" documentId="8_{4C332E3A-393C-4861-8CF7-89C607673B01}" xr6:coauthVersionLast="47" xr6:coauthVersionMax="47" xr10:uidLastSave="{AB8A01B9-83A6-41A9-868F-8AFA321E90AB}"/>
  <bookViews>
    <workbookView xWindow="-108" yWindow="-108" windowWidth="23256" windowHeight="12456" xr2:uid="{D318FE62-00D7-4282-9E1B-3102D8F9EFA8}"/>
  </bookViews>
  <sheets>
    <sheet name="BOM DESPACHO" sheetId="1" r:id="rId1"/>
    <sheet name="CAMPO BELO" sheetId="2" r:id="rId2"/>
    <sheet name="DIVINÓPOLIS" sheetId="3" r:id="rId3"/>
    <sheet name="FORMIGA" sheetId="4" r:id="rId4"/>
    <sheet name="ITAÚNA" sheetId="5" r:id="rId5"/>
    <sheet name="LAGOA DA PRATA - STO ANT MONTE" sheetId="6" r:id="rId6"/>
    <sheet name="OLIVEIRA - STO ANT DO AMPARO" sheetId="7" r:id="rId7"/>
    <sheet name="PARÁ DE MIN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8" l="1"/>
  <c r="P12" i="8"/>
  <c r="O12" i="8"/>
  <c r="N12" i="8"/>
  <c r="M12" i="8"/>
  <c r="L12" i="8"/>
  <c r="K12" i="8"/>
  <c r="P10" i="7"/>
  <c r="O10" i="7"/>
  <c r="N10" i="7"/>
  <c r="M10" i="7"/>
  <c r="L10" i="7"/>
  <c r="K10" i="7"/>
  <c r="P9" i="6"/>
  <c r="O9" i="6"/>
  <c r="N9" i="6"/>
  <c r="M9" i="6"/>
  <c r="L9" i="6"/>
  <c r="K9" i="6"/>
  <c r="P8" i="5"/>
  <c r="O8" i="5"/>
  <c r="N8" i="5"/>
  <c r="M8" i="5"/>
  <c r="L8" i="5"/>
  <c r="K8" i="5"/>
  <c r="K16" i="4"/>
  <c r="P12" i="4"/>
  <c r="O12" i="4"/>
  <c r="N12" i="4"/>
  <c r="M12" i="4"/>
  <c r="L12" i="4"/>
  <c r="K12" i="4"/>
  <c r="P12" i="3"/>
  <c r="O12" i="3"/>
  <c r="N12" i="3"/>
  <c r="M12" i="3"/>
  <c r="L12" i="3"/>
  <c r="K12" i="3"/>
  <c r="P11" i="2"/>
  <c r="O11" i="2"/>
  <c r="N11" i="2"/>
  <c r="M11" i="2"/>
  <c r="L11" i="2"/>
  <c r="K11" i="2"/>
  <c r="P11" i="1"/>
  <c r="O11" i="1"/>
  <c r="N11" i="1"/>
  <c r="M11" i="1"/>
  <c r="L11" i="1"/>
  <c r="K11" i="1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P3" i="8"/>
  <c r="P4" i="8" s="1"/>
  <c r="P5" i="8" s="1"/>
  <c r="P6" i="8" s="1"/>
  <c r="P7" i="8" s="1"/>
  <c r="P8" i="8" s="1"/>
  <c r="P9" i="8" s="1"/>
  <c r="O3" i="8"/>
  <c r="O4" i="8" s="1"/>
  <c r="O5" i="8" s="1"/>
  <c r="O6" i="8" s="1"/>
  <c r="O7" i="8" s="1"/>
  <c r="O8" i="8" s="1"/>
  <c r="O9" i="8" s="1"/>
  <c r="N3" i="8"/>
  <c r="N4" i="8" s="1"/>
  <c r="N5" i="8" s="1"/>
  <c r="N6" i="8" s="1"/>
  <c r="N7" i="8" s="1"/>
  <c r="N8" i="8" s="1"/>
  <c r="N9" i="8" s="1"/>
  <c r="M3" i="8"/>
  <c r="M4" i="8" s="1"/>
  <c r="M5" i="8" s="1"/>
  <c r="M6" i="8" s="1"/>
  <c r="M7" i="8" s="1"/>
  <c r="M8" i="8" s="1"/>
  <c r="M9" i="8" s="1"/>
  <c r="L3" i="8"/>
  <c r="L4" i="8" s="1"/>
  <c r="L5" i="8" s="1"/>
  <c r="L6" i="8" s="1"/>
  <c r="L7" i="8" s="1"/>
  <c r="L8" i="8" s="1"/>
  <c r="L9" i="8" s="1"/>
  <c r="K3" i="8"/>
  <c r="K4" i="8" s="1"/>
  <c r="K5" i="8" s="1"/>
  <c r="K6" i="8" s="1"/>
  <c r="K7" i="8" s="1"/>
  <c r="K8" i="8" s="1"/>
  <c r="K9" i="8" s="1"/>
  <c r="J3" i="8"/>
  <c r="J4" i="8" s="1"/>
  <c r="J5" i="8" s="1"/>
  <c r="J6" i="8" s="1"/>
  <c r="J7" i="8" s="1"/>
  <c r="J8" i="8" s="1"/>
  <c r="J9" i="8" s="1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P3" i="7"/>
  <c r="P4" i="7" s="1"/>
  <c r="P5" i="7" s="1"/>
  <c r="P6" i="7" s="1"/>
  <c r="P7" i="7" s="1"/>
  <c r="O3" i="7"/>
  <c r="O4" i="7" s="1"/>
  <c r="O5" i="7" s="1"/>
  <c r="O6" i="7" s="1"/>
  <c r="O7" i="7" s="1"/>
  <c r="N3" i="7"/>
  <c r="N4" i="7" s="1"/>
  <c r="N5" i="7" s="1"/>
  <c r="N6" i="7" s="1"/>
  <c r="N7" i="7" s="1"/>
  <c r="M3" i="7"/>
  <c r="M4" i="7" s="1"/>
  <c r="M5" i="7" s="1"/>
  <c r="M6" i="7" s="1"/>
  <c r="M7" i="7" s="1"/>
  <c r="L3" i="7"/>
  <c r="L4" i="7" s="1"/>
  <c r="L5" i="7" s="1"/>
  <c r="L6" i="7" s="1"/>
  <c r="L7" i="7" s="1"/>
  <c r="K3" i="7"/>
  <c r="K4" i="7" s="1"/>
  <c r="K5" i="7" s="1"/>
  <c r="K6" i="7" s="1"/>
  <c r="K7" i="7" s="1"/>
  <c r="J3" i="7"/>
  <c r="J4" i="7" s="1"/>
  <c r="J5" i="7" s="1"/>
  <c r="J6" i="7" s="1"/>
  <c r="J7" i="7" s="1"/>
  <c r="P15" i="7" s="1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4" i="6" s="1"/>
  <c r="M5" i="6" s="1"/>
  <c r="M6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P3" i="5"/>
  <c r="P4" i="5" s="1"/>
  <c r="P5" i="5" s="1"/>
  <c r="P11" i="5" s="1"/>
  <c r="O3" i="5"/>
  <c r="O4" i="5" s="1"/>
  <c r="O5" i="5" s="1"/>
  <c r="N3" i="5"/>
  <c r="N4" i="5" s="1"/>
  <c r="M3" i="5"/>
  <c r="M4" i="5" s="1"/>
  <c r="M5" i="5" s="1"/>
  <c r="L3" i="5"/>
  <c r="L4" i="5" s="1"/>
  <c r="L5" i="5" s="1"/>
  <c r="K3" i="5"/>
  <c r="K4" i="5" s="1"/>
  <c r="K5" i="5" s="1"/>
  <c r="J3" i="5"/>
  <c r="J4" i="5" s="1"/>
  <c r="J5" i="5" s="1"/>
  <c r="O11" i="5" s="1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P3" i="4"/>
  <c r="P4" i="4" s="1"/>
  <c r="P5" i="4" s="1"/>
  <c r="P6" i="4" s="1"/>
  <c r="P7" i="4" s="1"/>
  <c r="P8" i="4" s="1"/>
  <c r="P9" i="4" s="1"/>
  <c r="O3" i="4"/>
  <c r="O4" i="4" s="1"/>
  <c r="O5" i="4" s="1"/>
  <c r="O6" i="4" s="1"/>
  <c r="O7" i="4" s="1"/>
  <c r="O8" i="4" s="1"/>
  <c r="O9" i="4" s="1"/>
  <c r="N3" i="4"/>
  <c r="N4" i="4" s="1"/>
  <c r="N5" i="4" s="1"/>
  <c r="N6" i="4" s="1"/>
  <c r="N7" i="4" s="1"/>
  <c r="N8" i="4" s="1"/>
  <c r="N9" i="4" s="1"/>
  <c r="M3" i="4"/>
  <c r="M4" i="4" s="1"/>
  <c r="M5" i="4" s="1"/>
  <c r="M6" i="4" s="1"/>
  <c r="M7" i="4" s="1"/>
  <c r="M8" i="4" s="1"/>
  <c r="M9" i="4" s="1"/>
  <c r="L3" i="4"/>
  <c r="L4" i="4" s="1"/>
  <c r="L5" i="4" s="1"/>
  <c r="L6" i="4" s="1"/>
  <c r="L7" i="4" s="1"/>
  <c r="L8" i="4" s="1"/>
  <c r="L9" i="4" s="1"/>
  <c r="K3" i="4"/>
  <c r="K4" i="4" s="1"/>
  <c r="K5" i="4" s="1"/>
  <c r="K6" i="4" s="1"/>
  <c r="K7" i="4" s="1"/>
  <c r="K8" i="4" s="1"/>
  <c r="K9" i="4" s="1"/>
  <c r="J3" i="4"/>
  <c r="J4" i="4" s="1"/>
  <c r="J5" i="4" s="1"/>
  <c r="J6" i="4" s="1"/>
  <c r="J7" i="4" s="1"/>
  <c r="J8" i="4" s="1"/>
  <c r="J9" i="4" s="1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L19" i="3" s="1"/>
  <c r="K3" i="3"/>
  <c r="K4" i="3" s="1"/>
  <c r="K5" i="3" s="1"/>
  <c r="K6" i="3" s="1"/>
  <c r="K7" i="3" s="1"/>
  <c r="K8" i="3" s="1"/>
  <c r="K9" i="3" s="1"/>
  <c r="J3" i="3"/>
  <c r="J4" i="3" s="1"/>
  <c r="J5" i="3" s="1"/>
  <c r="J6" i="3" s="1"/>
  <c r="J7" i="3" s="1"/>
  <c r="J8" i="3" s="1"/>
  <c r="J9" i="3" s="1"/>
  <c r="P19" i="3" s="1"/>
  <c r="P19" i="8" l="1"/>
  <c r="K16" i="8"/>
  <c r="M17" i="8"/>
  <c r="M13" i="8"/>
  <c r="O14" i="8"/>
  <c r="L12" i="7"/>
  <c r="K14" i="7"/>
  <c r="O14" i="7"/>
  <c r="O12" i="7"/>
  <c r="P14" i="7"/>
  <c r="M15" i="7"/>
  <c r="K12" i="7"/>
  <c r="O12" i="6"/>
  <c r="P13" i="6"/>
  <c r="K10" i="6"/>
  <c r="P10" i="5"/>
  <c r="N9" i="5"/>
  <c r="L9" i="5"/>
  <c r="M9" i="5"/>
  <c r="O9" i="5"/>
  <c r="K11" i="5"/>
  <c r="P9" i="5"/>
  <c r="P12" i="5" s="1"/>
  <c r="P13" i="5" s="1"/>
  <c r="L11" i="5"/>
  <c r="O10" i="5"/>
  <c r="P19" i="4"/>
  <c r="N16" i="4"/>
  <c r="K19" i="4"/>
  <c r="L19" i="4"/>
  <c r="K15" i="4"/>
  <c r="L15" i="4"/>
  <c r="O14" i="3"/>
  <c r="K16" i="3"/>
  <c r="K17" i="3"/>
  <c r="O19" i="3"/>
  <c r="M17" i="3"/>
  <c r="P17" i="3"/>
  <c r="K13" i="3"/>
  <c r="M13" i="3"/>
  <c r="M18" i="3"/>
  <c r="O18" i="3"/>
  <c r="P13" i="3"/>
  <c r="M14" i="3"/>
  <c r="N5" i="5"/>
  <c r="N11" i="5" s="1"/>
  <c r="N10" i="5"/>
  <c r="K10" i="5"/>
  <c r="M11" i="5"/>
  <c r="O12" i="5"/>
  <c r="O13" i="5" s="1"/>
  <c r="L10" i="5"/>
  <c r="K9" i="5"/>
  <c r="M10" i="5"/>
  <c r="N13" i="8"/>
  <c r="P14" i="8"/>
  <c r="L16" i="8"/>
  <c r="N17" i="8"/>
  <c r="P18" i="8"/>
  <c r="O13" i="8"/>
  <c r="K15" i="8"/>
  <c r="M16" i="8"/>
  <c r="O17" i="8"/>
  <c r="K19" i="8"/>
  <c r="P13" i="8"/>
  <c r="L15" i="8"/>
  <c r="N16" i="8"/>
  <c r="P17" i="8"/>
  <c r="L19" i="8"/>
  <c r="K14" i="8"/>
  <c r="M15" i="8"/>
  <c r="O16" i="8"/>
  <c r="K18" i="8"/>
  <c r="M19" i="8"/>
  <c r="L14" i="8"/>
  <c r="N15" i="8"/>
  <c r="P16" i="8"/>
  <c r="L18" i="8"/>
  <c r="N19" i="8"/>
  <c r="K13" i="8"/>
  <c r="M14" i="8"/>
  <c r="O15" i="8"/>
  <c r="K17" i="8"/>
  <c r="M18" i="8"/>
  <c r="O19" i="8"/>
  <c r="L13" i="8"/>
  <c r="N14" i="8"/>
  <c r="P15" i="8"/>
  <c r="L17" i="8"/>
  <c r="N18" i="8"/>
  <c r="K11" i="7"/>
  <c r="M12" i="7"/>
  <c r="O13" i="7"/>
  <c r="K15" i="7"/>
  <c r="N13" i="7"/>
  <c r="L11" i="7"/>
  <c r="N12" i="7"/>
  <c r="N16" i="7" s="1"/>
  <c r="N17" i="7" s="1"/>
  <c r="P13" i="7"/>
  <c r="L15" i="7"/>
  <c r="M13" i="7"/>
  <c r="M11" i="7"/>
  <c r="N11" i="7"/>
  <c r="P12" i="7"/>
  <c r="L14" i="7"/>
  <c r="N15" i="7"/>
  <c r="O11" i="7"/>
  <c r="K13" i="7"/>
  <c r="M14" i="7"/>
  <c r="O15" i="7"/>
  <c r="P11" i="7"/>
  <c r="L13" i="7"/>
  <c r="N14" i="7"/>
  <c r="M11" i="6"/>
  <c r="L10" i="6"/>
  <c r="N11" i="6"/>
  <c r="P12" i="6"/>
  <c r="M10" i="6"/>
  <c r="O11" i="6"/>
  <c r="O14" i="6" s="1"/>
  <c r="O15" i="6" s="1"/>
  <c r="K13" i="6"/>
  <c r="N10" i="6"/>
  <c r="P11" i="6"/>
  <c r="L13" i="6"/>
  <c r="O10" i="6"/>
  <c r="K12" i="6"/>
  <c r="M13" i="6"/>
  <c r="P10" i="6"/>
  <c r="P14" i="6" s="1"/>
  <c r="P15" i="6" s="1"/>
  <c r="L12" i="6"/>
  <c r="N13" i="6"/>
  <c r="K11" i="6"/>
  <c r="M12" i="6"/>
  <c r="O13" i="6"/>
  <c r="L11" i="6"/>
  <c r="N12" i="6"/>
  <c r="M13" i="4"/>
  <c r="M20" i="4" s="1"/>
  <c r="M21" i="4" s="1"/>
  <c r="O14" i="4"/>
  <c r="M17" i="4"/>
  <c r="O18" i="4"/>
  <c r="N13" i="4"/>
  <c r="P14" i="4"/>
  <c r="L16" i="4"/>
  <c r="N17" i="4"/>
  <c r="P18" i="4"/>
  <c r="O17" i="4"/>
  <c r="P17" i="4"/>
  <c r="K14" i="4"/>
  <c r="M15" i="4"/>
  <c r="O16" i="4"/>
  <c r="K18" i="4"/>
  <c r="M19" i="4"/>
  <c r="O13" i="4"/>
  <c r="L14" i="4"/>
  <c r="N15" i="4"/>
  <c r="P16" i="4"/>
  <c r="L18" i="4"/>
  <c r="N19" i="4"/>
  <c r="K13" i="4"/>
  <c r="M14" i="4"/>
  <c r="O15" i="4"/>
  <c r="K17" i="4"/>
  <c r="M18" i="4"/>
  <c r="O19" i="4"/>
  <c r="M16" i="4"/>
  <c r="P13" i="4"/>
  <c r="L13" i="4"/>
  <c r="N14" i="4"/>
  <c r="P15" i="4"/>
  <c r="L17" i="4"/>
  <c r="N18" i="4"/>
  <c r="N13" i="3"/>
  <c r="P14" i="3"/>
  <c r="L16" i="3"/>
  <c r="N17" i="3"/>
  <c r="P18" i="3"/>
  <c r="O13" i="3"/>
  <c r="K15" i="3"/>
  <c r="M16" i="3"/>
  <c r="O17" i="3"/>
  <c r="K19" i="3"/>
  <c r="K14" i="3"/>
  <c r="M15" i="3"/>
  <c r="O16" i="3"/>
  <c r="K18" i="3"/>
  <c r="M19" i="3"/>
  <c r="L15" i="3"/>
  <c r="N16" i="3"/>
  <c r="L14" i="3"/>
  <c r="N15" i="3"/>
  <c r="P16" i="3"/>
  <c r="L18" i="3"/>
  <c r="N19" i="3"/>
  <c r="O15" i="3"/>
  <c r="L13" i="3"/>
  <c r="N14" i="3"/>
  <c r="P15" i="3"/>
  <c r="L17" i="3"/>
  <c r="N18" i="3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P3" i="2"/>
  <c r="P4" i="2" s="1"/>
  <c r="P5" i="2" s="1"/>
  <c r="P6" i="2" s="1"/>
  <c r="P7" i="2" s="1"/>
  <c r="P8" i="2" s="1"/>
  <c r="O3" i="2"/>
  <c r="O4" i="2" s="1"/>
  <c r="O5" i="2" s="1"/>
  <c r="O6" i="2" s="1"/>
  <c r="O7" i="2" s="1"/>
  <c r="O8" i="2" s="1"/>
  <c r="N3" i="2"/>
  <c r="N4" i="2" s="1"/>
  <c r="N5" i="2" s="1"/>
  <c r="N6" i="2" s="1"/>
  <c r="N7" i="2" s="1"/>
  <c r="N8" i="2" s="1"/>
  <c r="M3" i="2"/>
  <c r="M4" i="2" s="1"/>
  <c r="M5" i="2" s="1"/>
  <c r="M6" i="2" s="1"/>
  <c r="M7" i="2" s="1"/>
  <c r="M8" i="2" s="1"/>
  <c r="L3" i="2"/>
  <c r="L4" i="2" s="1"/>
  <c r="L5" i="2" s="1"/>
  <c r="L6" i="2" s="1"/>
  <c r="L7" i="2" s="1"/>
  <c r="L8" i="2" s="1"/>
  <c r="K3" i="2"/>
  <c r="K4" i="2" s="1"/>
  <c r="K5" i="2" s="1"/>
  <c r="K6" i="2" s="1"/>
  <c r="K7" i="2" s="1"/>
  <c r="K8" i="2" s="1"/>
  <c r="J3" i="2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P3" i="1"/>
  <c r="P4" i="1" s="1"/>
  <c r="P5" i="1" s="1"/>
  <c r="P6" i="1" s="1"/>
  <c r="P7" i="1" s="1"/>
  <c r="P8" i="1" s="1"/>
  <c r="O3" i="1"/>
  <c r="O4" i="1" s="1"/>
  <c r="O5" i="1" s="1"/>
  <c r="O6" i="1" s="1"/>
  <c r="O7" i="1" s="1"/>
  <c r="O8" i="1" s="1"/>
  <c r="N3" i="1"/>
  <c r="N4" i="1" s="1"/>
  <c r="N5" i="1" s="1"/>
  <c r="N6" i="1" s="1"/>
  <c r="N7" i="1" s="1"/>
  <c r="N8" i="1" s="1"/>
  <c r="M3" i="1"/>
  <c r="M4" i="1" s="1"/>
  <c r="M5" i="1" s="1"/>
  <c r="M6" i="1" s="1"/>
  <c r="M7" i="1" s="1"/>
  <c r="M8" i="1" s="1"/>
  <c r="L3" i="1"/>
  <c r="L4" i="1" s="1"/>
  <c r="L5" i="1" s="1"/>
  <c r="L6" i="1" s="1"/>
  <c r="L7" i="1" s="1"/>
  <c r="L8" i="1" s="1"/>
  <c r="K3" i="1"/>
  <c r="K4" i="1" s="1"/>
  <c r="K5" i="1" s="1"/>
  <c r="K6" i="1" s="1"/>
  <c r="K7" i="1" s="1"/>
  <c r="K8" i="1" s="1"/>
  <c r="J3" i="1"/>
  <c r="O20" i="8" l="1"/>
  <c r="O21" i="8" s="1"/>
  <c r="M20" i="8"/>
  <c r="M21" i="8" s="1"/>
  <c r="P20" i="8"/>
  <c r="P21" i="8" s="1"/>
  <c r="K20" i="8"/>
  <c r="K21" i="8" s="1"/>
  <c r="M16" i="7"/>
  <c r="M17" i="7" s="1"/>
  <c r="K16" i="7"/>
  <c r="K17" i="7" s="1"/>
  <c r="K14" i="6"/>
  <c r="K15" i="6" s="1"/>
  <c r="K12" i="5"/>
  <c r="K13" i="5" s="1"/>
  <c r="L12" i="5"/>
  <c r="L13" i="5" s="1"/>
  <c r="N12" i="5"/>
  <c r="N13" i="5" s="1"/>
  <c r="P20" i="4"/>
  <c r="P21" i="4" s="1"/>
  <c r="K20" i="4"/>
  <c r="K21" i="4" s="1"/>
  <c r="O20" i="3"/>
  <c r="O21" i="3" s="1"/>
  <c r="M20" i="3"/>
  <c r="M21" i="3" s="1"/>
  <c r="K20" i="3"/>
  <c r="K21" i="3" s="1"/>
  <c r="P20" i="3"/>
  <c r="P21" i="3" s="1"/>
  <c r="M12" i="5"/>
  <c r="M13" i="5" s="1"/>
  <c r="N20" i="8"/>
  <c r="N21" i="8" s="1"/>
  <c r="L20" i="8"/>
  <c r="L21" i="8" s="1"/>
  <c r="L16" i="7"/>
  <c r="L17" i="7" s="1"/>
  <c r="P16" i="7"/>
  <c r="P17" i="7" s="1"/>
  <c r="O16" i="7"/>
  <c r="O17" i="7" s="1"/>
  <c r="M14" i="6"/>
  <c r="M15" i="6" s="1"/>
  <c r="L14" i="6"/>
  <c r="L15" i="6" s="1"/>
  <c r="N14" i="6"/>
  <c r="N15" i="6" s="1"/>
  <c r="N20" i="4"/>
  <c r="N21" i="4" s="1"/>
  <c r="O20" i="4"/>
  <c r="O21" i="4" s="1"/>
  <c r="L20" i="4"/>
  <c r="L21" i="4" s="1"/>
  <c r="L20" i="3"/>
  <c r="L21" i="3" s="1"/>
  <c r="N20" i="3"/>
  <c r="N21" i="3" s="1"/>
  <c r="J4" i="2"/>
  <c r="N12" i="2"/>
  <c r="M12" i="2"/>
  <c r="L12" i="2"/>
  <c r="K12" i="2"/>
  <c r="O12" i="2"/>
  <c r="P12" i="2"/>
  <c r="J4" i="1"/>
  <c r="N12" i="1"/>
  <c r="M12" i="1"/>
  <c r="L12" i="1"/>
  <c r="K12" i="1"/>
  <c r="P12" i="1"/>
  <c r="O12" i="1"/>
  <c r="J5" i="2" l="1"/>
  <c r="P13" i="2"/>
  <c r="O13" i="2"/>
  <c r="N13" i="2"/>
  <c r="M13" i="2"/>
  <c r="L13" i="2"/>
  <c r="K13" i="2"/>
  <c r="J5" i="1"/>
  <c r="P13" i="1"/>
  <c r="O13" i="1"/>
  <c r="N13" i="1"/>
  <c r="M13" i="1"/>
  <c r="L13" i="1"/>
  <c r="K13" i="1"/>
  <c r="J6" i="2" l="1"/>
  <c r="K14" i="2"/>
  <c r="P14" i="2"/>
  <c r="O14" i="2"/>
  <c r="N14" i="2"/>
  <c r="M14" i="2"/>
  <c r="L14" i="2"/>
  <c r="J6" i="1"/>
  <c r="M14" i="1"/>
  <c r="P14" i="1"/>
  <c r="N14" i="1"/>
  <c r="O14" i="1"/>
  <c r="L14" i="1"/>
  <c r="K14" i="1"/>
  <c r="J7" i="2" l="1"/>
  <c r="L15" i="2"/>
  <c r="K15" i="2"/>
  <c r="M15" i="2"/>
  <c r="P15" i="2"/>
  <c r="O15" i="2"/>
  <c r="N15" i="2"/>
  <c r="J7" i="1"/>
  <c r="L15" i="1"/>
  <c r="O15" i="1"/>
  <c r="K15" i="1"/>
  <c r="P15" i="1"/>
  <c r="N15" i="1"/>
  <c r="M15" i="1"/>
  <c r="J8" i="2" l="1"/>
  <c r="N16" i="2"/>
  <c r="M16" i="2"/>
  <c r="L16" i="2"/>
  <c r="K16" i="2"/>
  <c r="P16" i="2"/>
  <c r="O16" i="2"/>
  <c r="J8" i="1"/>
  <c r="N16" i="1"/>
  <c r="M16" i="1"/>
  <c r="L16" i="1"/>
  <c r="K16" i="1"/>
  <c r="P16" i="1"/>
  <c r="O16" i="1"/>
  <c r="P17" i="2" l="1"/>
  <c r="P18" i="2" s="1"/>
  <c r="P19" i="2" s="1"/>
  <c r="O17" i="2"/>
  <c r="O18" i="2" s="1"/>
  <c r="O19" i="2" s="1"/>
  <c r="N17" i="2"/>
  <c r="N18" i="2" s="1"/>
  <c r="N19" i="2" s="1"/>
  <c r="M17" i="2"/>
  <c r="M18" i="2" s="1"/>
  <c r="M19" i="2" s="1"/>
  <c r="L17" i="2"/>
  <c r="L18" i="2" s="1"/>
  <c r="L19" i="2" s="1"/>
  <c r="K17" i="2"/>
  <c r="K18" i="2" s="1"/>
  <c r="K19" i="2" s="1"/>
  <c r="P17" i="1"/>
  <c r="P18" i="1" s="1"/>
  <c r="P19" i="1" s="1"/>
  <c r="L17" i="1"/>
  <c r="L18" i="1" s="1"/>
  <c r="L19" i="1" s="1"/>
  <c r="O17" i="1"/>
  <c r="O18" i="1" s="1"/>
  <c r="O19" i="1" s="1"/>
  <c r="N17" i="1"/>
  <c r="N18" i="1" s="1"/>
  <c r="N19" i="1" s="1"/>
  <c r="K17" i="1"/>
  <c r="K18" i="1" s="1"/>
  <c r="K19" i="1" s="1"/>
  <c r="M17" i="1"/>
  <c r="M18" i="1" s="1"/>
  <c r="M19" i="1" s="1"/>
</calcChain>
</file>

<file path=xl/sharedStrings.xml><?xml version="1.0" encoding="utf-8"?>
<sst xmlns="http://schemas.openxmlformats.org/spreadsheetml/2006/main" count="408" uniqueCount="75">
  <si>
    <t>BOM DESPACHO</t>
  </si>
  <si>
    <t>DORES DO INDAIÁ</t>
  </si>
  <si>
    <t>ESTRELA DO INDAIÁ</t>
  </si>
  <si>
    <t>LUZ</t>
  </si>
  <si>
    <t>MARTINHO CAMPOS</t>
  </si>
  <si>
    <t>MOEMA</t>
  </si>
  <si>
    <t>SERRA DA SAUDADE</t>
  </si>
  <si>
    <t>CAMPO BELO</t>
  </si>
  <si>
    <t>AGUANIL</t>
  </si>
  <si>
    <t>CAMACHO</t>
  </si>
  <si>
    <t>CANA VERDE</t>
  </si>
  <si>
    <t>CANDEIAS</t>
  </si>
  <si>
    <t>CRISTAIS</t>
  </si>
  <si>
    <t>SANTANA DO JACARÉ</t>
  </si>
  <si>
    <t>DIVINÓPOLIS</t>
  </si>
  <si>
    <t>ARAÚJOS</t>
  </si>
  <si>
    <t>CARMO DO CAJURU</t>
  </si>
  <si>
    <t>CLÁUDIO</t>
  </si>
  <si>
    <t>ITAPECERICA</t>
  </si>
  <si>
    <t>PERDIGÃO</t>
  </si>
  <si>
    <t>SÃO GONÇALO DO PARÁ</t>
  </si>
  <si>
    <t>SÃO SEBASTIÃO DO OESTE</t>
  </si>
  <si>
    <t>FORMIGA</t>
  </si>
  <si>
    <t>BAMBUÍ</t>
  </si>
  <si>
    <t>CÓRREGO DANTA</t>
  </si>
  <si>
    <t>CÓRREGO FUNDO</t>
  </si>
  <si>
    <t>IGUATAMA</t>
  </si>
  <si>
    <t>MEDEIROS</t>
  </si>
  <si>
    <t>PAINS</t>
  </si>
  <si>
    <t>TAPIRAÍ</t>
  </si>
  <si>
    <t>ITAÚNA</t>
  </si>
  <si>
    <t>ITAGUARA</t>
  </si>
  <si>
    <t>ITATIAIUÇU</t>
  </si>
  <si>
    <t>PIRACEMA</t>
  </si>
  <si>
    <t>ARCOS</t>
  </si>
  <si>
    <t>JAPARAÍBA</t>
  </si>
  <si>
    <t>LAGOA DA PRATA</t>
  </si>
  <si>
    <t>PEDRA DO INDAIÁ</t>
  </si>
  <si>
    <t>SANTO ANTÔNIO DO MONTE</t>
  </si>
  <si>
    <t>CARMO DA MATA</t>
  </si>
  <si>
    <t>CARMÓPOLIS DE MINAS</t>
  </si>
  <si>
    <t>OLIVEIRA</t>
  </si>
  <si>
    <t>PASSA TEMPO</t>
  </si>
  <si>
    <t>SANTO ANTÔNIO DO AMPARO</t>
  </si>
  <si>
    <t>SÃO FRANCISCO DE PAULA</t>
  </si>
  <si>
    <t>PARÁ DE MINAS</t>
  </si>
  <si>
    <t>CONCEIÇÃO DO PARÁ</t>
  </si>
  <si>
    <t>IGARATINGA</t>
  </si>
  <si>
    <t>LEANDRO FERREIRA</t>
  </si>
  <si>
    <t>NOVA SERRANA</t>
  </si>
  <si>
    <t>ONÇA DE PITANGUI</t>
  </si>
  <si>
    <t>PITANGUI</t>
  </si>
  <si>
    <t>SÃO JOSÉ DA VARGINHA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</si>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</sst>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'BOM DESPACHO'!$J$1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DESPACHO'!$J$2:$J$8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74-4148-BE7C-F3E22262EEFD}"/>
            </c:ext>
          </c:extLst>
        </c:ser>
        <c:ser>
          <c:idx val="1"/>
          <c:order val="1"/>
          <c:tx>
            <c:strRef>
              <c:f>'BOM DESPACHO'!$K$1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DESPACHO'!$K$2:$K$8</c:f>
              <c:numCache>
                <c:formatCode>0.00</c:formatCode>
                <c:ptCount val="7"/>
                <c:pt idx="0">
                  <c:v>4.048582995951417E-3</c:v>
                </c:pt>
                <c:pt idx="1">
                  <c:v>5.6680161943319832E-2</c:v>
                </c:pt>
                <c:pt idx="2">
                  <c:v>0.10931174089068825</c:v>
                </c:pt>
                <c:pt idx="3">
                  <c:v>0.19433198380566802</c:v>
                </c:pt>
                <c:pt idx="4">
                  <c:v>0.23481781376518218</c:v>
                </c:pt>
                <c:pt idx="5">
                  <c:v>0.32388663967611336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74-4148-BE7C-F3E22262EEFD}"/>
            </c:ext>
          </c:extLst>
        </c:ser>
        <c:ser>
          <c:idx val="2"/>
          <c:order val="2"/>
          <c:tx>
            <c:strRef>
              <c:f>'BOM DESPACHO'!$L$1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DESPACHO'!$L$2:$L$8</c:f>
              <c:numCache>
                <c:formatCode>0.00</c:formatCode>
                <c:ptCount val="7"/>
                <c:pt idx="0">
                  <c:v>0</c:v>
                </c:pt>
                <c:pt idx="1">
                  <c:v>3.8167938931297711E-2</c:v>
                </c:pt>
                <c:pt idx="2">
                  <c:v>8.3969465648854963E-2</c:v>
                </c:pt>
                <c:pt idx="3">
                  <c:v>0.25954198473282442</c:v>
                </c:pt>
                <c:pt idx="4">
                  <c:v>0.29770992366412213</c:v>
                </c:pt>
                <c:pt idx="5">
                  <c:v>0.48091603053435117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74-4148-BE7C-F3E22262EEFD}"/>
            </c:ext>
          </c:extLst>
        </c:ser>
        <c:ser>
          <c:idx val="3"/>
          <c:order val="3"/>
          <c:tx>
            <c:strRef>
              <c:f>'BOM DESPACHO'!$M$1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DESPACHO'!$M$2:$M$8</c:f>
              <c:numCache>
                <c:formatCode>0.00</c:formatCode>
                <c:ptCount val="7"/>
                <c:pt idx="0">
                  <c:v>0</c:v>
                </c:pt>
                <c:pt idx="1">
                  <c:v>0.14117647058823529</c:v>
                </c:pt>
                <c:pt idx="2">
                  <c:v>0.27058823529411768</c:v>
                </c:pt>
                <c:pt idx="3">
                  <c:v>0.48235294117647065</c:v>
                </c:pt>
                <c:pt idx="4">
                  <c:v>0.50588235294117656</c:v>
                </c:pt>
                <c:pt idx="5">
                  <c:v>0.75294117647058834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74-4148-BE7C-F3E22262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63024"/>
        <c:axId val="366063984"/>
      </c:scatterChart>
      <c:valAx>
        <c:axId val="366063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3984"/>
        <c:crosses val="autoZero"/>
        <c:crossBetween val="midCat"/>
      </c:valAx>
      <c:valAx>
        <c:axId val="366063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'BOM DESPACHO'!$J$1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DESPACHO'!$J$2:$J$8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C-48E0-AE7B-DDB2BDEA85AC}"/>
            </c:ext>
          </c:extLst>
        </c:ser>
        <c:ser>
          <c:idx val="1"/>
          <c:order val="1"/>
          <c:tx>
            <c:strRef>
              <c:f>'BOM DESPACHO'!$N$1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DESPACHO'!$N$2:$N$8</c:f>
              <c:numCache>
                <c:formatCode>0.00</c:formatCode>
                <c:ptCount val="7"/>
                <c:pt idx="0">
                  <c:v>0</c:v>
                </c:pt>
                <c:pt idx="1">
                  <c:v>2.0527859237536656E-2</c:v>
                </c:pt>
                <c:pt idx="2">
                  <c:v>5.865102639296188E-2</c:v>
                </c:pt>
                <c:pt idx="3">
                  <c:v>0.1906158357771261</c:v>
                </c:pt>
                <c:pt idx="4">
                  <c:v>0.33137829912023464</c:v>
                </c:pt>
                <c:pt idx="5">
                  <c:v>0.42521994134897367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4C-48E0-AE7B-DDB2BDEA85AC}"/>
            </c:ext>
          </c:extLst>
        </c:ser>
        <c:ser>
          <c:idx val="2"/>
          <c:order val="2"/>
          <c:tx>
            <c:strRef>
              <c:f>'BOM DESPACHO'!$O$1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DESPACHO'!$O$2:$O$8</c:f>
              <c:numCache>
                <c:formatCode>0.00</c:formatCode>
                <c:ptCount val="7"/>
                <c:pt idx="0">
                  <c:v>0</c:v>
                </c:pt>
                <c:pt idx="1">
                  <c:v>3.5353535353535352E-2</c:v>
                </c:pt>
                <c:pt idx="2">
                  <c:v>9.0909090909090912E-2</c:v>
                </c:pt>
                <c:pt idx="3">
                  <c:v>0.27272727272727271</c:v>
                </c:pt>
                <c:pt idx="4">
                  <c:v>0.44444444444444442</c:v>
                </c:pt>
                <c:pt idx="5">
                  <c:v>0.52020202020202022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4C-48E0-AE7B-DDB2BDEA85AC}"/>
            </c:ext>
          </c:extLst>
        </c:ser>
        <c:ser>
          <c:idx val="3"/>
          <c:order val="3"/>
          <c:tx>
            <c:strRef>
              <c:f>'BOM DESPACHO'!$P$1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DESPACHO'!$P$2:$P$8</c:f>
              <c:numCache>
                <c:formatCode>0.00</c:formatCode>
                <c:ptCount val="7"/>
                <c:pt idx="0">
                  <c:v>0</c:v>
                </c:pt>
                <c:pt idx="1">
                  <c:v>2.2727272727272728E-2</c:v>
                </c:pt>
                <c:pt idx="2">
                  <c:v>0.19318181818181818</c:v>
                </c:pt>
                <c:pt idx="3">
                  <c:v>0.32954545454545453</c:v>
                </c:pt>
                <c:pt idx="4">
                  <c:v>0.38636363636363635</c:v>
                </c:pt>
                <c:pt idx="5">
                  <c:v>0.51136363636363635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4C-48E0-AE7B-DDB2BDEA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38064"/>
        <c:axId val="655540464"/>
      </c:scatterChart>
      <c:valAx>
        <c:axId val="655538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0464"/>
        <c:crosses val="autoZero"/>
        <c:crossBetween val="midCat"/>
      </c:valAx>
      <c:valAx>
        <c:axId val="655540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'CAMPO BELO'!$J$1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BELO'!$J$2:$J$8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A2-403B-AD89-3232E8763555}"/>
            </c:ext>
          </c:extLst>
        </c:ser>
        <c:ser>
          <c:idx val="1"/>
          <c:order val="1"/>
          <c:tx>
            <c:strRef>
              <c:f>'CAMPO BELO'!$K$1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BELO'!$K$2:$K$8</c:f>
              <c:numCache>
                <c:formatCode>0.00</c:formatCode>
                <c:ptCount val="7"/>
                <c:pt idx="0">
                  <c:v>9.5238095238095247E-3</c:v>
                </c:pt>
                <c:pt idx="1">
                  <c:v>4.7619047619047623E-2</c:v>
                </c:pt>
                <c:pt idx="2">
                  <c:v>0.18095238095238095</c:v>
                </c:pt>
                <c:pt idx="3">
                  <c:v>0.23809523809523808</c:v>
                </c:pt>
                <c:pt idx="4">
                  <c:v>0.29523809523809524</c:v>
                </c:pt>
                <c:pt idx="5">
                  <c:v>0.4285714285714286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A2-403B-AD89-3232E8763555}"/>
            </c:ext>
          </c:extLst>
        </c:ser>
        <c:ser>
          <c:idx val="2"/>
          <c:order val="2"/>
          <c:tx>
            <c:strRef>
              <c:f>'CAMPO BELO'!$L$1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BELO'!$L$2:$L$8</c:f>
              <c:numCache>
                <c:formatCode>0.00</c:formatCode>
                <c:ptCount val="7"/>
                <c:pt idx="0">
                  <c:v>0</c:v>
                </c:pt>
                <c:pt idx="1">
                  <c:v>2.1739130434782608E-2</c:v>
                </c:pt>
                <c:pt idx="2">
                  <c:v>6.5217391304347824E-2</c:v>
                </c:pt>
                <c:pt idx="3">
                  <c:v>0.14130434782608697</c:v>
                </c:pt>
                <c:pt idx="4">
                  <c:v>0.15217391304347827</c:v>
                </c:pt>
                <c:pt idx="5">
                  <c:v>0.22826086956521741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A2-403B-AD89-3232E8763555}"/>
            </c:ext>
          </c:extLst>
        </c:ser>
        <c:ser>
          <c:idx val="3"/>
          <c:order val="3"/>
          <c:tx>
            <c:strRef>
              <c:f>'CAMPO BELO'!$M$1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BELO'!$M$2:$M$8</c:f>
              <c:numCache>
                <c:formatCode>0.00</c:formatCode>
                <c:ptCount val="7"/>
                <c:pt idx="0">
                  <c:v>2.4390243902439025E-2</c:v>
                </c:pt>
                <c:pt idx="1">
                  <c:v>7.3170731707317083E-2</c:v>
                </c:pt>
                <c:pt idx="2">
                  <c:v>0.12195121951219513</c:v>
                </c:pt>
                <c:pt idx="3">
                  <c:v>0.14634146341463417</c:v>
                </c:pt>
                <c:pt idx="4">
                  <c:v>0.21951219512195125</c:v>
                </c:pt>
                <c:pt idx="5">
                  <c:v>0.31707317073170738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A2-403B-AD89-3232E8763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30704"/>
        <c:axId val="639332144"/>
      </c:scatterChart>
      <c:valAx>
        <c:axId val="639330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2144"/>
        <c:crosses val="autoZero"/>
        <c:crossBetween val="midCat"/>
      </c:valAx>
      <c:valAx>
        <c:axId val="63933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'CAMPO BELO'!$J$1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BELO'!$J$2:$J$8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21-4D1A-B69E-CC1B752E2871}"/>
            </c:ext>
          </c:extLst>
        </c:ser>
        <c:ser>
          <c:idx val="1"/>
          <c:order val="1"/>
          <c:tx>
            <c:strRef>
              <c:f>'CAMPO BELO'!$N$1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BELO'!$N$2:$N$8</c:f>
              <c:numCache>
                <c:formatCode>0.00</c:formatCode>
                <c:ptCount val="7"/>
                <c:pt idx="0">
                  <c:v>1.1560693641618497E-2</c:v>
                </c:pt>
                <c:pt idx="1">
                  <c:v>9.2485549132947972E-2</c:v>
                </c:pt>
                <c:pt idx="2">
                  <c:v>0.12716763005780346</c:v>
                </c:pt>
                <c:pt idx="3">
                  <c:v>0.19075144508670519</c:v>
                </c:pt>
                <c:pt idx="4">
                  <c:v>0.26011560693641617</c:v>
                </c:pt>
                <c:pt idx="5">
                  <c:v>0.38150289017341038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21-4D1A-B69E-CC1B752E2871}"/>
            </c:ext>
          </c:extLst>
        </c:ser>
        <c:ser>
          <c:idx val="2"/>
          <c:order val="2"/>
          <c:tx>
            <c:strRef>
              <c:f>'CAMPO BELO'!$O$1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BELO'!$O$2:$O$8</c:f>
              <c:numCache>
                <c:formatCode>0.00</c:formatCode>
                <c:ptCount val="7"/>
                <c:pt idx="0">
                  <c:v>3.4188034188034191E-2</c:v>
                </c:pt>
                <c:pt idx="1">
                  <c:v>0.11965811965811966</c:v>
                </c:pt>
                <c:pt idx="2">
                  <c:v>0.23076923076923078</c:v>
                </c:pt>
                <c:pt idx="3">
                  <c:v>0.27350427350427353</c:v>
                </c:pt>
                <c:pt idx="4">
                  <c:v>0.30769230769230771</c:v>
                </c:pt>
                <c:pt idx="5">
                  <c:v>0.47008547008547008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21-4D1A-B69E-CC1B752E2871}"/>
            </c:ext>
          </c:extLst>
        </c:ser>
        <c:ser>
          <c:idx val="3"/>
          <c:order val="3"/>
          <c:tx>
            <c:strRef>
              <c:f>'CAMPO BELO'!$P$1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BELO'!$P$2:$P$8</c:f>
              <c:numCache>
                <c:formatCode>0.00</c:formatCode>
                <c:ptCount val="7"/>
                <c:pt idx="0">
                  <c:v>1.8181818181818181E-2</c:v>
                </c:pt>
                <c:pt idx="1">
                  <c:v>5.4545454545454543E-2</c:v>
                </c:pt>
                <c:pt idx="2">
                  <c:v>0.12727272727272726</c:v>
                </c:pt>
                <c:pt idx="3">
                  <c:v>0.14545454545454545</c:v>
                </c:pt>
                <c:pt idx="4">
                  <c:v>0.25454545454545452</c:v>
                </c:pt>
                <c:pt idx="5">
                  <c:v>0.41818181818181815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21-4D1A-B69E-CC1B752E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26864"/>
        <c:axId val="639331664"/>
      </c:scatterChart>
      <c:valAx>
        <c:axId val="639326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1664"/>
        <c:crosses val="autoZero"/>
        <c:crossBetween val="midCat"/>
      </c:valAx>
      <c:valAx>
        <c:axId val="6393316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DIVINÓPOLIS!$J$1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DIVINÓPOLIS!$J$2:$J$9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1-4AF5-9967-45D9EF0FB267}"/>
            </c:ext>
          </c:extLst>
        </c:ser>
        <c:ser>
          <c:idx val="1"/>
          <c:order val="1"/>
          <c:tx>
            <c:strRef>
              <c:f>DIVINÓPOLIS!$K$1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DIVINÓPOLIS!$K$2:$K$9</c:f>
              <c:numCache>
                <c:formatCode>0.00</c:formatCode>
                <c:ptCount val="8"/>
                <c:pt idx="0">
                  <c:v>1.0810810810810811E-2</c:v>
                </c:pt>
                <c:pt idx="1">
                  <c:v>2.1621621621621623E-2</c:v>
                </c:pt>
                <c:pt idx="2">
                  <c:v>3.2432432432432434E-2</c:v>
                </c:pt>
                <c:pt idx="3">
                  <c:v>4.8648648648648651E-2</c:v>
                </c:pt>
                <c:pt idx="4">
                  <c:v>0.19459459459459461</c:v>
                </c:pt>
                <c:pt idx="5">
                  <c:v>0.25405405405405407</c:v>
                </c:pt>
                <c:pt idx="6">
                  <c:v>0.42702702702702705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E1-4AF5-9967-45D9EF0FB267}"/>
            </c:ext>
          </c:extLst>
        </c:ser>
        <c:ser>
          <c:idx val="2"/>
          <c:order val="2"/>
          <c:tx>
            <c:strRef>
              <c:f>DIVINÓPOLIS!$L$1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DIVINÓPOLIS!$L$2:$L$9</c:f>
              <c:numCache>
                <c:formatCode>0.00</c:formatCode>
                <c:ptCount val="8"/>
                <c:pt idx="0">
                  <c:v>2.8571428571428571E-2</c:v>
                </c:pt>
                <c:pt idx="1">
                  <c:v>6.6666666666666666E-2</c:v>
                </c:pt>
                <c:pt idx="2">
                  <c:v>9.5238095238095233E-2</c:v>
                </c:pt>
                <c:pt idx="3">
                  <c:v>0.1238095238095238</c:v>
                </c:pt>
                <c:pt idx="4">
                  <c:v>0.31428571428571428</c:v>
                </c:pt>
                <c:pt idx="5">
                  <c:v>0.41904761904761906</c:v>
                </c:pt>
                <c:pt idx="6">
                  <c:v>0.48571428571428571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E1-4AF5-9967-45D9EF0FB267}"/>
            </c:ext>
          </c:extLst>
        </c:ser>
        <c:ser>
          <c:idx val="3"/>
          <c:order val="3"/>
          <c:tx>
            <c:strRef>
              <c:f>DIVINÓPOLIS!$M$1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DIVINÓPOLIS!$M$2:$M$9</c:f>
              <c:numCache>
                <c:formatCode>0.00</c:formatCode>
                <c:ptCount val="8"/>
                <c:pt idx="0">
                  <c:v>6.2893081761006293E-3</c:v>
                </c:pt>
                <c:pt idx="1">
                  <c:v>1.886792452830189E-2</c:v>
                </c:pt>
                <c:pt idx="2">
                  <c:v>5.0314465408805034E-2</c:v>
                </c:pt>
                <c:pt idx="3">
                  <c:v>7.5471698113207558E-2</c:v>
                </c:pt>
                <c:pt idx="4">
                  <c:v>0.21383647798742139</c:v>
                </c:pt>
                <c:pt idx="5">
                  <c:v>0.25157232704402516</c:v>
                </c:pt>
                <c:pt idx="6">
                  <c:v>0.39622641509433965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E1-4AF5-9967-45D9EF0F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90192"/>
        <c:axId val="363137952"/>
      </c:scatterChart>
      <c:valAx>
        <c:axId val="248790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137952"/>
        <c:crosses val="autoZero"/>
        <c:crossBetween val="midCat"/>
      </c:valAx>
      <c:valAx>
        <c:axId val="363137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9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DIVINÓPOLIS!$J$1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DIVINÓPOLIS!$J$2:$J$9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1-4B87-A830-2C73DB3EE69A}"/>
            </c:ext>
          </c:extLst>
        </c:ser>
        <c:ser>
          <c:idx val="1"/>
          <c:order val="1"/>
          <c:tx>
            <c:strRef>
              <c:f>DIVINÓPOLIS!$N$1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DIVINÓPOLIS!$N$2:$N$9</c:f>
              <c:numCache>
                <c:formatCode>0.00</c:formatCode>
                <c:ptCount val="8"/>
                <c:pt idx="0">
                  <c:v>4.4117647058823532E-2</c:v>
                </c:pt>
                <c:pt idx="1">
                  <c:v>8.455882352941177E-2</c:v>
                </c:pt>
                <c:pt idx="2">
                  <c:v>0.11764705882352941</c:v>
                </c:pt>
                <c:pt idx="3">
                  <c:v>0.13970588235294118</c:v>
                </c:pt>
                <c:pt idx="4">
                  <c:v>0.1985294117647059</c:v>
                </c:pt>
                <c:pt idx="5">
                  <c:v>0.26470588235294118</c:v>
                </c:pt>
                <c:pt idx="6">
                  <c:v>0.3970588235294118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1-4B87-A830-2C73DB3EE69A}"/>
            </c:ext>
          </c:extLst>
        </c:ser>
        <c:ser>
          <c:idx val="2"/>
          <c:order val="2"/>
          <c:tx>
            <c:strRef>
              <c:f>DIVINÓPOLIS!$O$1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DIVINÓPOLIS!$O$2:$O$9</c:f>
              <c:numCache>
                <c:formatCode>0.00</c:formatCode>
                <c:ptCount val="8"/>
                <c:pt idx="0">
                  <c:v>7.1917808219178078E-2</c:v>
                </c:pt>
                <c:pt idx="1">
                  <c:v>8.9041095890410954E-2</c:v>
                </c:pt>
                <c:pt idx="2">
                  <c:v>0.15068493150684931</c:v>
                </c:pt>
                <c:pt idx="3">
                  <c:v>0.16438356164383561</c:v>
                </c:pt>
                <c:pt idx="4">
                  <c:v>0.2363013698630137</c:v>
                </c:pt>
                <c:pt idx="5">
                  <c:v>0.35273972602739723</c:v>
                </c:pt>
                <c:pt idx="6">
                  <c:v>0.44520547945205474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1-4B87-A830-2C73DB3EE69A}"/>
            </c:ext>
          </c:extLst>
        </c:ser>
        <c:ser>
          <c:idx val="3"/>
          <c:order val="3"/>
          <c:tx>
            <c:strRef>
              <c:f>DIVINÓPOLIS!$P$1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DIVINÓPOLIS!$P$2:$P$9</c:f>
              <c:numCache>
                <c:formatCode>0.00</c:formatCode>
                <c:ptCount val="8"/>
                <c:pt idx="0">
                  <c:v>3.90625E-2</c:v>
                </c:pt>
                <c:pt idx="1">
                  <c:v>7.8125E-2</c:v>
                </c:pt>
                <c:pt idx="2">
                  <c:v>0.125</c:v>
                </c:pt>
                <c:pt idx="3">
                  <c:v>0.140625</c:v>
                </c:pt>
                <c:pt idx="4">
                  <c:v>0.1875</c:v>
                </c:pt>
                <c:pt idx="5">
                  <c:v>0.2578125</c:v>
                </c:pt>
                <c:pt idx="6">
                  <c:v>0.4453125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81-4B87-A830-2C73DB3EE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740992"/>
        <c:axId val="388741952"/>
      </c:scatterChart>
      <c:valAx>
        <c:axId val="388740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41952"/>
        <c:crosses val="autoZero"/>
        <c:crossBetween val="midCat"/>
      </c:valAx>
      <c:valAx>
        <c:axId val="388741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4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FORMIGA!$J$1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FORMIGA!$J$2:$J$9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50-426C-A36A-7C50C443394A}"/>
            </c:ext>
          </c:extLst>
        </c:ser>
        <c:ser>
          <c:idx val="1"/>
          <c:order val="1"/>
          <c:tx>
            <c:strRef>
              <c:f>FORMIGA!$K$1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FORMIGA!$K$2:$K$9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4.6153846153846156E-2</c:v>
                </c:pt>
                <c:pt idx="3">
                  <c:v>6.1538461538461542E-2</c:v>
                </c:pt>
                <c:pt idx="4">
                  <c:v>0.18461538461538463</c:v>
                </c:pt>
                <c:pt idx="5">
                  <c:v>0.43076923076923079</c:v>
                </c:pt>
                <c:pt idx="6">
                  <c:v>0.76923076923076927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50-426C-A36A-7C50C443394A}"/>
            </c:ext>
          </c:extLst>
        </c:ser>
        <c:ser>
          <c:idx val="2"/>
          <c:order val="2"/>
          <c:tx>
            <c:strRef>
              <c:f>FORMIGA!$L$1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FORMIGA!$L$2:$L$9</c:f>
              <c:numCache>
                <c:formatCode>0.00</c:formatCode>
                <c:ptCount val="8"/>
                <c:pt idx="0">
                  <c:v>0</c:v>
                </c:pt>
                <c:pt idx="1">
                  <c:v>3.0769230769230771E-2</c:v>
                </c:pt>
                <c:pt idx="2">
                  <c:v>6.1538461538461542E-2</c:v>
                </c:pt>
                <c:pt idx="3">
                  <c:v>7.6923076923076927E-2</c:v>
                </c:pt>
                <c:pt idx="4">
                  <c:v>0.2</c:v>
                </c:pt>
                <c:pt idx="5">
                  <c:v>0.55384615384615388</c:v>
                </c:pt>
                <c:pt idx="6">
                  <c:v>0.63076923076923075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50-426C-A36A-7C50C443394A}"/>
            </c:ext>
          </c:extLst>
        </c:ser>
        <c:ser>
          <c:idx val="3"/>
          <c:order val="3"/>
          <c:tx>
            <c:strRef>
              <c:f>FORMIGA!$M$1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FORMIGA!$M$2:$M$9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1.1764705882352941E-2</c:v>
                </c:pt>
                <c:pt idx="3">
                  <c:v>4.7058823529411764E-2</c:v>
                </c:pt>
                <c:pt idx="4">
                  <c:v>7.0588235294117646E-2</c:v>
                </c:pt>
                <c:pt idx="5">
                  <c:v>0.43529411764705883</c:v>
                </c:pt>
                <c:pt idx="6">
                  <c:v>0.54117647058823526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50-426C-A36A-7C50C4433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00336"/>
        <c:axId val="309818576"/>
      </c:scatterChart>
      <c:valAx>
        <c:axId val="309800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18576"/>
        <c:crosses val="autoZero"/>
        <c:crossBetween val="midCat"/>
      </c:valAx>
      <c:valAx>
        <c:axId val="309818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0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FORMIGA!$J$1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FORMIGA!$J$2:$J$9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C-43AC-8330-E08CCC3B1A5D}"/>
            </c:ext>
          </c:extLst>
        </c:ser>
        <c:ser>
          <c:idx val="1"/>
          <c:order val="1"/>
          <c:tx>
            <c:strRef>
              <c:f>FORMIGA!$N$1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FORMIGA!$N$2:$N$9</c:f>
              <c:numCache>
                <c:formatCode>0.00</c:formatCode>
                <c:ptCount val="8"/>
                <c:pt idx="0">
                  <c:v>3.2520325203252036E-2</c:v>
                </c:pt>
                <c:pt idx="1">
                  <c:v>8.1300813008130079E-2</c:v>
                </c:pt>
                <c:pt idx="2">
                  <c:v>0.13008130081300812</c:v>
                </c:pt>
                <c:pt idx="3">
                  <c:v>0.16260162601626016</c:v>
                </c:pt>
                <c:pt idx="4">
                  <c:v>0.2113821138211382</c:v>
                </c:pt>
                <c:pt idx="5">
                  <c:v>0.39837398373983735</c:v>
                </c:pt>
                <c:pt idx="6">
                  <c:v>0.51219512195121941</c:v>
                </c:pt>
                <c:pt idx="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C-43AC-8330-E08CCC3B1A5D}"/>
            </c:ext>
          </c:extLst>
        </c:ser>
        <c:ser>
          <c:idx val="2"/>
          <c:order val="2"/>
          <c:tx>
            <c:strRef>
              <c:f>FORMIGA!$O$1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FORMIGA!$O$2:$O$9</c:f>
              <c:numCache>
                <c:formatCode>0.00</c:formatCode>
                <c:ptCount val="8"/>
                <c:pt idx="0">
                  <c:v>2.3529411764705882E-2</c:v>
                </c:pt>
                <c:pt idx="1">
                  <c:v>5.8823529411764705E-2</c:v>
                </c:pt>
                <c:pt idx="2">
                  <c:v>0.2</c:v>
                </c:pt>
                <c:pt idx="3">
                  <c:v>0.27058823529411768</c:v>
                </c:pt>
                <c:pt idx="4">
                  <c:v>0.4</c:v>
                </c:pt>
                <c:pt idx="5">
                  <c:v>0.55294117647058827</c:v>
                </c:pt>
                <c:pt idx="6">
                  <c:v>0.69411764705882351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C-43AC-8330-E08CCC3B1A5D}"/>
            </c:ext>
          </c:extLst>
        </c:ser>
        <c:ser>
          <c:idx val="3"/>
          <c:order val="3"/>
          <c:tx>
            <c:strRef>
              <c:f>FORMIGA!$P$1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FORMIGA!$P$2:$P$9</c:f>
              <c:numCache>
                <c:formatCode>0.00</c:formatCode>
                <c:ptCount val="8"/>
                <c:pt idx="0">
                  <c:v>2.0833333333333332E-2</c:v>
                </c:pt>
                <c:pt idx="1">
                  <c:v>6.25E-2</c:v>
                </c:pt>
                <c:pt idx="2">
                  <c:v>8.3333333333333329E-2</c:v>
                </c:pt>
                <c:pt idx="3">
                  <c:v>8.3333333333333329E-2</c:v>
                </c:pt>
                <c:pt idx="4">
                  <c:v>0.125</c:v>
                </c:pt>
                <c:pt idx="5">
                  <c:v>0.27083333333333337</c:v>
                </c:pt>
                <c:pt idx="6">
                  <c:v>0.47916666666666674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6C-43AC-8330-E08CCC3B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69888"/>
        <c:axId val="562875648"/>
      </c:scatterChart>
      <c:valAx>
        <c:axId val="5628698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5648"/>
        <c:crosses val="autoZero"/>
        <c:crossBetween val="midCat"/>
      </c:valAx>
      <c:valAx>
        <c:axId val="562875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ITAÚNA!$J$1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ITAÚNA!$J$2:$J$5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3-4635-A70D-6DCCE1D12B98}"/>
            </c:ext>
          </c:extLst>
        </c:ser>
        <c:ser>
          <c:idx val="1"/>
          <c:order val="1"/>
          <c:tx>
            <c:strRef>
              <c:f>ITAÚNA!$K$1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ITAÚNA!$K$2:$K$5</c:f>
              <c:numCache>
                <c:formatCode>0.00</c:formatCode>
                <c:ptCount val="4"/>
                <c:pt idx="0">
                  <c:v>8.5470085470085472E-2</c:v>
                </c:pt>
                <c:pt idx="1">
                  <c:v>0.1623931623931624</c:v>
                </c:pt>
                <c:pt idx="2">
                  <c:v>0.23076923076923078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3-4635-A70D-6DCCE1D12B98}"/>
            </c:ext>
          </c:extLst>
        </c:ser>
        <c:ser>
          <c:idx val="2"/>
          <c:order val="2"/>
          <c:tx>
            <c:strRef>
              <c:f>ITAÚNA!$L$1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ITAÚNA!$L$2:$L$5</c:f>
              <c:numCache>
                <c:formatCode>0.00</c:formatCode>
                <c:ptCount val="4"/>
                <c:pt idx="0">
                  <c:v>0</c:v>
                </c:pt>
                <c:pt idx="1">
                  <c:v>4.2553191489361701E-2</c:v>
                </c:pt>
                <c:pt idx="2">
                  <c:v>0.27659574468085107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E3-4635-A70D-6DCCE1D12B98}"/>
            </c:ext>
          </c:extLst>
        </c:ser>
        <c:ser>
          <c:idx val="3"/>
          <c:order val="3"/>
          <c:tx>
            <c:strRef>
              <c:f>ITAÚNA!$M$1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ITAÚNA!$M$2:$M$5</c:f>
              <c:numCache>
                <c:formatCode>0.00</c:formatCode>
                <c:ptCount val="4"/>
                <c:pt idx="0">
                  <c:v>3.4482758620689655E-2</c:v>
                </c:pt>
                <c:pt idx="1">
                  <c:v>8.6206896551724144E-2</c:v>
                </c:pt>
                <c:pt idx="2">
                  <c:v>0.2413793103448276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E3-4635-A70D-6DCCE1D12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59664"/>
        <c:axId val="366051984"/>
      </c:scatterChart>
      <c:valAx>
        <c:axId val="3660596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1984"/>
        <c:crosses val="autoZero"/>
        <c:crossBetween val="midCat"/>
      </c:valAx>
      <c:valAx>
        <c:axId val="366051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ITAÚNA!$J$1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ITAÚNA!$J$2:$J$5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BD-4005-B8E0-19547202F67A}"/>
            </c:ext>
          </c:extLst>
        </c:ser>
        <c:ser>
          <c:idx val="1"/>
          <c:order val="1"/>
          <c:tx>
            <c:strRef>
              <c:f>ITAÚNA!$N$1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ITAÚNA!$N$2:$N$5</c:f>
              <c:numCache>
                <c:formatCode>0.00</c:formatCode>
                <c:ptCount val="4"/>
                <c:pt idx="0">
                  <c:v>0.1076923076923077</c:v>
                </c:pt>
                <c:pt idx="1">
                  <c:v>0.13846153846153847</c:v>
                </c:pt>
                <c:pt idx="2">
                  <c:v>0.33846153846153848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BD-4005-B8E0-19547202F67A}"/>
            </c:ext>
          </c:extLst>
        </c:ser>
        <c:ser>
          <c:idx val="2"/>
          <c:order val="2"/>
          <c:tx>
            <c:strRef>
              <c:f>ITAÚNA!$O$1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ITAÚNA!$O$2:$O$5</c:f>
              <c:numCache>
                <c:formatCode>0.00</c:formatCode>
                <c:ptCount val="4"/>
                <c:pt idx="0">
                  <c:v>0.10294117647058823</c:v>
                </c:pt>
                <c:pt idx="1">
                  <c:v>0.23529411764705882</c:v>
                </c:pt>
                <c:pt idx="2">
                  <c:v>0.50735294117647056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BD-4005-B8E0-19547202F67A}"/>
            </c:ext>
          </c:extLst>
        </c:ser>
        <c:ser>
          <c:idx val="3"/>
          <c:order val="3"/>
          <c:tx>
            <c:strRef>
              <c:f>ITAÚNA!$P$1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ITAÚNA!$P$2:$P$5</c:f>
              <c:numCache>
                <c:formatCode>0.00</c:formatCode>
                <c:ptCount val="4"/>
                <c:pt idx="0">
                  <c:v>7.407407407407407E-2</c:v>
                </c:pt>
                <c:pt idx="1">
                  <c:v>0.35185185185185186</c:v>
                </c:pt>
                <c:pt idx="2">
                  <c:v>0.46296296296296297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BD-4005-B8E0-19547202F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14000"/>
        <c:axId val="2001012080"/>
      </c:scatterChart>
      <c:valAx>
        <c:axId val="2001014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2080"/>
        <c:crosses val="autoZero"/>
        <c:crossBetween val="midCat"/>
      </c:valAx>
      <c:valAx>
        <c:axId val="200101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'LAGOA DA PRATA - STO ANT MONTE'!$J$1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MONTE'!$J$2:$J$6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B-4FA9-BE4A-7E71780DB94C}"/>
            </c:ext>
          </c:extLst>
        </c:ser>
        <c:ser>
          <c:idx val="1"/>
          <c:order val="1"/>
          <c:tx>
            <c:strRef>
              <c:f>'LAGOA DA PRATA - STO ANT MONTE'!$K$1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MONTE'!$K$2:$K$6</c:f>
              <c:numCache>
                <c:formatCode>0.00</c:formatCode>
                <c:ptCount val="5"/>
                <c:pt idx="0">
                  <c:v>1.1764705882352941E-2</c:v>
                </c:pt>
                <c:pt idx="1">
                  <c:v>5.8823529411764705E-2</c:v>
                </c:pt>
                <c:pt idx="2">
                  <c:v>0.37647058823529411</c:v>
                </c:pt>
                <c:pt idx="3">
                  <c:v>0.58823529411764708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DB-4FA9-BE4A-7E71780DB94C}"/>
            </c:ext>
          </c:extLst>
        </c:ser>
        <c:ser>
          <c:idx val="2"/>
          <c:order val="2"/>
          <c:tx>
            <c:strRef>
              <c:f>'LAGOA DA PRATA - STO ANT MONTE'!$L$1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MONTE'!$L$2:$L$6</c:f>
              <c:numCache>
                <c:formatCode>0.00</c:formatCode>
                <c:ptCount val="5"/>
                <c:pt idx="0">
                  <c:v>1.8518518518518517E-2</c:v>
                </c:pt>
                <c:pt idx="1">
                  <c:v>1.8518518518518517E-2</c:v>
                </c:pt>
                <c:pt idx="2">
                  <c:v>0.18518518518518517</c:v>
                </c:pt>
                <c:pt idx="3">
                  <c:v>0.53703703703703698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DB-4FA9-BE4A-7E71780DB94C}"/>
            </c:ext>
          </c:extLst>
        </c:ser>
        <c:ser>
          <c:idx val="3"/>
          <c:order val="3"/>
          <c:tx>
            <c:strRef>
              <c:f>'LAGOA DA PRATA - STO ANT MONTE'!$M$1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MONTE'!$M$2:$M$6</c:f>
              <c:numCache>
                <c:formatCode>0.00</c:formatCode>
                <c:ptCount val="5"/>
                <c:pt idx="0">
                  <c:v>2.247191011235955E-2</c:v>
                </c:pt>
                <c:pt idx="1">
                  <c:v>4.49438202247191E-2</c:v>
                </c:pt>
                <c:pt idx="2">
                  <c:v>0.12359550561797752</c:v>
                </c:pt>
                <c:pt idx="3">
                  <c:v>0.4382022471910112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DB-4FA9-BE4A-7E71780DB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46080"/>
        <c:axId val="624743680"/>
      </c:scatterChart>
      <c:valAx>
        <c:axId val="624746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743680"/>
        <c:crosses val="autoZero"/>
        <c:crossBetween val="midCat"/>
      </c:valAx>
      <c:valAx>
        <c:axId val="62474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74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'LAGOA DA PRATA - STO ANT MONTE'!$J$1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MONTE'!$J$2:$J$6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30-43AA-8939-98C1CACD6CF4}"/>
            </c:ext>
          </c:extLst>
        </c:ser>
        <c:ser>
          <c:idx val="1"/>
          <c:order val="1"/>
          <c:tx>
            <c:strRef>
              <c:f>'LAGOA DA PRATA - STO ANT MONTE'!$N$1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MONTE'!$N$2:$N$6</c:f>
              <c:numCache>
                <c:formatCode>0.00</c:formatCode>
                <c:ptCount val="5"/>
                <c:pt idx="0">
                  <c:v>1.7621145374449341E-2</c:v>
                </c:pt>
                <c:pt idx="1">
                  <c:v>5.2863436123348026E-2</c:v>
                </c:pt>
                <c:pt idx="2">
                  <c:v>0.2114537444933921</c:v>
                </c:pt>
                <c:pt idx="3">
                  <c:v>0.4361233480176212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30-43AA-8939-98C1CACD6CF4}"/>
            </c:ext>
          </c:extLst>
        </c:ser>
        <c:ser>
          <c:idx val="2"/>
          <c:order val="2"/>
          <c:tx>
            <c:strRef>
              <c:f>'LAGOA DA PRATA - STO ANT MONTE'!$O$1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MONTE'!$O$2:$O$6</c:f>
              <c:numCache>
                <c:formatCode>0.00</c:formatCode>
                <c:ptCount val="5"/>
                <c:pt idx="0">
                  <c:v>0</c:v>
                </c:pt>
                <c:pt idx="1">
                  <c:v>2.247191011235955E-2</c:v>
                </c:pt>
                <c:pt idx="2">
                  <c:v>0.21348314606741572</c:v>
                </c:pt>
                <c:pt idx="3">
                  <c:v>0.5449438202247191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30-43AA-8939-98C1CACD6CF4}"/>
            </c:ext>
          </c:extLst>
        </c:ser>
        <c:ser>
          <c:idx val="3"/>
          <c:order val="3"/>
          <c:tx>
            <c:strRef>
              <c:f>'LAGOA DA PRATA - STO ANT MONTE'!$P$1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MONTE'!$P$2:$P$6</c:f>
              <c:numCache>
                <c:formatCode>0.00</c:formatCode>
                <c:ptCount val="5"/>
                <c:pt idx="0">
                  <c:v>1.0869565217391304E-2</c:v>
                </c:pt>
                <c:pt idx="1">
                  <c:v>3.2608695652173912E-2</c:v>
                </c:pt>
                <c:pt idx="2">
                  <c:v>0.32608695652173914</c:v>
                </c:pt>
                <c:pt idx="3">
                  <c:v>0.53260869565217395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30-43AA-8939-98C1CACD6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87168"/>
        <c:axId val="562890528"/>
      </c:scatterChart>
      <c:valAx>
        <c:axId val="562887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90528"/>
        <c:crosses val="autoZero"/>
        <c:crossBetween val="midCat"/>
      </c:valAx>
      <c:valAx>
        <c:axId val="562890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8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'OLIVEIRA - STO ANT DO AMPARO'!$J$1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AMPARO'!$J$2:$J$7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06-4A3A-A953-C2342C1A056A}"/>
            </c:ext>
          </c:extLst>
        </c:ser>
        <c:ser>
          <c:idx val="1"/>
          <c:order val="1"/>
          <c:tx>
            <c:strRef>
              <c:f>'OLIVEIRA - STO ANT DO AMPARO'!$K$1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AMPARO'!$K$2:$K$7</c:f>
              <c:numCache>
                <c:formatCode>0.00</c:formatCode>
                <c:ptCount val="6"/>
                <c:pt idx="0">
                  <c:v>7.2847682119205295E-2</c:v>
                </c:pt>
                <c:pt idx="1">
                  <c:v>0.13907284768211919</c:v>
                </c:pt>
                <c:pt idx="2">
                  <c:v>0.17880794701986755</c:v>
                </c:pt>
                <c:pt idx="3">
                  <c:v>0.39735099337748347</c:v>
                </c:pt>
                <c:pt idx="4">
                  <c:v>0.49668874172185434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06-4A3A-A953-C2342C1A056A}"/>
            </c:ext>
          </c:extLst>
        </c:ser>
        <c:ser>
          <c:idx val="2"/>
          <c:order val="2"/>
          <c:tx>
            <c:strRef>
              <c:f>'OLIVEIRA - STO ANT DO AMPARO'!$L$1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AMPARO'!$L$2:$L$7</c:f>
              <c:numCache>
                <c:formatCode>0.00</c:formatCode>
                <c:ptCount val="6"/>
                <c:pt idx="0">
                  <c:v>0.11688311688311688</c:v>
                </c:pt>
                <c:pt idx="1">
                  <c:v>0.12987012987012986</c:v>
                </c:pt>
                <c:pt idx="2">
                  <c:v>0.18181818181818182</c:v>
                </c:pt>
                <c:pt idx="3">
                  <c:v>0.37662337662337664</c:v>
                </c:pt>
                <c:pt idx="4">
                  <c:v>0.53246753246753253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06-4A3A-A953-C2342C1A056A}"/>
            </c:ext>
          </c:extLst>
        </c:ser>
        <c:ser>
          <c:idx val="3"/>
          <c:order val="3"/>
          <c:tx>
            <c:strRef>
              <c:f>'OLIVEIRA - STO ANT DO AMPARO'!$M$1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AMPARO'!$M$2:$M$7</c:f>
              <c:numCache>
                <c:formatCode>0.00</c:formatCode>
                <c:ptCount val="6"/>
                <c:pt idx="0">
                  <c:v>7.1428571428571425E-2</c:v>
                </c:pt>
                <c:pt idx="1">
                  <c:v>7.1428571428571425E-2</c:v>
                </c:pt>
                <c:pt idx="2">
                  <c:v>0.10714285714285714</c:v>
                </c:pt>
                <c:pt idx="3">
                  <c:v>0.33333333333333331</c:v>
                </c:pt>
                <c:pt idx="4">
                  <c:v>0.47619047619047616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06-4A3A-A953-C2342C1A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2768"/>
        <c:axId val="562867488"/>
      </c:scatterChart>
      <c:valAx>
        <c:axId val="562872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7488"/>
        <c:crosses val="autoZero"/>
        <c:crossBetween val="midCat"/>
      </c:valAx>
      <c:valAx>
        <c:axId val="562867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'OLIVEIRA - STO ANT DO AMPARO'!$J$1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AMPARO'!$J$2:$J$7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7-40A1-B45C-690E34D504A4}"/>
            </c:ext>
          </c:extLst>
        </c:ser>
        <c:ser>
          <c:idx val="1"/>
          <c:order val="1"/>
          <c:tx>
            <c:strRef>
              <c:f>'OLIVEIRA - STO ANT DO AMPARO'!$N$1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AMPARO'!$N$2:$N$7</c:f>
              <c:numCache>
                <c:formatCode>0.00</c:formatCode>
                <c:ptCount val="6"/>
                <c:pt idx="0">
                  <c:v>4.0540540540540543E-2</c:v>
                </c:pt>
                <c:pt idx="1">
                  <c:v>8.7837837837837843E-2</c:v>
                </c:pt>
                <c:pt idx="2">
                  <c:v>0.1891891891891892</c:v>
                </c:pt>
                <c:pt idx="3">
                  <c:v>0.41216216216216217</c:v>
                </c:pt>
                <c:pt idx="4">
                  <c:v>0.52702702702702708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7-40A1-B45C-690E34D504A4}"/>
            </c:ext>
          </c:extLst>
        </c:ser>
        <c:ser>
          <c:idx val="2"/>
          <c:order val="2"/>
          <c:tx>
            <c:strRef>
              <c:f>'OLIVEIRA - STO ANT DO AMPARO'!$O$1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AMPARO'!$O$2:$O$7</c:f>
              <c:numCache>
                <c:formatCode>0.00</c:formatCode>
                <c:ptCount val="6"/>
                <c:pt idx="0">
                  <c:v>0.15454545454545454</c:v>
                </c:pt>
                <c:pt idx="1">
                  <c:v>0.22727272727272727</c:v>
                </c:pt>
                <c:pt idx="2">
                  <c:v>0.2818181818181818</c:v>
                </c:pt>
                <c:pt idx="3">
                  <c:v>0.5636363636363636</c:v>
                </c:pt>
                <c:pt idx="4">
                  <c:v>0.68181818181818177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C7-40A1-B45C-690E34D504A4}"/>
            </c:ext>
          </c:extLst>
        </c:ser>
        <c:ser>
          <c:idx val="3"/>
          <c:order val="3"/>
          <c:tx>
            <c:strRef>
              <c:f>'OLIVEIRA - STO ANT DO AMPARO'!$P$1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AMPARO'!$P$2:$P$7</c:f>
              <c:numCache>
                <c:formatCode>0.00</c:formatCode>
                <c:ptCount val="6"/>
                <c:pt idx="0">
                  <c:v>7.407407407407407E-2</c:v>
                </c:pt>
                <c:pt idx="1">
                  <c:v>0.25925925925925924</c:v>
                </c:pt>
                <c:pt idx="2">
                  <c:v>0.37037037037037035</c:v>
                </c:pt>
                <c:pt idx="3">
                  <c:v>0.55555555555555558</c:v>
                </c:pt>
                <c:pt idx="4">
                  <c:v>0.68518518518518523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C7-40A1-B45C-690E34D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7296"/>
        <c:axId val="309834416"/>
      </c:scatterChart>
      <c:valAx>
        <c:axId val="309837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4416"/>
        <c:crosses val="autoZero"/>
        <c:crossBetween val="midCat"/>
      </c:valAx>
      <c:valAx>
        <c:axId val="309834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'PARÁ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MINAS'!$J$2:$J$9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0-46CE-AABA-1A8E0CDEDAEB}"/>
            </c:ext>
          </c:extLst>
        </c:ser>
        <c:ser>
          <c:idx val="1"/>
          <c:order val="1"/>
          <c:tx>
            <c:strRef>
              <c:f>'PARÁ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MINAS'!$K$2:$K$9</c:f>
              <c:numCache>
                <c:formatCode>0.00</c:formatCode>
                <c:ptCount val="8"/>
                <c:pt idx="0">
                  <c:v>6.4056939501779361E-2</c:v>
                </c:pt>
                <c:pt idx="1">
                  <c:v>6.4056939501779361E-2</c:v>
                </c:pt>
                <c:pt idx="2">
                  <c:v>0.12099644128113879</c:v>
                </c:pt>
                <c:pt idx="3">
                  <c:v>0.14590747330960854</c:v>
                </c:pt>
                <c:pt idx="4">
                  <c:v>0.18505338078291816</c:v>
                </c:pt>
                <c:pt idx="5">
                  <c:v>0.25622775800711745</c:v>
                </c:pt>
                <c:pt idx="6">
                  <c:v>0.72953736654804269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80-46CE-AABA-1A8E0CDEDAEB}"/>
            </c:ext>
          </c:extLst>
        </c:ser>
        <c:ser>
          <c:idx val="2"/>
          <c:order val="2"/>
          <c:tx>
            <c:strRef>
              <c:f>'PARÁ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MINAS'!$L$2:$L$9</c:f>
              <c:numCache>
                <c:formatCode>0.00</c:formatCode>
                <c:ptCount val="8"/>
                <c:pt idx="0">
                  <c:v>1.3605442176870748E-2</c:v>
                </c:pt>
                <c:pt idx="1">
                  <c:v>2.7210884353741496E-2</c:v>
                </c:pt>
                <c:pt idx="2">
                  <c:v>7.4829931972789115E-2</c:v>
                </c:pt>
                <c:pt idx="3">
                  <c:v>7.4829931972789115E-2</c:v>
                </c:pt>
                <c:pt idx="4">
                  <c:v>0.108843537414966</c:v>
                </c:pt>
                <c:pt idx="5">
                  <c:v>0.17006802721088438</c:v>
                </c:pt>
                <c:pt idx="6">
                  <c:v>0.6462585034013606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80-46CE-AABA-1A8E0CDEDAEB}"/>
            </c:ext>
          </c:extLst>
        </c:ser>
        <c:ser>
          <c:idx val="3"/>
          <c:order val="3"/>
          <c:tx>
            <c:strRef>
              <c:f>'PARÁ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MINAS'!$M$2:$M$9</c:f>
              <c:numCache>
                <c:formatCode>0.00</c:formatCode>
                <c:ptCount val="8"/>
                <c:pt idx="0">
                  <c:v>5.2023121387283239E-2</c:v>
                </c:pt>
                <c:pt idx="1">
                  <c:v>5.7803468208092484E-2</c:v>
                </c:pt>
                <c:pt idx="2">
                  <c:v>0.11560693641618497</c:v>
                </c:pt>
                <c:pt idx="3">
                  <c:v>0.13294797687861271</c:v>
                </c:pt>
                <c:pt idx="4">
                  <c:v>0.18497109826589594</c:v>
                </c:pt>
                <c:pt idx="5">
                  <c:v>0.21965317919075145</c:v>
                </c:pt>
                <c:pt idx="6">
                  <c:v>0.75722543352601157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80-46CE-AABA-1A8E0CDE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83328"/>
        <c:axId val="562891008"/>
      </c:scatterChart>
      <c:valAx>
        <c:axId val="5628833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91008"/>
        <c:crosses val="autoZero"/>
        <c:crossBetween val="midCat"/>
      </c:valAx>
      <c:valAx>
        <c:axId val="562891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8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'PARÁ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MINAS'!$J$2:$J$9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BD-43A6-9C30-D27A759CA6D5}"/>
            </c:ext>
          </c:extLst>
        </c:ser>
        <c:ser>
          <c:idx val="1"/>
          <c:order val="1"/>
          <c:tx>
            <c:strRef>
              <c:f>'PARÁ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MINAS'!$N$2:$N$9</c:f>
              <c:numCache>
                <c:formatCode>0.00</c:formatCode>
                <c:ptCount val="8"/>
                <c:pt idx="0">
                  <c:v>1.3192612137203167E-2</c:v>
                </c:pt>
                <c:pt idx="1">
                  <c:v>1.3192612137203167E-2</c:v>
                </c:pt>
                <c:pt idx="2">
                  <c:v>2.6385224274406333E-2</c:v>
                </c:pt>
                <c:pt idx="3">
                  <c:v>3.9577836411609502E-2</c:v>
                </c:pt>
                <c:pt idx="4">
                  <c:v>6.0686015831134567E-2</c:v>
                </c:pt>
                <c:pt idx="5">
                  <c:v>0.15039577836411611</c:v>
                </c:pt>
                <c:pt idx="6">
                  <c:v>0.66490765171503963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BD-43A6-9C30-D27A759CA6D5}"/>
            </c:ext>
          </c:extLst>
        </c:ser>
        <c:ser>
          <c:idx val="2"/>
          <c:order val="2"/>
          <c:tx>
            <c:strRef>
              <c:f>'PARÁ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MINAS'!$O$2:$O$9</c:f>
              <c:numCache>
                <c:formatCode>0.00</c:formatCode>
                <c:ptCount val="8"/>
                <c:pt idx="0">
                  <c:v>2.903225806451613E-2</c:v>
                </c:pt>
                <c:pt idx="1">
                  <c:v>3.2258064516129031E-2</c:v>
                </c:pt>
                <c:pt idx="2">
                  <c:v>5.8064516129032254E-2</c:v>
                </c:pt>
                <c:pt idx="3">
                  <c:v>7.0967741935483872E-2</c:v>
                </c:pt>
                <c:pt idx="4">
                  <c:v>0.14193548387096774</c:v>
                </c:pt>
                <c:pt idx="5">
                  <c:v>0.20967741935483872</c:v>
                </c:pt>
                <c:pt idx="6">
                  <c:v>0.60322580645161294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BD-43A6-9C30-D27A759CA6D5}"/>
            </c:ext>
          </c:extLst>
        </c:ser>
        <c:ser>
          <c:idx val="3"/>
          <c:order val="3"/>
          <c:tx>
            <c:strRef>
              <c:f>'PARÁ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MINAS'!$P$2:$P$9</c:f>
              <c:numCache>
                <c:formatCode>0.00</c:formatCode>
                <c:ptCount val="8"/>
                <c:pt idx="0">
                  <c:v>1.4423076923076924E-2</c:v>
                </c:pt>
                <c:pt idx="1">
                  <c:v>1.4423076923076924E-2</c:v>
                </c:pt>
                <c:pt idx="2">
                  <c:v>7.2115384615384623E-2</c:v>
                </c:pt>
                <c:pt idx="3">
                  <c:v>8.653846153846155E-2</c:v>
                </c:pt>
                <c:pt idx="4">
                  <c:v>0.15384615384615385</c:v>
                </c:pt>
                <c:pt idx="5">
                  <c:v>0.21153846153846156</c:v>
                </c:pt>
                <c:pt idx="6">
                  <c:v>0.72115384615384615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BD-43A6-9C30-D27A759CA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30240"/>
        <c:axId val="1918631200"/>
      </c:scatterChart>
      <c:valAx>
        <c:axId val="19186302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31200"/>
        <c:crosses val="autoZero"/>
        <c:crossBetween val="midCat"/>
      </c:valAx>
      <c:valAx>
        <c:axId val="19186312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30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251460</xdr:colOff>
      <xdr:row>0</xdr:row>
      <xdr:rowOff>163830</xdr:rowOff>
    </xdr:from>
    <xdr:to>
      <xdr:col>23</xdr:col>
      <xdr:colOff>556260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35C110C-045D-F200-510A-FAC5E9D76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13</xdr:row>
      <xdr:rowOff>140970</xdr:rowOff>
    </xdr:from>
    <xdr:to>
      <xdr:col>23</xdr:col>
      <xdr:colOff>571500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1568632-3E60-A22C-553D-EA6976951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49530</xdr:rowOff>
    </xdr:from>
    <xdr:to>
      <xdr:col>23</xdr:col>
      <xdr:colOff>388620</xdr:colOff>
      <xdr:row>12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CFD48B-ED60-24AB-FD34-76B334E0C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26670</xdr:rowOff>
    </xdr:from>
    <xdr:to>
      <xdr:col>23</xdr:col>
      <xdr:colOff>396240</xdr:colOff>
      <xdr:row>28</xdr:row>
      <xdr:rowOff>26670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5A9DD3-BFAD-882B-5201-B97127239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3810</xdr:rowOff>
    </xdr:from>
    <xdr:to>
      <xdr:col>23</xdr:col>
      <xdr:colOff>365760</xdr:colOff>
      <xdr:row>12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88D4A7-3739-63D2-3101-32F1D535C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12</xdr:row>
      <xdr:rowOff>110490</xdr:rowOff>
    </xdr:from>
    <xdr:to>
      <xdr:col>23</xdr:col>
      <xdr:colOff>373380</xdr:colOff>
      <xdr:row>27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811F68-A070-BED7-15A8-ECAAE7110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</xdr:colOff>
      <xdr:row>0</xdr:row>
      <xdr:rowOff>34290</xdr:rowOff>
    </xdr:from>
    <xdr:to>
      <xdr:col>23</xdr:col>
      <xdr:colOff>335280</xdr:colOff>
      <xdr:row>12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0CD71DC-8F1B-187C-8567-31F80EBC3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12</xdr:row>
      <xdr:rowOff>163830</xdr:rowOff>
    </xdr:from>
    <xdr:to>
      <xdr:col>23</xdr:col>
      <xdr:colOff>327660</xdr:colOff>
      <xdr:row>27</xdr:row>
      <xdr:rowOff>163830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3707EB5-2527-F4AD-2AB2-0571D48C0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26670</xdr:rowOff>
    </xdr:from>
    <xdr:to>
      <xdr:col>23</xdr:col>
      <xdr:colOff>381000</xdr:colOff>
      <xdr:row>12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57B5AA-13C6-58CB-6D08-5ADDCB16F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118110</xdr:rowOff>
    </xdr:from>
    <xdr:to>
      <xdr:col>23</xdr:col>
      <xdr:colOff>365760</xdr:colOff>
      <xdr:row>27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E0BEFA-4206-D613-BEC4-1BF146095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0</xdr:row>
      <xdr:rowOff>57150</xdr:rowOff>
    </xdr:from>
    <xdr:to>
      <xdr:col>23</xdr:col>
      <xdr:colOff>358140</xdr:colOff>
      <xdr:row>12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8CC25B-B2CE-E240-54CE-A3AD6F99A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</xdr:colOff>
      <xdr:row>12</xdr:row>
      <xdr:rowOff>163830</xdr:rowOff>
    </xdr:from>
    <xdr:to>
      <xdr:col>23</xdr:col>
      <xdr:colOff>358140</xdr:colOff>
      <xdr:row>27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1DF764-5F5C-1EEA-4418-572D845F1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41910</xdr:rowOff>
    </xdr:from>
    <xdr:to>
      <xdr:col>23</xdr:col>
      <xdr:colOff>381000</xdr:colOff>
      <xdr:row>12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DFDC0B-BDEF-1BBF-3A69-F56B1A5A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12</xdr:row>
      <xdr:rowOff>148590</xdr:rowOff>
    </xdr:from>
    <xdr:to>
      <xdr:col>23</xdr:col>
      <xdr:colOff>396240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FF21071-0E62-EAD7-508E-A914EDE39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49530</xdr:rowOff>
    </xdr:from>
    <xdr:to>
      <xdr:col>23</xdr:col>
      <xdr:colOff>381000</xdr:colOff>
      <xdr:row>12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64D0CF0-73AD-A624-AE83-AE4C2C849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148590</xdr:rowOff>
    </xdr:from>
    <xdr:to>
      <xdr:col>23</xdr:col>
      <xdr:colOff>365760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EF6823-A361-6C12-1BEB-82016C214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A832-1F05-4FB0-A63E-5A831ED95D63}">
  <dimension ref="A1:P19"/>
  <sheetViews>
    <sheetView tabSelected="1" workbookViewId="0">
      <selection activeCell="A12" sqref="A1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6</v>
      </c>
      <c r="B2" s="14">
        <v>7.1095291665898234E-3</v>
      </c>
      <c r="C2" s="14">
        <v>4.048582995951417E-3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8">
        <v>7.1095291665898234E-3</v>
      </c>
      <c r="J2" s="15">
        <v>7.1095291665898234E-3</v>
      </c>
      <c r="K2" s="15">
        <v>4.048582995951417E-3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</row>
    <row r="3" spans="1:16" x14ac:dyDescent="0.3">
      <c r="A3" s="8" t="s">
        <v>2</v>
      </c>
      <c r="B3" s="14">
        <v>3.2117367168913558E-2</v>
      </c>
      <c r="C3" s="14">
        <v>5.2631578947368418E-2</v>
      </c>
      <c r="D3" s="14">
        <v>3.8167938931297711E-2</v>
      </c>
      <c r="E3" s="14">
        <v>0.14117647058823529</v>
      </c>
      <c r="F3" s="14">
        <v>2.0527859237536656E-2</v>
      </c>
      <c r="G3" s="14">
        <v>3.5353535353535352E-2</v>
      </c>
      <c r="H3" s="14">
        <v>2.2727272727272728E-2</v>
      </c>
      <c r="I3" s="8">
        <v>3.9226896335503379E-2</v>
      </c>
      <c r="J3" s="8">
        <f>J2+B3</f>
        <v>3.9226896335503379E-2</v>
      </c>
      <c r="K3" s="8">
        <f t="shared" ref="K3:P8" si="0">K2+C3</f>
        <v>5.6680161943319832E-2</v>
      </c>
      <c r="L3" s="8">
        <f t="shared" si="0"/>
        <v>3.8167938931297711E-2</v>
      </c>
      <c r="M3" s="8">
        <f t="shared" si="0"/>
        <v>0.14117647058823529</v>
      </c>
      <c r="N3" s="8">
        <f t="shared" si="0"/>
        <v>2.0527859237536656E-2</v>
      </c>
      <c r="O3" s="8">
        <f t="shared" si="0"/>
        <v>3.5353535353535352E-2</v>
      </c>
      <c r="P3" s="8">
        <f t="shared" si="0"/>
        <v>2.2727272727272728E-2</v>
      </c>
    </row>
    <row r="4" spans="1:16" x14ac:dyDescent="0.3">
      <c r="A4" s="8" t="s">
        <v>5</v>
      </c>
      <c r="B4" s="14">
        <v>6.9979528982166236E-2</v>
      </c>
      <c r="C4" s="14">
        <v>5.2631578947368418E-2</v>
      </c>
      <c r="D4" s="14">
        <v>4.5801526717557252E-2</v>
      </c>
      <c r="E4" s="14">
        <v>0.12941176470588237</v>
      </c>
      <c r="F4" s="14">
        <v>3.8123167155425221E-2</v>
      </c>
      <c r="G4" s="14">
        <v>5.5555555555555552E-2</v>
      </c>
      <c r="H4" s="14">
        <v>0.17045454545454544</v>
      </c>
      <c r="I4" s="8">
        <v>0.10920642531766961</v>
      </c>
      <c r="J4" s="8">
        <f t="shared" ref="J4:J8" si="1">J3+B4</f>
        <v>0.10920642531766961</v>
      </c>
      <c r="K4" s="8">
        <f t="shared" si="0"/>
        <v>0.10931174089068825</v>
      </c>
      <c r="L4" s="8">
        <f t="shared" si="0"/>
        <v>8.3969465648854963E-2</v>
      </c>
      <c r="M4" s="8">
        <f t="shared" si="0"/>
        <v>0.27058823529411768</v>
      </c>
      <c r="N4" s="8">
        <f t="shared" si="0"/>
        <v>5.865102639296188E-2</v>
      </c>
      <c r="O4" s="8">
        <f t="shared" si="0"/>
        <v>9.0909090909090912E-2</v>
      </c>
      <c r="P4" s="8">
        <f t="shared" si="0"/>
        <v>0.19318181818181818</v>
      </c>
    </row>
    <row r="5" spans="1:16" x14ac:dyDescent="0.3">
      <c r="A5" s="8" t="s">
        <v>1</v>
      </c>
      <c r="B5" s="14">
        <v>0.12331482950039652</v>
      </c>
      <c r="C5" s="14">
        <v>8.5020242914979755E-2</v>
      </c>
      <c r="D5" s="14">
        <v>0.17557251908396945</v>
      </c>
      <c r="E5" s="14">
        <v>0.21176470588235294</v>
      </c>
      <c r="F5" s="14">
        <v>0.13196480938416422</v>
      </c>
      <c r="G5" s="14">
        <v>0.18181818181818182</v>
      </c>
      <c r="H5" s="14">
        <v>0.13636363636363635</v>
      </c>
      <c r="I5" s="8">
        <v>0.23252125481806613</v>
      </c>
      <c r="J5" s="8">
        <f t="shared" si="1"/>
        <v>0.23252125481806613</v>
      </c>
      <c r="K5" s="8">
        <f t="shared" si="0"/>
        <v>0.19433198380566802</v>
      </c>
      <c r="L5" s="8">
        <f t="shared" si="0"/>
        <v>0.25954198473282442</v>
      </c>
      <c r="M5" s="8">
        <f t="shared" si="0"/>
        <v>0.48235294117647065</v>
      </c>
      <c r="N5" s="8">
        <f t="shared" si="0"/>
        <v>0.1906158357771261</v>
      </c>
      <c r="O5" s="8">
        <f t="shared" si="0"/>
        <v>0.27272727272727271</v>
      </c>
      <c r="P5" s="8">
        <f t="shared" si="0"/>
        <v>0.32954545454545453</v>
      </c>
    </row>
    <row r="6" spans="1:16" x14ac:dyDescent="0.3">
      <c r="A6" s="8" t="s">
        <v>4</v>
      </c>
      <c r="B6" s="14">
        <v>0.1244582557217417</v>
      </c>
      <c r="C6" s="14">
        <v>4.048582995951417E-2</v>
      </c>
      <c r="D6" s="14">
        <v>3.8167938931297711E-2</v>
      </c>
      <c r="E6" s="14">
        <v>2.3529411764705882E-2</v>
      </c>
      <c r="F6" s="14">
        <v>0.14076246334310852</v>
      </c>
      <c r="G6" s="14">
        <v>0.17171717171717171</v>
      </c>
      <c r="H6" s="14">
        <v>5.6818181818181816E-2</v>
      </c>
      <c r="I6" s="8">
        <v>0.35697951053980781</v>
      </c>
      <c r="J6" s="8">
        <f t="shared" si="1"/>
        <v>0.35697951053980781</v>
      </c>
      <c r="K6" s="8">
        <f t="shared" si="0"/>
        <v>0.23481781376518218</v>
      </c>
      <c r="L6" s="8">
        <f t="shared" si="0"/>
        <v>0.29770992366412213</v>
      </c>
      <c r="M6" s="8">
        <f t="shared" si="0"/>
        <v>0.50588235294117656</v>
      </c>
      <c r="N6" s="8">
        <f t="shared" si="0"/>
        <v>0.33137829912023464</v>
      </c>
      <c r="O6" s="8">
        <f t="shared" si="0"/>
        <v>0.44444444444444442</v>
      </c>
      <c r="P6" s="8">
        <f t="shared" si="0"/>
        <v>0.38636363636363635</v>
      </c>
    </row>
    <row r="7" spans="1:16" x14ac:dyDescent="0.3">
      <c r="A7" s="8" t="s">
        <v>3</v>
      </c>
      <c r="B7" s="14">
        <v>0.16871991590284566</v>
      </c>
      <c r="C7" s="14">
        <v>8.9068825910931168E-2</v>
      </c>
      <c r="D7" s="14">
        <v>0.18320610687022901</v>
      </c>
      <c r="E7" s="14">
        <v>0.24705882352941178</v>
      </c>
      <c r="F7" s="14">
        <v>9.3841642228739003E-2</v>
      </c>
      <c r="G7" s="14">
        <v>7.575757575757576E-2</v>
      </c>
      <c r="H7" s="14">
        <v>0.125</v>
      </c>
      <c r="I7" s="8">
        <v>0.52569942644265344</v>
      </c>
      <c r="J7" s="8">
        <f t="shared" si="1"/>
        <v>0.52569942644265344</v>
      </c>
      <c r="K7" s="8">
        <f t="shared" si="0"/>
        <v>0.32388663967611336</v>
      </c>
      <c r="L7" s="8">
        <f t="shared" si="0"/>
        <v>0.48091603053435117</v>
      </c>
      <c r="M7" s="8">
        <f t="shared" si="0"/>
        <v>0.75294117647058834</v>
      </c>
      <c r="N7" s="8">
        <f t="shared" si="0"/>
        <v>0.42521994134897367</v>
      </c>
      <c r="O7" s="8">
        <f t="shared" si="0"/>
        <v>0.52020202020202022</v>
      </c>
      <c r="P7" s="8">
        <f t="shared" si="0"/>
        <v>0.51136363636363635</v>
      </c>
    </row>
    <row r="8" spans="1:16" x14ac:dyDescent="0.3">
      <c r="A8" s="8" t="s">
        <v>0</v>
      </c>
      <c r="B8" s="14">
        <v>0.47430057355734651</v>
      </c>
      <c r="C8" s="14">
        <v>0.67611336032388669</v>
      </c>
      <c r="D8" s="14">
        <v>0.51908396946564883</v>
      </c>
      <c r="E8" s="14">
        <v>0.24705882352941178</v>
      </c>
      <c r="F8" s="14">
        <v>0.57478005865102644</v>
      </c>
      <c r="G8" s="14">
        <v>0.47979797979797978</v>
      </c>
      <c r="H8" s="14">
        <v>0.48863636363636365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53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J10" s="7"/>
      <c r="K10" s="9" t="s">
        <v>67</v>
      </c>
      <c r="L10" s="9" t="s">
        <v>68</v>
      </c>
      <c r="M10" s="9" t="s">
        <v>69</v>
      </c>
      <c r="N10" s="9" t="s">
        <v>70</v>
      </c>
      <c r="O10" s="9" t="s">
        <v>71</v>
      </c>
      <c r="P10" s="9" t="s">
        <v>72</v>
      </c>
    </row>
    <row r="11" spans="1:16" x14ac:dyDescent="0.3">
      <c r="B11" s="8" t="s">
        <v>6</v>
      </c>
      <c r="C11" s="8">
        <f>C2-B2</f>
        <v>-3.0609461706384063E-3</v>
      </c>
      <c r="D11" s="8">
        <f>D2-B2</f>
        <v>-7.1095291665898234E-3</v>
      </c>
      <c r="E11" s="8">
        <f>E2-B2</f>
        <v>-7.1095291665898234E-3</v>
      </c>
      <c r="F11" s="8">
        <f>F2-B2</f>
        <v>-7.1095291665898234E-3</v>
      </c>
      <c r="G11" s="8">
        <f>G2-B2</f>
        <v>-7.1095291665898234E-3</v>
      </c>
      <c r="H11" s="8">
        <f>H2-B2</f>
        <v>-7.1095291665898234E-3</v>
      </c>
      <c r="J11" s="8" t="s">
        <v>6</v>
      </c>
      <c r="K11" s="7">
        <f>(J2-0) * ((K2+0))</f>
        <v>2.8783518893076207E-5</v>
      </c>
      <c r="L11" s="7">
        <f>(J2-0) * ((L2+0))</f>
        <v>0</v>
      </c>
      <c r="M11" s="7">
        <f>(J2-0) * ((M2+0))</f>
        <v>0</v>
      </c>
      <c r="N11" s="7">
        <f>(J2-0) * ((N2+0))</f>
        <v>0</v>
      </c>
      <c r="O11" s="7">
        <f>(J2-0) * ((O2+0))</f>
        <v>0</v>
      </c>
      <c r="P11" s="7">
        <f>(J2-0) * ((P2+0))</f>
        <v>0</v>
      </c>
    </row>
    <row r="12" spans="1:16" x14ac:dyDescent="0.3">
      <c r="B12" s="8" t="s">
        <v>2</v>
      </c>
      <c r="C12" s="8">
        <f t="shared" ref="C12:C17" si="2">C3-B3</f>
        <v>2.0514211778454861E-2</v>
      </c>
      <c r="D12" s="8">
        <f t="shared" ref="D12:D17" si="3">D3-B3</f>
        <v>6.0505717623841535E-3</v>
      </c>
      <c r="E12" s="8">
        <f t="shared" ref="E12:E17" si="4">E3-B3</f>
        <v>0.10905910341932173</v>
      </c>
      <c r="F12" s="8">
        <f t="shared" ref="F12:F17" si="5">F3-B3</f>
        <v>-1.1589507931376902E-2</v>
      </c>
      <c r="G12" s="8">
        <f t="shared" ref="G12:G17" si="6">G3-B3</f>
        <v>3.2361681846217946E-3</v>
      </c>
      <c r="H12" s="8">
        <f t="shared" ref="H12:H17" si="7">H3-B3</f>
        <v>-9.3900944416408297E-3</v>
      </c>
      <c r="J12" s="8" t="s">
        <v>2</v>
      </c>
      <c r="K12" s="7">
        <f>(J3-J2) * ((K3+K2))</f>
        <v>1.9504473989218757E-3</v>
      </c>
      <c r="L12" s="7">
        <f>(J3-J2) * ((L3+L2))</f>
        <v>1.2258537087371586E-3</v>
      </c>
      <c r="M12" s="7">
        <f>(J3-J2) * ((M3+M2))</f>
        <v>4.5342165414936787E-3</v>
      </c>
      <c r="N12" s="7">
        <f>(J3-J2) * ((N3+N2))</f>
        <v>6.5930079232373866E-4</v>
      </c>
      <c r="O12" s="7">
        <f>(J3-J2) * ((O3+O2))</f>
        <v>1.135462475668661E-3</v>
      </c>
      <c r="P12" s="7">
        <f>(J3-J2) * ((P3+P2))</f>
        <v>7.2994016292985363E-4</v>
      </c>
    </row>
    <row r="13" spans="1:16" x14ac:dyDescent="0.3">
      <c r="B13" s="8" t="s">
        <v>5</v>
      </c>
      <c r="C13" s="8">
        <f t="shared" si="2"/>
        <v>-1.7347950034797818E-2</v>
      </c>
      <c r="D13" s="8">
        <f t="shared" si="3"/>
        <v>-2.4178002264608985E-2</v>
      </c>
      <c r="E13" s="8">
        <f t="shared" si="4"/>
        <v>5.9432235723716129E-2</v>
      </c>
      <c r="F13" s="8">
        <f t="shared" si="5"/>
        <v>-3.1856361826741016E-2</v>
      </c>
      <c r="G13" s="8">
        <f t="shared" si="6"/>
        <v>-1.4423973426610684E-2</v>
      </c>
      <c r="H13" s="8">
        <f t="shared" si="7"/>
        <v>0.10047501647237921</v>
      </c>
      <c r="J13" s="8" t="s">
        <v>5</v>
      </c>
      <c r="K13" s="7">
        <f t="shared" ref="K13:K17" si="8">(J4-J3) * ((K4+K3))</f>
        <v>1.1616035175177388E-2</v>
      </c>
      <c r="L13" s="7">
        <f t="shared" ref="L13:L17" si="9">(J4-J3) * ((L4+L3))</f>
        <v>8.547118043623356E-3</v>
      </c>
      <c r="M13" s="7">
        <f t="shared" ref="M13:M17" si="10">(J4-J3) * ((M4+M3))</f>
        <v>2.8815100169127271E-2</v>
      </c>
      <c r="N13" s="7">
        <f t="shared" ref="N13:N17" si="11">(J4-J3) * ((N4+N3))</f>
        <v>5.5409011217550964E-3</v>
      </c>
      <c r="O13" s="7">
        <f t="shared" ref="O13:O17" si="12">(J4-J3) * ((O4+O3))</f>
        <v>8.8357991139098764E-3</v>
      </c>
      <c r="P13" s="7">
        <f t="shared" ref="P13:P17" si="13">(J4-J3) * ((P4+P3))</f>
        <v>1.5109216484785888E-2</v>
      </c>
    </row>
    <row r="14" spans="1:16" x14ac:dyDescent="0.3">
      <c r="B14" s="8" t="s">
        <v>1</v>
      </c>
      <c r="C14" s="8">
        <f t="shared" si="2"/>
        <v>-3.8294586585416762E-2</v>
      </c>
      <c r="D14" s="8">
        <f t="shared" si="3"/>
        <v>5.2257689583572936E-2</v>
      </c>
      <c r="E14" s="8">
        <f t="shared" si="4"/>
        <v>8.8449876381956422E-2</v>
      </c>
      <c r="F14" s="8">
        <f t="shared" si="5"/>
        <v>8.6499798837677E-3</v>
      </c>
      <c r="G14" s="8">
        <f t="shared" si="6"/>
        <v>5.8503352317785307E-2</v>
      </c>
      <c r="H14" s="8">
        <f t="shared" si="7"/>
        <v>1.3048806863239837E-2</v>
      </c>
      <c r="J14" s="8" t="s">
        <v>1</v>
      </c>
      <c r="K14" s="7">
        <f t="shared" si="8"/>
        <v>3.7443774139796514E-2</v>
      </c>
      <c r="L14" s="7">
        <f t="shared" si="9"/>
        <v>4.2360055935250711E-2</v>
      </c>
      <c r="M14" s="7">
        <f t="shared" si="10"/>
        <v>9.2848812800298566E-2</v>
      </c>
      <c r="N14" s="7">
        <f t="shared" si="11"/>
        <v>3.0738300608603237E-2</v>
      </c>
      <c r="O14" s="7">
        <f t="shared" si="12"/>
        <v>4.4841756181962372E-2</v>
      </c>
      <c r="P14" s="7">
        <f t="shared" si="13"/>
        <v>6.4460024511570901E-2</v>
      </c>
    </row>
    <row r="15" spans="1:16" x14ac:dyDescent="0.3">
      <c r="B15" s="8" t="s">
        <v>4</v>
      </c>
      <c r="C15" s="8">
        <f t="shared" si="2"/>
        <v>-8.3972425762227521E-2</v>
      </c>
      <c r="D15" s="8">
        <f t="shared" si="3"/>
        <v>-8.6290316790443994E-2</v>
      </c>
      <c r="E15" s="8">
        <f t="shared" si="4"/>
        <v>-0.10092884395703582</v>
      </c>
      <c r="F15" s="8">
        <f t="shared" si="5"/>
        <v>1.630420762136682E-2</v>
      </c>
      <c r="G15" s="8">
        <f t="shared" si="6"/>
        <v>4.7258915995430015E-2</v>
      </c>
      <c r="H15" s="8">
        <f t="shared" si="7"/>
        <v>-6.7640073903559889E-2</v>
      </c>
      <c r="J15" s="8" t="s">
        <v>4</v>
      </c>
      <c r="K15" s="7">
        <f t="shared" si="8"/>
        <v>5.3411235249006553E-2</v>
      </c>
      <c r="L15" s="7">
        <f t="shared" si="9"/>
        <v>6.9354600516695744E-2</v>
      </c>
      <c r="M15" s="7">
        <f t="shared" si="10"/>
        <v>0.12299404094854474</v>
      </c>
      <c r="N15" s="7">
        <f t="shared" si="11"/>
        <v>6.4966479526305035E-2</v>
      </c>
      <c r="O15" s="7">
        <f t="shared" si="12"/>
        <v>8.9257940972158167E-2</v>
      </c>
      <c r="P15" s="7">
        <f t="shared" si="13"/>
        <v>8.9100796709883245E-2</v>
      </c>
    </row>
    <row r="16" spans="1:16" x14ac:dyDescent="0.3">
      <c r="B16" s="8" t="s">
        <v>3</v>
      </c>
      <c r="C16" s="8">
        <f t="shared" si="2"/>
        <v>-7.9651089991914489E-2</v>
      </c>
      <c r="D16" s="8">
        <f t="shared" si="3"/>
        <v>1.448619096738335E-2</v>
      </c>
      <c r="E16" s="8">
        <f t="shared" si="4"/>
        <v>7.8338907626566118E-2</v>
      </c>
      <c r="F16" s="8">
        <f t="shared" si="5"/>
        <v>-7.4878273674106655E-2</v>
      </c>
      <c r="G16" s="8">
        <f t="shared" si="6"/>
        <v>-9.2962340145269898E-2</v>
      </c>
      <c r="H16" s="8">
        <f t="shared" si="7"/>
        <v>-4.3719915902845657E-2</v>
      </c>
      <c r="J16" s="8" t="s">
        <v>3</v>
      </c>
      <c r="K16" s="7">
        <f t="shared" si="8"/>
        <v>9.4264568399160711E-2</v>
      </c>
      <c r="L16" s="7">
        <f t="shared" si="9"/>
        <v>0.13136970551213933</v>
      </c>
      <c r="M16" s="7">
        <f t="shared" si="10"/>
        <v>0.2123886000188763</v>
      </c>
      <c r="N16" s="7">
        <f t="shared" si="11"/>
        <v>0.12765319150420582</v>
      </c>
      <c r="O16" s="7">
        <f t="shared" si="12"/>
        <v>0.16275507039112885</v>
      </c>
      <c r="P16" s="7">
        <f t="shared" si="13"/>
        <v>0.15146446995823643</v>
      </c>
    </row>
    <row r="17" spans="2:16" x14ac:dyDescent="0.3">
      <c r="B17" s="8" t="s">
        <v>0</v>
      </c>
      <c r="C17" s="8">
        <f t="shared" si="2"/>
        <v>0.20181278676654019</v>
      </c>
      <c r="D17" s="8">
        <f t="shared" si="3"/>
        <v>4.4783395908302326E-2</v>
      </c>
      <c r="E17" s="8">
        <f t="shared" si="4"/>
        <v>-0.22724175002793473</v>
      </c>
      <c r="F17" s="8">
        <f t="shared" si="5"/>
        <v>0.10047948509367993</v>
      </c>
      <c r="G17" s="8">
        <f t="shared" si="6"/>
        <v>5.4974062406332735E-3</v>
      </c>
      <c r="H17" s="8">
        <f t="shared" si="7"/>
        <v>1.4335790079017141E-2</v>
      </c>
      <c r="J17" s="8" t="s">
        <v>0</v>
      </c>
      <c r="K17" s="7">
        <f t="shared" si="8"/>
        <v>0.62792019252328879</v>
      </c>
      <c r="L17" s="7">
        <f t="shared" si="9"/>
        <v>0.70239932267271166</v>
      </c>
      <c r="M17" s="7">
        <f t="shared" si="10"/>
        <v>0.8314210054122898</v>
      </c>
      <c r="N17" s="7">
        <f t="shared" si="11"/>
        <v>0.67598263562718608</v>
      </c>
      <c r="O17" s="7">
        <f t="shared" si="12"/>
        <v>0.72103269010485516</v>
      </c>
      <c r="P17" s="7">
        <f t="shared" si="13"/>
        <v>0.71684063958098965</v>
      </c>
    </row>
    <row r="18" spans="2:16" x14ac:dyDescent="0.3">
      <c r="J18" s="10" t="s">
        <v>73</v>
      </c>
      <c r="K18" s="9">
        <f>SUM(K11:K17)</f>
        <v>0.82663503640424496</v>
      </c>
      <c r="L18" s="9">
        <f t="shared" ref="L18:P18" si="14">SUM(L11:L17)</f>
        <v>0.95525665638915802</v>
      </c>
      <c r="M18" s="9">
        <f t="shared" si="14"/>
        <v>1.2930017758906303</v>
      </c>
      <c r="N18" s="9">
        <f t="shared" si="14"/>
        <v>0.90554080918037894</v>
      </c>
      <c r="O18" s="9">
        <f t="shared" si="14"/>
        <v>1.0278587192396831</v>
      </c>
      <c r="P18" s="9">
        <f t="shared" si="14"/>
        <v>1.037705087408396</v>
      </c>
    </row>
    <row r="19" spans="2:16" x14ac:dyDescent="0.3">
      <c r="J19" s="11" t="s">
        <v>74</v>
      </c>
      <c r="K19" s="12">
        <f>1-K18</f>
        <v>0.17336496359575504</v>
      </c>
      <c r="L19" s="12">
        <f t="shared" ref="L19:P19" si="15">1-L18</f>
        <v>4.4743343610841979E-2</v>
      </c>
      <c r="M19" s="12">
        <f t="shared" si="15"/>
        <v>-0.29300177589063026</v>
      </c>
      <c r="N19" s="12">
        <f t="shared" si="15"/>
        <v>9.4459190819621064E-2</v>
      </c>
      <c r="O19" s="12">
        <f t="shared" si="15"/>
        <v>-2.7858719239683083E-2</v>
      </c>
      <c r="P19" s="12">
        <f t="shared" si="15"/>
        <v>-3.7705087408395954E-2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FAB-7BE8-48D2-82E9-74A905705DE0}">
  <dimension ref="A1:P19"/>
  <sheetViews>
    <sheetView workbookViewId="0">
      <selection activeCell="F23" sqref="F23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9</v>
      </c>
      <c r="B2" s="14">
        <v>2.8357105757321508E-2</v>
      </c>
      <c r="C2" s="14">
        <v>9.5238095238095247E-3</v>
      </c>
      <c r="D2" s="14">
        <v>0</v>
      </c>
      <c r="E2" s="14">
        <v>2.4390243902439025E-2</v>
      </c>
      <c r="F2" s="14">
        <v>1.1560693641618497E-2</v>
      </c>
      <c r="G2" s="14">
        <v>3.4188034188034191E-2</v>
      </c>
      <c r="H2" s="14">
        <v>1.8181818181818181E-2</v>
      </c>
      <c r="I2" s="8">
        <v>2.8357105757321508E-2</v>
      </c>
      <c r="J2" s="15">
        <v>2.8357105757321508E-2</v>
      </c>
      <c r="K2" s="15">
        <v>9.5238095238095247E-3</v>
      </c>
      <c r="L2" s="15">
        <v>0</v>
      </c>
      <c r="M2" s="15">
        <v>2.4390243902439025E-2</v>
      </c>
      <c r="N2" s="15">
        <v>1.1560693641618497E-2</v>
      </c>
      <c r="O2" s="15">
        <v>3.4188034188034191E-2</v>
      </c>
      <c r="P2" s="15">
        <v>1.8181818181818181E-2</v>
      </c>
    </row>
    <row r="3" spans="1:16" x14ac:dyDescent="0.3">
      <c r="A3" s="8" t="s">
        <v>8</v>
      </c>
      <c r="B3" s="14">
        <v>4.5517200047944385E-2</v>
      </c>
      <c r="C3" s="14">
        <v>3.8095238095238099E-2</v>
      </c>
      <c r="D3" s="14">
        <v>2.1739130434782608E-2</v>
      </c>
      <c r="E3" s="14">
        <v>4.878048780487805E-2</v>
      </c>
      <c r="F3" s="14">
        <v>8.0924855491329481E-2</v>
      </c>
      <c r="G3" s="14">
        <v>8.5470085470085472E-2</v>
      </c>
      <c r="H3" s="14">
        <v>3.6363636363636362E-2</v>
      </c>
      <c r="I3" s="8">
        <v>7.3874305805265897E-2</v>
      </c>
      <c r="J3" s="8">
        <f>J2+B3</f>
        <v>7.3874305805265897E-2</v>
      </c>
      <c r="K3" s="8">
        <f t="shared" ref="K3:P8" si="0">K2+C3</f>
        <v>4.7619047619047623E-2</v>
      </c>
      <c r="L3" s="8">
        <f t="shared" si="0"/>
        <v>2.1739130434782608E-2</v>
      </c>
      <c r="M3" s="8">
        <f t="shared" si="0"/>
        <v>7.3170731707317083E-2</v>
      </c>
      <c r="N3" s="8">
        <f t="shared" si="0"/>
        <v>9.2485549132947972E-2</v>
      </c>
      <c r="O3" s="8">
        <f t="shared" si="0"/>
        <v>0.11965811965811966</v>
      </c>
      <c r="P3" s="8">
        <f t="shared" si="0"/>
        <v>5.4545454545454543E-2</v>
      </c>
    </row>
    <row r="4" spans="1:16" x14ac:dyDescent="0.3">
      <c r="A4" s="8" t="s">
        <v>13</v>
      </c>
      <c r="B4" s="14">
        <v>4.8413839945663034E-2</v>
      </c>
      <c r="C4" s="14">
        <v>0.13333333333333333</v>
      </c>
      <c r="D4" s="14">
        <v>4.3478260869565216E-2</v>
      </c>
      <c r="E4" s="14">
        <v>4.878048780487805E-2</v>
      </c>
      <c r="F4" s="14">
        <v>3.4682080924855488E-2</v>
      </c>
      <c r="G4" s="14">
        <v>0.1111111111111111</v>
      </c>
      <c r="H4" s="14">
        <v>7.2727272727272724E-2</v>
      </c>
      <c r="I4" s="8">
        <v>0.12228814575092893</v>
      </c>
      <c r="J4" s="8">
        <f t="shared" ref="J4:J8" si="1">J3+B4</f>
        <v>0.12228814575092893</v>
      </c>
      <c r="K4" s="8">
        <f t="shared" si="0"/>
        <v>0.18095238095238095</v>
      </c>
      <c r="L4" s="8">
        <f t="shared" si="0"/>
        <v>6.5217391304347824E-2</v>
      </c>
      <c r="M4" s="8">
        <f t="shared" si="0"/>
        <v>0.12195121951219513</v>
      </c>
      <c r="N4" s="8">
        <f t="shared" si="0"/>
        <v>0.12716763005780346</v>
      </c>
      <c r="O4" s="8">
        <f t="shared" si="0"/>
        <v>0.23076923076923078</v>
      </c>
      <c r="P4" s="8">
        <f t="shared" si="0"/>
        <v>0.12727272727272726</v>
      </c>
    </row>
    <row r="5" spans="1:16" x14ac:dyDescent="0.3">
      <c r="A5" s="8" t="s">
        <v>10</v>
      </c>
      <c r="B5" s="14">
        <v>5.5785289064684968E-2</v>
      </c>
      <c r="C5" s="14">
        <v>5.7142857142857141E-2</v>
      </c>
      <c r="D5" s="14">
        <v>7.6086956521739135E-2</v>
      </c>
      <c r="E5" s="14">
        <v>2.4390243902439025E-2</v>
      </c>
      <c r="F5" s="14">
        <v>6.358381502890173E-2</v>
      </c>
      <c r="G5" s="14">
        <v>4.2735042735042736E-2</v>
      </c>
      <c r="H5" s="14">
        <v>1.8181818181818181E-2</v>
      </c>
      <c r="I5" s="8">
        <v>0.17807343481561388</v>
      </c>
      <c r="J5" s="8">
        <f t="shared" si="1"/>
        <v>0.17807343481561388</v>
      </c>
      <c r="K5" s="8">
        <f t="shared" si="0"/>
        <v>0.23809523809523808</v>
      </c>
      <c r="L5" s="8">
        <f t="shared" si="0"/>
        <v>0.14130434782608697</v>
      </c>
      <c r="M5" s="8">
        <f t="shared" si="0"/>
        <v>0.14634146341463417</v>
      </c>
      <c r="N5" s="8">
        <f t="shared" si="0"/>
        <v>0.19075144508670519</v>
      </c>
      <c r="O5" s="8">
        <f t="shared" si="0"/>
        <v>0.27350427350427353</v>
      </c>
      <c r="P5" s="8">
        <f t="shared" si="0"/>
        <v>0.14545454545454545</v>
      </c>
    </row>
    <row r="6" spans="1:16" x14ac:dyDescent="0.3">
      <c r="A6" s="8" t="s">
        <v>12</v>
      </c>
      <c r="B6" s="14">
        <v>0.13044867953174319</v>
      </c>
      <c r="C6" s="14">
        <v>5.7142857142857141E-2</v>
      </c>
      <c r="D6" s="14">
        <v>1.0869565217391304E-2</v>
      </c>
      <c r="E6" s="14">
        <v>7.3170731707317069E-2</v>
      </c>
      <c r="F6" s="14">
        <v>6.9364161849710976E-2</v>
      </c>
      <c r="G6" s="14">
        <v>3.4188034188034191E-2</v>
      </c>
      <c r="H6" s="14">
        <v>0.10909090909090909</v>
      </c>
      <c r="I6" s="8">
        <v>0.3085221143473571</v>
      </c>
      <c r="J6" s="8">
        <f t="shared" si="1"/>
        <v>0.3085221143473571</v>
      </c>
      <c r="K6" s="8">
        <f t="shared" si="0"/>
        <v>0.29523809523809524</v>
      </c>
      <c r="L6" s="8">
        <f t="shared" si="0"/>
        <v>0.15217391304347827</v>
      </c>
      <c r="M6" s="8">
        <f t="shared" si="0"/>
        <v>0.21951219512195125</v>
      </c>
      <c r="N6" s="8">
        <f t="shared" si="0"/>
        <v>0.26011560693641617</v>
      </c>
      <c r="O6" s="8">
        <f t="shared" si="0"/>
        <v>0.30769230769230771</v>
      </c>
      <c r="P6" s="8">
        <f t="shared" si="0"/>
        <v>0.25454545454545452</v>
      </c>
    </row>
    <row r="7" spans="1:16" x14ac:dyDescent="0.3">
      <c r="A7" s="8" t="s">
        <v>11</v>
      </c>
      <c r="B7" s="14">
        <v>0.14872747612769188</v>
      </c>
      <c r="C7" s="14">
        <v>0.13333333333333333</v>
      </c>
      <c r="D7" s="14">
        <v>7.6086956521739135E-2</v>
      </c>
      <c r="E7" s="14">
        <v>9.7560975609756101E-2</v>
      </c>
      <c r="F7" s="14">
        <v>0.12138728323699421</v>
      </c>
      <c r="G7" s="14">
        <v>0.1623931623931624</v>
      </c>
      <c r="H7" s="14">
        <v>0.16363636363636364</v>
      </c>
      <c r="I7" s="8">
        <v>0.45724959047504898</v>
      </c>
      <c r="J7" s="8">
        <f t="shared" si="1"/>
        <v>0.45724959047504898</v>
      </c>
      <c r="K7" s="8">
        <f t="shared" si="0"/>
        <v>0.4285714285714286</v>
      </c>
      <c r="L7" s="8">
        <f t="shared" si="0"/>
        <v>0.22826086956521741</v>
      </c>
      <c r="M7" s="8">
        <f t="shared" si="0"/>
        <v>0.31707317073170738</v>
      </c>
      <c r="N7" s="8">
        <f t="shared" si="0"/>
        <v>0.38150289017341038</v>
      </c>
      <c r="O7" s="8">
        <f t="shared" si="0"/>
        <v>0.47008547008547008</v>
      </c>
      <c r="P7" s="8">
        <f t="shared" si="0"/>
        <v>0.41818181818181815</v>
      </c>
    </row>
    <row r="8" spans="1:16" x14ac:dyDescent="0.3">
      <c r="A8" s="8" t="s">
        <v>7</v>
      </c>
      <c r="B8" s="14">
        <v>0.54275040952495102</v>
      </c>
      <c r="C8" s="14">
        <v>0.5714285714285714</v>
      </c>
      <c r="D8" s="14">
        <v>0.77173913043478259</v>
      </c>
      <c r="E8" s="14">
        <v>0.68292682926829273</v>
      </c>
      <c r="F8" s="14">
        <v>0.61849710982658956</v>
      </c>
      <c r="G8" s="14">
        <v>0.52991452991452992</v>
      </c>
      <c r="H8" s="14">
        <v>0.58181818181818179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53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J10" s="7"/>
      <c r="K10" s="9" t="s">
        <v>67</v>
      </c>
      <c r="L10" s="9" t="s">
        <v>68</v>
      </c>
      <c r="M10" s="9" t="s">
        <v>69</v>
      </c>
      <c r="N10" s="9" t="s">
        <v>70</v>
      </c>
      <c r="O10" s="9" t="s">
        <v>71</v>
      </c>
      <c r="P10" s="9" t="s">
        <v>72</v>
      </c>
    </row>
    <row r="11" spans="1:16" x14ac:dyDescent="0.3">
      <c r="B11" s="8" t="s">
        <v>9</v>
      </c>
      <c r="C11" s="8">
        <f>C2-B2</f>
        <v>-1.8833296233511983E-2</v>
      </c>
      <c r="D11" s="8">
        <f>D2-B2</f>
        <v>-2.8357105757321508E-2</v>
      </c>
      <c r="E11" s="8">
        <f>E2-B2</f>
        <v>-3.9668618548824829E-3</v>
      </c>
      <c r="F11" s="8">
        <f>F2-B2</f>
        <v>-1.6796412115703013E-2</v>
      </c>
      <c r="G11" s="8">
        <f>G2-B2</f>
        <v>5.8309284307126834E-3</v>
      </c>
      <c r="H11" s="8">
        <f>H2-B2</f>
        <v>-1.0175287575503327E-2</v>
      </c>
      <c r="J11" s="8" t="s">
        <v>9</v>
      </c>
      <c r="K11" s="7">
        <f>(J2-0) * ((K2+0))</f>
        <v>2.700676738792525E-4</v>
      </c>
      <c r="L11" s="7">
        <f>(J2-0) * ((L2+0))</f>
        <v>0</v>
      </c>
      <c r="M11" s="7">
        <f>(J2-0) * ((M2+0))</f>
        <v>6.9163672578832953E-4</v>
      </c>
      <c r="N11" s="7">
        <f>(J2-0) * ((N2+0))</f>
        <v>3.2782781222337004E-4</v>
      </c>
      <c r="O11" s="7">
        <f>(J2-0) * ((O2+0))</f>
        <v>9.6947370110500889E-4</v>
      </c>
      <c r="P11" s="7">
        <f>(J2-0) * ((P2+0))</f>
        <v>5.1558374104220916E-4</v>
      </c>
    </row>
    <row r="12" spans="1:16" x14ac:dyDescent="0.3">
      <c r="B12" s="8" t="s">
        <v>8</v>
      </c>
      <c r="C12" s="8">
        <f t="shared" ref="C12:C17" si="2">C3-B3</f>
        <v>-7.4219619527062866E-3</v>
      </c>
      <c r="D12" s="8">
        <f t="shared" ref="D12:D17" si="3">D3-B3</f>
        <v>-2.3778069613161777E-2</v>
      </c>
      <c r="E12" s="8">
        <f t="shared" ref="E12:E17" si="4">E3-B3</f>
        <v>3.2632877569336652E-3</v>
      </c>
      <c r="F12" s="8">
        <f t="shared" ref="F12:F17" si="5">F3-B3</f>
        <v>3.5407655443385096E-2</v>
      </c>
      <c r="G12" s="8">
        <f t="shared" ref="G12:G17" si="6">G3-B3</f>
        <v>3.9952885422141086E-2</v>
      </c>
      <c r="H12" s="8">
        <f t="shared" ref="H12:H17" si="7">H3-B3</f>
        <v>-9.1535636843080234E-3</v>
      </c>
      <c r="J12" s="8" t="s">
        <v>8</v>
      </c>
      <c r="K12" s="7">
        <f>(J3-J2) * ((K3+K2))</f>
        <v>2.6009828598825371E-3</v>
      </c>
      <c r="L12" s="7">
        <f>(J3-J2) * ((L3+L2))</f>
        <v>9.8950434886835629E-4</v>
      </c>
      <c r="M12" s="7">
        <f>(J3-J2) * ((M3+M2))</f>
        <v>4.4407024437018924E-3</v>
      </c>
      <c r="N12" s="7">
        <f>(J3-J2) * ((N3+N2))</f>
        <v>4.7358936466069309E-3</v>
      </c>
      <c r="O12" s="7">
        <f>(J3-J2) * ((O3+O2))</f>
        <v>7.0026461612222148E-3</v>
      </c>
      <c r="P12" s="7">
        <f>(J3-J2) * ((P3+P2))</f>
        <v>3.3103418216686828E-3</v>
      </c>
    </row>
    <row r="13" spans="1:16" x14ac:dyDescent="0.3">
      <c r="B13" s="8" t="s">
        <v>13</v>
      </c>
      <c r="C13" s="8">
        <f t="shared" si="2"/>
        <v>8.4919493387670297E-2</v>
      </c>
      <c r="D13" s="8">
        <f t="shared" si="3"/>
        <v>-4.935579076097818E-3</v>
      </c>
      <c r="E13" s="8">
        <f t="shared" si="4"/>
        <v>3.666478592150163E-4</v>
      </c>
      <c r="F13" s="8">
        <f t="shared" si="5"/>
        <v>-1.3731759020807546E-2</v>
      </c>
      <c r="G13" s="8">
        <f t="shared" si="6"/>
        <v>6.2697271165448071E-2</v>
      </c>
      <c r="H13" s="8">
        <f t="shared" si="7"/>
        <v>2.431343278160969E-2</v>
      </c>
      <c r="J13" s="8" t="s">
        <v>13</v>
      </c>
      <c r="K13" s="7">
        <f t="shared" ref="K13:K17" si="8">(J4-J3) * ((K4+K3))</f>
        <v>1.1066020559008693E-2</v>
      </c>
      <c r="L13" s="7">
        <f t="shared" ref="L13:L17" si="9">(J4-J3) * ((L4+L3))</f>
        <v>4.2098991257098293E-3</v>
      </c>
      <c r="M13" s="7">
        <f t="shared" ref="M13:M17" si="10">(J4-J3) * ((M4+M3))</f>
        <v>9.446602916226933E-3</v>
      </c>
      <c r="N13" s="7">
        <f t="shared" ref="N13:N17" si="11">(J4-J3) * ((N4+N3))</f>
        <v>1.0634253860897083E-2</v>
      </c>
      <c r="O13" s="7">
        <f t="shared" ref="O13:O17" si="12">(J4-J3) * ((O4+O3))</f>
        <v>1.6965533656172517E-2</v>
      </c>
      <c r="P13" s="7">
        <f t="shared" ref="P13:P17" si="13">(J4-J3) * ((P4+P3))</f>
        <v>8.8025163537569142E-3</v>
      </c>
    </row>
    <row r="14" spans="1:16" x14ac:dyDescent="0.3">
      <c r="B14" s="8" t="s">
        <v>10</v>
      </c>
      <c r="C14" s="8">
        <f t="shared" si="2"/>
        <v>1.3575680781721736E-3</v>
      </c>
      <c r="D14" s="8">
        <f t="shared" si="3"/>
        <v>2.0301667457054168E-2</v>
      </c>
      <c r="E14" s="8">
        <f t="shared" si="4"/>
        <v>-3.1395045162245942E-2</v>
      </c>
      <c r="F14" s="8">
        <f t="shared" si="5"/>
        <v>7.7985259642167626E-3</v>
      </c>
      <c r="G14" s="8">
        <f t="shared" si="6"/>
        <v>-1.3050246329642232E-2</v>
      </c>
      <c r="H14" s="8">
        <f t="shared" si="7"/>
        <v>-3.7603470882866787E-2</v>
      </c>
      <c r="J14" s="8" t="s">
        <v>10</v>
      </c>
      <c r="K14" s="7">
        <f t="shared" si="8"/>
        <v>2.3376692560439408E-2</v>
      </c>
      <c r="L14" s="7">
        <f t="shared" si="9"/>
        <v>1.1520874915532765E-2</v>
      </c>
      <c r="M14" s="7">
        <f t="shared" si="10"/>
        <v>1.4966784871013038E-2</v>
      </c>
      <c r="N14" s="7">
        <f t="shared" si="11"/>
        <v>1.7735207506113713E-2</v>
      </c>
      <c r="O14" s="7">
        <f t="shared" si="12"/>
        <v>2.8131043203559077E-2</v>
      </c>
      <c r="P14" s="7">
        <f t="shared" si="13"/>
        <v>1.5214169744914078E-2</v>
      </c>
    </row>
    <row r="15" spans="1:16" x14ac:dyDescent="0.3">
      <c r="B15" s="8" t="s">
        <v>12</v>
      </c>
      <c r="C15" s="8">
        <f t="shared" si="2"/>
        <v>-7.3305822388886055E-2</v>
      </c>
      <c r="D15" s="8">
        <f t="shared" si="3"/>
        <v>-0.11957911431435189</v>
      </c>
      <c r="E15" s="8">
        <f t="shared" si="4"/>
        <v>-5.727794782442612E-2</v>
      </c>
      <c r="F15" s="8">
        <f t="shared" si="5"/>
        <v>-6.1084517682032213E-2</v>
      </c>
      <c r="G15" s="8">
        <f t="shared" si="6"/>
        <v>-9.6260645343708998E-2</v>
      </c>
      <c r="H15" s="8">
        <f t="shared" si="7"/>
        <v>-2.1357770440834103E-2</v>
      </c>
      <c r="J15" s="8" t="s">
        <v>12</v>
      </c>
      <c r="K15" s="7">
        <f t="shared" si="8"/>
        <v>6.9572629083596377E-2</v>
      </c>
      <c r="L15" s="7">
        <f t="shared" si="9"/>
        <v>3.8283851601707254E-2</v>
      </c>
      <c r="M15" s="7">
        <f t="shared" si="10"/>
        <v>4.7725126657954843E-2</v>
      </c>
      <c r="N15" s="7">
        <f t="shared" si="11"/>
        <v>5.8815011580785961E-2</v>
      </c>
      <c r="O15" s="7">
        <f t="shared" si="12"/>
        <v>7.5816326565457601E-2</v>
      </c>
      <c r="P15" s="7">
        <f t="shared" si="13"/>
        <v>5.2179471812697283E-2</v>
      </c>
    </row>
    <row r="16" spans="1:16" x14ac:dyDescent="0.3">
      <c r="B16" s="8" t="s">
        <v>11</v>
      </c>
      <c r="C16" s="8">
        <f t="shared" si="2"/>
        <v>-1.5394142794358551E-2</v>
      </c>
      <c r="D16" s="8">
        <f t="shared" si="3"/>
        <v>-7.2640519605952747E-2</v>
      </c>
      <c r="E16" s="8">
        <f t="shared" si="4"/>
        <v>-5.1166500517935781E-2</v>
      </c>
      <c r="F16" s="8">
        <f t="shared" si="5"/>
        <v>-2.7340192890697668E-2</v>
      </c>
      <c r="G16" s="8">
        <f t="shared" si="6"/>
        <v>1.3665686265470517E-2</v>
      </c>
      <c r="H16" s="8">
        <f t="shared" si="7"/>
        <v>1.4908887508671753E-2</v>
      </c>
      <c r="J16" s="8" t="s">
        <v>11</v>
      </c>
      <c r="K16" s="7">
        <f t="shared" si="8"/>
        <v>0.10765036367337699</v>
      </c>
      <c r="L16" s="7">
        <f t="shared" si="9"/>
        <v>5.6581105048578439E-2</v>
      </c>
      <c r="M16" s="7">
        <f t="shared" si="10"/>
        <v>7.9804987190468815E-2</v>
      </c>
      <c r="N16" s="7">
        <f t="shared" si="11"/>
        <v>9.5426299711987267E-2</v>
      </c>
      <c r="O16" s="7">
        <f t="shared" si="12"/>
        <v>0.11567692587709369</v>
      </c>
      <c r="P16" s="7">
        <f t="shared" si="13"/>
        <v>0.10005302939499271</v>
      </c>
    </row>
    <row r="17" spans="2:16" x14ac:dyDescent="0.3">
      <c r="B17" s="8" t="s">
        <v>7</v>
      </c>
      <c r="C17" s="8">
        <f t="shared" si="2"/>
        <v>2.8678161903620381E-2</v>
      </c>
      <c r="D17" s="8">
        <f t="shared" si="3"/>
        <v>0.22898872090983158</v>
      </c>
      <c r="E17" s="8">
        <f t="shared" si="4"/>
        <v>0.14017641974334172</v>
      </c>
      <c r="F17" s="8">
        <f t="shared" si="5"/>
        <v>7.5746700301638548E-2</v>
      </c>
      <c r="G17" s="8">
        <f t="shared" si="6"/>
        <v>-1.2835879610421097E-2</v>
      </c>
      <c r="H17" s="8">
        <f t="shared" si="7"/>
        <v>3.9067772293230774E-2</v>
      </c>
      <c r="J17" s="8" t="s">
        <v>7</v>
      </c>
      <c r="K17" s="7">
        <f t="shared" si="8"/>
        <v>0.77535772789278723</v>
      </c>
      <c r="L17" s="7">
        <f t="shared" si="9"/>
        <v>0.6666390899599941</v>
      </c>
      <c r="M17" s="7">
        <f t="shared" si="10"/>
        <v>0.71484200278895993</v>
      </c>
      <c r="N17" s="7">
        <f t="shared" si="11"/>
        <v>0.74981125940152193</v>
      </c>
      <c r="O17" s="7">
        <f t="shared" si="12"/>
        <v>0.79788949092556904</v>
      </c>
      <c r="P17" s="7">
        <f t="shared" si="13"/>
        <v>0.7697187625990215</v>
      </c>
    </row>
    <row r="18" spans="2:16" x14ac:dyDescent="0.3">
      <c r="J18" s="10" t="s">
        <v>73</v>
      </c>
      <c r="K18" s="9">
        <f>SUM(K11:K17)</f>
        <v>0.98989448430297045</v>
      </c>
      <c r="L18" s="9">
        <f t="shared" ref="L18:P18" si="14">SUM(L11:L17)</f>
        <v>0.77822432500039074</v>
      </c>
      <c r="M18" s="9">
        <f t="shared" si="14"/>
        <v>0.87191784359411373</v>
      </c>
      <c r="N18" s="9">
        <f t="shared" si="14"/>
        <v>0.93748575352013619</v>
      </c>
      <c r="O18" s="9">
        <f t="shared" si="14"/>
        <v>1.0424514400901792</v>
      </c>
      <c r="P18" s="9">
        <f t="shared" si="14"/>
        <v>0.94979387546809335</v>
      </c>
    </row>
    <row r="19" spans="2:16" x14ac:dyDescent="0.3">
      <c r="J19" s="11" t="s">
        <v>74</v>
      </c>
      <c r="K19" s="12">
        <f>1-K18</f>
        <v>1.0105515697029555E-2</v>
      </c>
      <c r="L19" s="12">
        <f t="shared" ref="L19:P19" si="15">1-L18</f>
        <v>0.22177567499960926</v>
      </c>
      <c r="M19" s="12">
        <f t="shared" si="15"/>
        <v>0.12808215640588627</v>
      </c>
      <c r="N19" s="12">
        <f t="shared" si="15"/>
        <v>6.2514246479863811E-2</v>
      </c>
      <c r="O19" s="12">
        <f t="shared" si="15"/>
        <v>-4.2451440090179204E-2</v>
      </c>
      <c r="P19" s="12">
        <f t="shared" si="15"/>
        <v>5.0206124531906648E-2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6DDE-2264-46B2-A362-B04A250929B2}">
  <dimension ref="A1:P21"/>
  <sheetViews>
    <sheetView workbookViewId="0">
      <selection activeCell="A11" sqref="A11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21</v>
      </c>
      <c r="B2" s="14">
        <v>1.9435019398655662E-2</v>
      </c>
      <c r="C2" s="14">
        <v>1.0810810810810811E-2</v>
      </c>
      <c r="D2" s="14">
        <v>2.8571428571428571E-2</v>
      </c>
      <c r="E2" s="14">
        <v>6.2893081761006293E-3</v>
      </c>
      <c r="F2" s="14">
        <v>4.4117647058823532E-2</v>
      </c>
      <c r="G2" s="14">
        <v>7.1917808219178078E-2</v>
      </c>
      <c r="H2" s="14">
        <v>3.90625E-2</v>
      </c>
      <c r="I2" s="8">
        <v>1.9435019398655662E-2</v>
      </c>
      <c r="J2" s="15">
        <v>1.9435019398655662E-2</v>
      </c>
      <c r="K2" s="15">
        <v>1.0810810810810811E-2</v>
      </c>
      <c r="L2" s="15">
        <v>2.8571428571428571E-2</v>
      </c>
      <c r="M2" s="15">
        <v>6.2893081761006293E-3</v>
      </c>
      <c r="N2" s="15">
        <v>4.4117647058823532E-2</v>
      </c>
      <c r="O2" s="15">
        <v>7.1917808219178078E-2</v>
      </c>
      <c r="P2" s="15">
        <v>3.90625E-2</v>
      </c>
    </row>
    <row r="3" spans="1:16" x14ac:dyDescent="0.3">
      <c r="A3" s="8" t="s">
        <v>15</v>
      </c>
      <c r="B3" s="14">
        <v>2.6637836749193705E-2</v>
      </c>
      <c r="C3" s="14">
        <v>1.0810810810810811E-2</v>
      </c>
      <c r="D3" s="14">
        <v>3.8095238095238099E-2</v>
      </c>
      <c r="E3" s="14">
        <v>1.2578616352201259E-2</v>
      </c>
      <c r="F3" s="14">
        <v>4.0441176470588237E-2</v>
      </c>
      <c r="G3" s="14">
        <v>1.7123287671232876E-2</v>
      </c>
      <c r="H3" s="14">
        <v>3.90625E-2</v>
      </c>
      <c r="I3" s="8">
        <v>4.6072856147849367E-2</v>
      </c>
      <c r="J3" s="8">
        <f t="shared" ref="J3:P9" si="0">J2+B3</f>
        <v>4.6072856147849367E-2</v>
      </c>
      <c r="K3" s="8">
        <f t="shared" si="0"/>
        <v>2.1621621621621623E-2</v>
      </c>
      <c r="L3" s="13">
        <f t="shared" si="0"/>
        <v>6.6666666666666666E-2</v>
      </c>
      <c r="M3" s="8">
        <f t="shared" si="0"/>
        <v>1.886792452830189E-2</v>
      </c>
      <c r="N3" s="8">
        <f t="shared" si="0"/>
        <v>8.455882352941177E-2</v>
      </c>
      <c r="O3" s="8">
        <f t="shared" si="0"/>
        <v>8.9041095890410954E-2</v>
      </c>
      <c r="P3" s="8">
        <f t="shared" si="0"/>
        <v>7.8125E-2</v>
      </c>
    </row>
    <row r="4" spans="1:16" x14ac:dyDescent="0.3">
      <c r="A4" s="8" t="s">
        <v>19</v>
      </c>
      <c r="B4" s="14">
        <v>3.354974419508866E-2</v>
      </c>
      <c r="C4" s="14">
        <v>1.0810810810810811E-2</v>
      </c>
      <c r="D4" s="14">
        <v>2.8571428571428571E-2</v>
      </c>
      <c r="E4" s="14">
        <v>3.1446540880503145E-2</v>
      </c>
      <c r="F4" s="14">
        <v>3.3088235294117647E-2</v>
      </c>
      <c r="G4" s="14">
        <v>6.1643835616438353E-2</v>
      </c>
      <c r="H4" s="14">
        <v>4.6875E-2</v>
      </c>
      <c r="I4" s="8">
        <v>7.9622600342938027E-2</v>
      </c>
      <c r="J4" s="8">
        <f t="shared" si="0"/>
        <v>7.9622600342938027E-2</v>
      </c>
      <c r="K4" s="8">
        <f t="shared" si="0"/>
        <v>3.2432432432432434E-2</v>
      </c>
      <c r="L4" s="13">
        <f t="shared" si="0"/>
        <v>9.5238095238095233E-2</v>
      </c>
      <c r="M4" s="8">
        <f t="shared" si="0"/>
        <v>5.0314465408805034E-2</v>
      </c>
      <c r="N4" s="8">
        <f t="shared" si="0"/>
        <v>0.11764705882352941</v>
      </c>
      <c r="O4" s="8">
        <f t="shared" si="0"/>
        <v>0.15068493150684931</v>
      </c>
      <c r="P4" s="8">
        <f t="shared" si="0"/>
        <v>0.125</v>
      </c>
    </row>
    <row r="5" spans="1:16" x14ac:dyDescent="0.3">
      <c r="A5" s="8" t="s">
        <v>20</v>
      </c>
      <c r="B5" s="14">
        <v>3.5737162901154966E-2</v>
      </c>
      <c r="C5" s="14">
        <v>1.6216216216216217E-2</v>
      </c>
      <c r="D5" s="14">
        <v>2.8571428571428571E-2</v>
      </c>
      <c r="E5" s="14">
        <v>2.5157232704402517E-2</v>
      </c>
      <c r="F5" s="14">
        <v>2.2058823529411766E-2</v>
      </c>
      <c r="G5" s="14">
        <v>1.3698630136986301E-2</v>
      </c>
      <c r="H5" s="14">
        <v>1.5625E-2</v>
      </c>
      <c r="I5" s="8">
        <v>0.115359763244093</v>
      </c>
      <c r="J5" s="8">
        <f t="shared" si="0"/>
        <v>0.115359763244093</v>
      </c>
      <c r="K5" s="8">
        <f t="shared" si="0"/>
        <v>4.8648648648648651E-2</v>
      </c>
      <c r="L5" s="13">
        <f t="shared" si="0"/>
        <v>0.1238095238095238</v>
      </c>
      <c r="M5" s="8">
        <f t="shared" si="0"/>
        <v>7.5471698113207558E-2</v>
      </c>
      <c r="N5" s="8">
        <f t="shared" si="0"/>
        <v>0.13970588235294118</v>
      </c>
      <c r="O5" s="8">
        <f t="shared" si="0"/>
        <v>0.16438356164383561</v>
      </c>
      <c r="P5" s="8">
        <f t="shared" si="0"/>
        <v>0.140625</v>
      </c>
    </row>
    <row r="6" spans="1:16" x14ac:dyDescent="0.3">
      <c r="A6" s="8" t="s">
        <v>18</v>
      </c>
      <c r="B6" s="14">
        <v>6.086730312532343E-2</v>
      </c>
      <c r="C6" s="14">
        <v>0.14594594594594595</v>
      </c>
      <c r="D6" s="14">
        <v>0.19047619047619047</v>
      </c>
      <c r="E6" s="14">
        <v>0.13836477987421383</v>
      </c>
      <c r="F6" s="14">
        <v>5.8823529411764705E-2</v>
      </c>
      <c r="G6" s="14">
        <v>7.1917808219178078E-2</v>
      </c>
      <c r="H6" s="14">
        <v>4.6875E-2</v>
      </c>
      <c r="I6" s="8">
        <v>0.17622706636941643</v>
      </c>
      <c r="J6" s="8">
        <f t="shared" si="0"/>
        <v>0.17622706636941643</v>
      </c>
      <c r="K6" s="8">
        <f t="shared" si="0"/>
        <v>0.19459459459459461</v>
      </c>
      <c r="L6" s="13">
        <f t="shared" si="0"/>
        <v>0.31428571428571428</v>
      </c>
      <c r="M6" s="8">
        <f t="shared" si="0"/>
        <v>0.21383647798742139</v>
      </c>
      <c r="N6" s="8">
        <f t="shared" si="0"/>
        <v>0.1985294117647059</v>
      </c>
      <c r="O6" s="8">
        <f t="shared" si="0"/>
        <v>0.2363013698630137</v>
      </c>
      <c r="P6" s="8">
        <f t="shared" si="0"/>
        <v>0.1875</v>
      </c>
    </row>
    <row r="7" spans="1:16" x14ac:dyDescent="0.3">
      <c r="A7" s="8" t="s">
        <v>16</v>
      </c>
      <c r="B7" s="14">
        <v>6.4056123233911147E-2</v>
      </c>
      <c r="C7" s="14">
        <v>5.9459459459459463E-2</v>
      </c>
      <c r="D7" s="14">
        <v>0.10476190476190476</v>
      </c>
      <c r="E7" s="14">
        <v>3.7735849056603772E-2</v>
      </c>
      <c r="F7" s="14">
        <v>6.6176470588235295E-2</v>
      </c>
      <c r="G7" s="14">
        <v>0.11643835616438356</v>
      </c>
      <c r="H7" s="14">
        <v>7.03125E-2</v>
      </c>
      <c r="I7" s="8">
        <v>0.24028318960332756</v>
      </c>
      <c r="J7" s="8">
        <f t="shared" si="0"/>
        <v>0.24028318960332756</v>
      </c>
      <c r="K7" s="8">
        <f t="shared" si="0"/>
        <v>0.25405405405405407</v>
      </c>
      <c r="L7" s="13">
        <f t="shared" si="0"/>
        <v>0.41904761904761906</v>
      </c>
      <c r="M7" s="8">
        <f t="shared" si="0"/>
        <v>0.25157232704402516</v>
      </c>
      <c r="N7" s="8">
        <f t="shared" si="0"/>
        <v>0.26470588235294118</v>
      </c>
      <c r="O7" s="8">
        <f t="shared" si="0"/>
        <v>0.35273972602739723</v>
      </c>
      <c r="P7" s="8">
        <f t="shared" si="0"/>
        <v>0.2578125</v>
      </c>
    </row>
    <row r="8" spans="1:16" x14ac:dyDescent="0.3">
      <c r="A8" s="8" t="s">
        <v>17</v>
      </c>
      <c r="B8" s="14">
        <v>8.1379248613282829E-2</v>
      </c>
      <c r="C8" s="14">
        <v>0.17297297297297298</v>
      </c>
      <c r="D8" s="14">
        <v>6.6666666666666666E-2</v>
      </c>
      <c r="E8" s="14">
        <v>0.14465408805031446</v>
      </c>
      <c r="F8" s="14">
        <v>0.13235294117647059</v>
      </c>
      <c r="G8" s="14">
        <v>9.2465753424657529E-2</v>
      </c>
      <c r="H8" s="14">
        <v>0.1875</v>
      </c>
      <c r="I8" s="8">
        <v>0.32166243821661039</v>
      </c>
      <c r="J8" s="8">
        <f t="shared" si="0"/>
        <v>0.32166243821661039</v>
      </c>
      <c r="K8" s="8">
        <f t="shared" si="0"/>
        <v>0.42702702702702705</v>
      </c>
      <c r="L8" s="13">
        <f t="shared" si="0"/>
        <v>0.48571428571428571</v>
      </c>
      <c r="M8" s="8">
        <f t="shared" si="0"/>
        <v>0.39622641509433965</v>
      </c>
      <c r="N8" s="8">
        <f t="shared" si="0"/>
        <v>0.3970588235294118</v>
      </c>
      <c r="O8" s="8">
        <f t="shared" si="0"/>
        <v>0.44520547945205474</v>
      </c>
      <c r="P8" s="8">
        <f t="shared" si="0"/>
        <v>0.4453125</v>
      </c>
    </row>
    <row r="9" spans="1:16" x14ac:dyDescent="0.3">
      <c r="A9" s="8" t="s">
        <v>14</v>
      </c>
      <c r="B9" s="14">
        <v>0.67833756178338955</v>
      </c>
      <c r="C9" s="14">
        <v>0.572972972972973</v>
      </c>
      <c r="D9" s="14">
        <v>0.51428571428571423</v>
      </c>
      <c r="E9" s="14">
        <v>0.60377358490566035</v>
      </c>
      <c r="F9" s="14">
        <v>0.6029411764705882</v>
      </c>
      <c r="G9" s="14">
        <v>0.5547945205479452</v>
      </c>
      <c r="H9" s="14">
        <v>0.5546875</v>
      </c>
      <c r="I9" s="8">
        <v>1</v>
      </c>
      <c r="J9" s="8">
        <f t="shared" si="0"/>
        <v>1</v>
      </c>
      <c r="K9" s="8">
        <f t="shared" si="0"/>
        <v>1</v>
      </c>
      <c r="L9" s="13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9" t="s">
        <v>67</v>
      </c>
      <c r="L11" s="9" t="s">
        <v>68</v>
      </c>
      <c r="M11" s="9" t="s">
        <v>69</v>
      </c>
      <c r="N11" s="9" t="s">
        <v>70</v>
      </c>
      <c r="O11" s="9" t="s">
        <v>71</v>
      </c>
      <c r="P11" s="9" t="s">
        <v>72</v>
      </c>
    </row>
    <row r="12" spans="1:16" x14ac:dyDescent="0.3">
      <c r="B12" s="8" t="s">
        <v>21</v>
      </c>
      <c r="C12" s="8">
        <f>C2-B2</f>
        <v>-8.6242085878448504E-3</v>
      </c>
      <c r="D12" s="8">
        <f>D2-B2</f>
        <v>9.1364091727729087E-3</v>
      </c>
      <c r="E12" s="8">
        <f>E2-B2</f>
        <v>-1.3145711222555033E-2</v>
      </c>
      <c r="F12" s="8">
        <f>F2-B2</f>
        <v>2.468262766016787E-2</v>
      </c>
      <c r="G12" s="8">
        <f>G2-B2</f>
        <v>5.2482788820522416E-2</v>
      </c>
      <c r="H12" s="8">
        <f>H2-B2</f>
        <v>1.9627480601344338E-2</v>
      </c>
      <c r="J12" s="8" t="s">
        <v>21</v>
      </c>
      <c r="K12" s="7">
        <f>(J2-0) * (K2+0)</f>
        <v>2.1010831782330446E-4</v>
      </c>
      <c r="L12" s="7">
        <f t="shared" ref="L12" si="1">(K2-0) * (L2+0)</f>
        <v>3.088803088803089E-4</v>
      </c>
      <c r="M12" s="7">
        <f>(J2-0) * (M2+0)</f>
        <v>1.2223282640663939E-4</v>
      </c>
      <c r="N12" s="7">
        <f>(J2-0) * (N2+0)</f>
        <v>8.5742732641127921E-4</v>
      </c>
      <c r="O12" s="7">
        <f>(J2-0) * (O2+0)</f>
        <v>1.3977239978485234E-3</v>
      </c>
      <c r="P12" s="7">
        <f>(J2-0) * (P2+0)</f>
        <v>7.5918044525998679E-4</v>
      </c>
    </row>
    <row r="13" spans="1:16" x14ac:dyDescent="0.3">
      <c r="B13" s="8" t="s">
        <v>15</v>
      </c>
      <c r="C13" s="8">
        <f t="shared" ref="C13:C19" si="2">C3-B3</f>
        <v>-1.5827025938382894E-2</v>
      </c>
      <c r="D13" s="8">
        <f t="shared" ref="D13:D19" si="3">D3-B3</f>
        <v>1.1457401346044394E-2</v>
      </c>
      <c r="E13" s="8">
        <f t="shared" ref="E13:E19" si="4">E3-B3</f>
        <v>-1.4059220396992447E-2</v>
      </c>
      <c r="F13" s="8">
        <f t="shared" ref="F13:F19" si="5">F3-B3</f>
        <v>1.3803339721394532E-2</v>
      </c>
      <c r="G13" s="8">
        <f t="shared" ref="G13:G19" si="6">G3-B3</f>
        <v>-9.5145490779608294E-3</v>
      </c>
      <c r="H13" s="8">
        <f t="shared" ref="H13:H19" si="7">H3-B3</f>
        <v>1.2424663250806295E-2</v>
      </c>
      <c r="J13" s="8" t="s">
        <v>15</v>
      </c>
      <c r="K13" s="7">
        <f>(J3-J2) * (K3+K2)</f>
        <v>8.6392984051439044E-4</v>
      </c>
      <c r="L13" s="7">
        <f>(J3-J2) * (L3+L2)</f>
        <v>2.5369368332565432E-3</v>
      </c>
      <c r="M13" s="7">
        <f>(J3-J2) * (M3+M2)</f>
        <v>6.701342578413511E-4</v>
      </c>
      <c r="N13" s="7">
        <f>(J3-J2) * (N3+N2)</f>
        <v>3.4276628169918376E-3</v>
      </c>
      <c r="O13" s="7">
        <f>(J3-J2) * (O3+O2)</f>
        <v>4.2875970110003558E-3</v>
      </c>
      <c r="P13" s="7">
        <f>(J3-J2) * (P3+P2)</f>
        <v>3.1216214940461371E-3</v>
      </c>
    </row>
    <row r="14" spans="1:16" x14ac:dyDescent="0.3">
      <c r="B14" s="8" t="s">
        <v>19</v>
      </c>
      <c r="C14" s="8">
        <f t="shared" si="2"/>
        <v>-2.2738933384277848E-2</v>
      </c>
      <c r="D14" s="8">
        <f t="shared" si="3"/>
        <v>-4.9783156236600894E-3</v>
      </c>
      <c r="E14" s="8">
        <f t="shared" si="4"/>
        <v>-2.1032033145855153E-3</v>
      </c>
      <c r="F14" s="8">
        <f t="shared" si="5"/>
        <v>-4.6150890097101244E-4</v>
      </c>
      <c r="G14" s="8">
        <f t="shared" si="6"/>
        <v>2.8094091421349693E-2</v>
      </c>
      <c r="H14" s="8">
        <f t="shared" si="7"/>
        <v>1.332525580491134E-2</v>
      </c>
      <c r="J14" s="8" t="s">
        <v>19</v>
      </c>
      <c r="K14" s="7">
        <f t="shared" ref="K14:K19" si="8">(J4-J3) * (K4+K3)</f>
        <v>1.8134996862210087E-3</v>
      </c>
      <c r="L14" s="7">
        <f t="shared" ref="L14:L19" si="9">(J4-J3) * (L4+L3)</f>
        <v>5.4318633458714967E-3</v>
      </c>
      <c r="M14" s="7">
        <f t="shared" ref="M14:M19" si="10">(J4-J3) * (M4+M3)</f>
        <v>2.3210514851948133E-3</v>
      </c>
      <c r="N14" s="7">
        <f t="shared" ref="N14:N19" si="11">(J4-J3) * (N4+N3)</f>
        <v>6.7839556276833692E-3</v>
      </c>
      <c r="O14" s="7">
        <f t="shared" ref="O14:O19" si="12">(J4-J3) * (O4+O3)</f>
        <v>8.042746896082897E-3</v>
      </c>
      <c r="P14" s="7">
        <f t="shared" ref="P14:P19" si="13">(J4-J3) * (P4+P3)</f>
        <v>6.814791789627384E-3</v>
      </c>
    </row>
    <row r="15" spans="1:16" x14ac:dyDescent="0.3">
      <c r="B15" s="8" t="s">
        <v>20</v>
      </c>
      <c r="C15" s="8">
        <f t="shared" si="2"/>
        <v>-1.9520946684938749E-2</v>
      </c>
      <c r="D15" s="8">
        <f t="shared" si="3"/>
        <v>-7.1657343297263955E-3</v>
      </c>
      <c r="E15" s="8">
        <f t="shared" si="4"/>
        <v>-1.0579930196752449E-2</v>
      </c>
      <c r="F15" s="8">
        <f t="shared" si="5"/>
        <v>-1.36783393717432E-2</v>
      </c>
      <c r="G15" s="8">
        <f t="shared" si="6"/>
        <v>-2.2038532764168665E-2</v>
      </c>
      <c r="H15" s="8">
        <f t="shared" si="7"/>
        <v>-2.0112162901154966E-2</v>
      </c>
      <c r="J15" s="8" t="s">
        <v>20</v>
      </c>
      <c r="K15" s="7">
        <f t="shared" si="8"/>
        <v>2.8976078027963493E-3</v>
      </c>
      <c r="L15" s="7">
        <f t="shared" si="9"/>
        <v>7.828140445014899E-3</v>
      </c>
      <c r="M15" s="7">
        <f t="shared" si="10"/>
        <v>4.4952406164974817E-3</v>
      </c>
      <c r="N15" s="7">
        <f t="shared" si="11"/>
        <v>9.1970639819148811E-3</v>
      </c>
      <c r="O15" s="7">
        <f t="shared" si="12"/>
        <v>1.1259654064747457E-2</v>
      </c>
      <c r="P15" s="7">
        <f t="shared" si="13"/>
        <v>9.4926838956192888E-3</v>
      </c>
    </row>
    <row r="16" spans="1:16" x14ac:dyDescent="0.3">
      <c r="B16" s="8" t="s">
        <v>18</v>
      </c>
      <c r="C16" s="8">
        <f t="shared" si="2"/>
        <v>8.5078642820622524E-2</v>
      </c>
      <c r="D16" s="8">
        <f t="shared" si="3"/>
        <v>0.12960888735086704</v>
      </c>
      <c r="E16" s="8">
        <f t="shared" si="4"/>
        <v>7.7497476748890404E-2</v>
      </c>
      <c r="F16" s="8">
        <f t="shared" si="5"/>
        <v>-2.0437737135587247E-3</v>
      </c>
      <c r="G16" s="8">
        <f t="shared" si="6"/>
        <v>1.1050505093854648E-2</v>
      </c>
      <c r="H16" s="8">
        <f t="shared" si="7"/>
        <v>-1.399230312532343E-2</v>
      </c>
      <c r="J16" s="8" t="s">
        <v>18</v>
      </c>
      <c r="K16" s="7">
        <f t="shared" si="8"/>
        <v>1.4805560219673268E-2</v>
      </c>
      <c r="L16" s="7">
        <f t="shared" si="9"/>
        <v>2.6665675654903596E-2</v>
      </c>
      <c r="M16" s="7">
        <f t="shared" si="10"/>
        <v>1.7609408451351435E-2</v>
      </c>
      <c r="N16" s="7">
        <f t="shared" si="11"/>
        <v>2.0587470174741749E-2</v>
      </c>
      <c r="O16" s="7">
        <f t="shared" si="12"/>
        <v>2.4388611183776852E-2</v>
      </c>
      <c r="P16" s="7">
        <f t="shared" si="13"/>
        <v>1.997208383799675E-2</v>
      </c>
    </row>
    <row r="17" spans="2:16" x14ac:dyDescent="0.3">
      <c r="B17" s="8" t="s">
        <v>16</v>
      </c>
      <c r="C17" s="8">
        <f t="shared" si="2"/>
        <v>-4.5966637744516842E-3</v>
      </c>
      <c r="D17" s="8">
        <f t="shared" si="3"/>
        <v>4.0705781527993617E-2</v>
      </c>
      <c r="E17" s="8">
        <f t="shared" si="4"/>
        <v>-2.6320274177307375E-2</v>
      </c>
      <c r="F17" s="8">
        <f t="shared" si="5"/>
        <v>2.120347354324148E-3</v>
      </c>
      <c r="G17" s="8">
        <f t="shared" si="6"/>
        <v>5.2382232930472408E-2</v>
      </c>
      <c r="H17" s="8">
        <f t="shared" si="7"/>
        <v>6.2563767660888531E-3</v>
      </c>
      <c r="J17" s="8" t="s">
        <v>16</v>
      </c>
      <c r="K17" s="7">
        <f t="shared" si="8"/>
        <v>2.8738693126565538E-2</v>
      </c>
      <c r="L17" s="7">
        <f t="shared" si="9"/>
        <v>4.6974490371534831E-2</v>
      </c>
      <c r="M17" s="7">
        <f t="shared" si="10"/>
        <v>2.9812283769241658E-2</v>
      </c>
      <c r="N17" s="7">
        <f t="shared" si="11"/>
        <v>2.9673057086297069E-2</v>
      </c>
      <c r="O17" s="7">
        <f t="shared" si="12"/>
        <v>3.7731689028194224E-2</v>
      </c>
      <c r="P17" s="7">
        <f t="shared" si="13"/>
        <v>2.852499237760105E-2</v>
      </c>
    </row>
    <row r="18" spans="2:16" x14ac:dyDescent="0.3">
      <c r="B18" s="8" t="s">
        <v>17</v>
      </c>
      <c r="C18" s="8">
        <f t="shared" si="2"/>
        <v>9.1593724359690154E-2</v>
      </c>
      <c r="D18" s="8">
        <f t="shared" si="3"/>
        <v>-1.4712581946616163E-2</v>
      </c>
      <c r="E18" s="8">
        <f t="shared" si="4"/>
        <v>6.3274839437031632E-2</v>
      </c>
      <c r="F18" s="8">
        <f t="shared" si="5"/>
        <v>5.0973692563187761E-2</v>
      </c>
      <c r="G18" s="8">
        <f t="shared" si="6"/>
        <v>1.1086504811374701E-2</v>
      </c>
      <c r="H18" s="8">
        <f t="shared" si="7"/>
        <v>0.10612075138671717</v>
      </c>
      <c r="J18" s="8" t="s">
        <v>17</v>
      </c>
      <c r="K18" s="7">
        <f t="shared" si="8"/>
        <v>5.5425866623100742E-2</v>
      </c>
      <c r="L18" s="7">
        <f t="shared" si="9"/>
        <v>7.3628843983446365E-2</v>
      </c>
      <c r="M18" s="7">
        <f t="shared" si="10"/>
        <v>5.2717374887849888E-2</v>
      </c>
      <c r="N18" s="7">
        <f t="shared" si="11"/>
        <v>5.3853914523495999E-2</v>
      </c>
      <c r="O18" s="7">
        <f t="shared" si="12"/>
        <v>6.4936181256489381E-2</v>
      </c>
      <c r="P18" s="7">
        <f t="shared" si="13"/>
        <v>5.7219784181214491E-2</v>
      </c>
    </row>
    <row r="19" spans="2:16" x14ac:dyDescent="0.3">
      <c r="B19" s="8" t="s">
        <v>14</v>
      </c>
      <c r="C19" s="8">
        <f t="shared" si="2"/>
        <v>-0.10536458881041655</v>
      </c>
      <c r="D19" s="8">
        <f t="shared" si="3"/>
        <v>-0.16405184749767532</v>
      </c>
      <c r="E19" s="8">
        <f t="shared" si="4"/>
        <v>-7.4563976877729199E-2</v>
      </c>
      <c r="F19" s="8">
        <f t="shared" si="5"/>
        <v>-7.5396385312801351E-2</v>
      </c>
      <c r="G19" s="8">
        <f t="shared" si="6"/>
        <v>-0.12354304123544435</v>
      </c>
      <c r="H19" s="8">
        <f t="shared" si="7"/>
        <v>-0.12365006178338955</v>
      </c>
      <c r="J19" s="8" t="s">
        <v>14</v>
      </c>
      <c r="K19" s="7">
        <f t="shared" si="8"/>
        <v>0.96800603411251274</v>
      </c>
      <c r="L19" s="7">
        <f t="shared" si="9"/>
        <v>1.0078158060781788</v>
      </c>
      <c r="M19" s="7">
        <f t="shared" si="10"/>
        <v>0.94711282211265724</v>
      </c>
      <c r="N19" s="7">
        <f t="shared" si="11"/>
        <v>0.94767747602091179</v>
      </c>
      <c r="O19" s="7">
        <f t="shared" si="12"/>
        <v>0.98033716120750136</v>
      </c>
      <c r="P19" s="7">
        <f t="shared" si="13"/>
        <v>0.98040975726505519</v>
      </c>
    </row>
    <row r="20" spans="2:16" x14ac:dyDescent="0.3">
      <c r="J20" s="9" t="s">
        <v>73</v>
      </c>
      <c r="K20" s="9">
        <f>SUM(K12:K19)</f>
        <v>1.0727612997292073</v>
      </c>
      <c r="L20" s="9">
        <f t="shared" ref="L20:P20" si="14">SUM(L12:L19)</f>
        <v>1.1711906370210867</v>
      </c>
      <c r="M20" s="9">
        <f t="shared" si="14"/>
        <v>1.0548605484070406</v>
      </c>
      <c r="N20" s="9">
        <f t="shared" si="14"/>
        <v>1.0720580275584479</v>
      </c>
      <c r="O20" s="9">
        <f t="shared" si="14"/>
        <v>1.1323813646456411</v>
      </c>
      <c r="P20" s="9">
        <f t="shared" si="14"/>
        <v>1.1063148952864204</v>
      </c>
    </row>
    <row r="21" spans="2:16" x14ac:dyDescent="0.3">
      <c r="J21" s="12" t="s">
        <v>74</v>
      </c>
      <c r="K21" s="12">
        <f>1-K20</f>
        <v>-7.2761299729207307E-2</v>
      </c>
      <c r="L21" s="12">
        <f t="shared" ref="L21:P21" si="15">1-L20</f>
        <v>-0.17119063702108672</v>
      </c>
      <c r="M21" s="12">
        <f t="shared" si="15"/>
        <v>-5.4860548407040577E-2</v>
      </c>
      <c r="N21" s="12">
        <f t="shared" si="15"/>
        <v>-7.2058027558447924E-2</v>
      </c>
      <c r="O21" s="12">
        <f t="shared" si="15"/>
        <v>-0.1323813646456411</v>
      </c>
      <c r="P21" s="12">
        <f t="shared" si="15"/>
        <v>-0.10631489528642035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659C-EEDA-4856-AA2B-C6AE53CF6745}">
  <dimension ref="A1:P21"/>
  <sheetViews>
    <sheetView workbookViewId="0">
      <selection activeCell="A15" sqref="A15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29</v>
      </c>
      <c r="B2" s="14">
        <v>1.513948741211159E-2</v>
      </c>
      <c r="C2" s="14">
        <v>0</v>
      </c>
      <c r="D2" s="14">
        <v>0</v>
      </c>
      <c r="E2" s="14">
        <v>0</v>
      </c>
      <c r="F2" s="14">
        <v>3.2520325203252036E-2</v>
      </c>
      <c r="G2" s="14">
        <v>2.3529411764705882E-2</v>
      </c>
      <c r="H2" s="14">
        <v>2.0833333333333332E-2</v>
      </c>
      <c r="I2" s="8">
        <v>1.513948741211159E-2</v>
      </c>
      <c r="J2" s="15">
        <v>1.513948741211159E-2</v>
      </c>
      <c r="K2" s="15">
        <v>0</v>
      </c>
      <c r="L2" s="15">
        <v>0</v>
      </c>
      <c r="M2" s="15">
        <v>0</v>
      </c>
      <c r="N2" s="15">
        <v>3.2520325203252036E-2</v>
      </c>
      <c r="O2" s="15">
        <v>2.3529411764705882E-2</v>
      </c>
      <c r="P2" s="15">
        <v>2.0833333333333332E-2</v>
      </c>
    </row>
    <row r="3" spans="1:16" x14ac:dyDescent="0.3">
      <c r="A3" s="8" t="s">
        <v>24</v>
      </c>
      <c r="B3" s="14">
        <v>2.5661795677672294E-2</v>
      </c>
      <c r="C3" s="14">
        <v>0</v>
      </c>
      <c r="D3" s="14">
        <v>3.0769230769230771E-2</v>
      </c>
      <c r="E3" s="14">
        <v>0</v>
      </c>
      <c r="F3" s="14">
        <v>4.878048780487805E-2</v>
      </c>
      <c r="G3" s="14">
        <v>3.5294117647058823E-2</v>
      </c>
      <c r="H3" s="14">
        <v>4.1666666666666664E-2</v>
      </c>
      <c r="I3" s="8">
        <v>4.0801283089783882E-2</v>
      </c>
      <c r="J3" s="8">
        <f t="shared" ref="J3:P9" si="0">J2+B3</f>
        <v>4.0801283089783882E-2</v>
      </c>
      <c r="K3" s="8">
        <f t="shared" si="0"/>
        <v>0</v>
      </c>
      <c r="L3" s="13">
        <f t="shared" si="0"/>
        <v>3.0769230769230771E-2</v>
      </c>
      <c r="M3" s="8">
        <f t="shared" si="0"/>
        <v>0</v>
      </c>
      <c r="N3" s="8">
        <f t="shared" si="0"/>
        <v>8.1300813008130079E-2</v>
      </c>
      <c r="O3" s="8">
        <f t="shared" si="0"/>
        <v>5.8823529411764705E-2</v>
      </c>
      <c r="P3" s="8">
        <f t="shared" si="0"/>
        <v>6.25E-2</v>
      </c>
    </row>
    <row r="4" spans="1:16" x14ac:dyDescent="0.3">
      <c r="A4" s="8" t="s">
        <v>27</v>
      </c>
      <c r="B4" s="14">
        <v>3.1275313482163107E-2</v>
      </c>
      <c r="C4" s="14">
        <v>4.6153846153846156E-2</v>
      </c>
      <c r="D4" s="14">
        <v>3.0769230769230771E-2</v>
      </c>
      <c r="E4" s="14">
        <v>1.1764705882352941E-2</v>
      </c>
      <c r="F4" s="14">
        <v>4.878048780487805E-2</v>
      </c>
      <c r="G4" s="14">
        <v>0.14117647058823529</v>
      </c>
      <c r="H4" s="14">
        <v>2.0833333333333332E-2</v>
      </c>
      <c r="I4" s="8">
        <v>7.2076596571946983E-2</v>
      </c>
      <c r="J4" s="8">
        <f t="shared" si="0"/>
        <v>7.2076596571946983E-2</v>
      </c>
      <c r="K4" s="8">
        <f t="shared" si="0"/>
        <v>4.6153846153846156E-2</v>
      </c>
      <c r="L4" s="13">
        <f t="shared" si="0"/>
        <v>6.1538461538461542E-2</v>
      </c>
      <c r="M4" s="8">
        <f t="shared" si="0"/>
        <v>1.1764705882352941E-2</v>
      </c>
      <c r="N4" s="8">
        <f t="shared" si="0"/>
        <v>0.13008130081300812</v>
      </c>
      <c r="O4" s="8">
        <f t="shared" si="0"/>
        <v>0.2</v>
      </c>
      <c r="P4" s="8">
        <f t="shared" si="0"/>
        <v>8.3333333333333329E-2</v>
      </c>
    </row>
    <row r="5" spans="1:16" x14ac:dyDescent="0.3">
      <c r="A5" s="8" t="s">
        <v>25</v>
      </c>
      <c r="B5" s="14">
        <v>5.2044519327349902E-2</v>
      </c>
      <c r="C5" s="14">
        <v>1.5384615384615385E-2</v>
      </c>
      <c r="D5" s="14">
        <v>1.5384615384615385E-2</v>
      </c>
      <c r="E5" s="14">
        <v>3.5294117647058823E-2</v>
      </c>
      <c r="F5" s="14">
        <v>3.2520325203252036E-2</v>
      </c>
      <c r="G5" s="14">
        <v>7.0588235294117646E-2</v>
      </c>
      <c r="H5" s="14">
        <v>0</v>
      </c>
      <c r="I5" s="8">
        <v>0.12412111589929689</v>
      </c>
      <c r="J5" s="8">
        <f t="shared" si="0"/>
        <v>0.12412111589929689</v>
      </c>
      <c r="K5" s="8">
        <f t="shared" si="0"/>
        <v>6.1538461538461542E-2</v>
      </c>
      <c r="L5" s="13">
        <f t="shared" si="0"/>
        <v>7.6923076923076927E-2</v>
      </c>
      <c r="M5" s="8">
        <f t="shared" si="0"/>
        <v>4.7058823529411764E-2</v>
      </c>
      <c r="N5" s="8">
        <f t="shared" si="0"/>
        <v>0.16260162601626016</v>
      </c>
      <c r="O5" s="8">
        <f t="shared" si="0"/>
        <v>0.27058823529411768</v>
      </c>
      <c r="P5" s="8">
        <f t="shared" si="0"/>
        <v>8.3333333333333329E-2</v>
      </c>
    </row>
    <row r="6" spans="1:16" x14ac:dyDescent="0.3">
      <c r="A6" s="8" t="s">
        <v>26</v>
      </c>
      <c r="B6" s="14">
        <v>6.400058322262904E-2</v>
      </c>
      <c r="C6" s="14">
        <v>0.12307692307692308</v>
      </c>
      <c r="D6" s="14">
        <v>0.12307692307692308</v>
      </c>
      <c r="E6" s="14">
        <v>2.3529411764705882E-2</v>
      </c>
      <c r="F6" s="14">
        <v>4.878048780487805E-2</v>
      </c>
      <c r="G6" s="14">
        <v>0.12941176470588237</v>
      </c>
      <c r="H6" s="14">
        <v>4.1666666666666664E-2</v>
      </c>
      <c r="I6" s="8">
        <v>0.18812169912192594</v>
      </c>
      <c r="J6" s="8">
        <f t="shared" si="0"/>
        <v>0.18812169912192594</v>
      </c>
      <c r="K6" s="8">
        <f t="shared" si="0"/>
        <v>0.18461538461538463</v>
      </c>
      <c r="L6" s="13">
        <f t="shared" si="0"/>
        <v>0.2</v>
      </c>
      <c r="M6" s="8">
        <f t="shared" si="0"/>
        <v>7.0588235294117646E-2</v>
      </c>
      <c r="N6" s="8">
        <f t="shared" si="0"/>
        <v>0.2113821138211382</v>
      </c>
      <c r="O6" s="8">
        <f t="shared" si="0"/>
        <v>0.4</v>
      </c>
      <c r="P6" s="8">
        <f t="shared" si="0"/>
        <v>0.125</v>
      </c>
    </row>
    <row r="7" spans="1:16" x14ac:dyDescent="0.3">
      <c r="A7" s="8" t="s">
        <v>28</v>
      </c>
      <c r="B7" s="14">
        <v>6.7297411139552218E-2</v>
      </c>
      <c r="C7" s="14">
        <v>0.24615384615384617</v>
      </c>
      <c r="D7" s="14">
        <v>0.35384615384615387</v>
      </c>
      <c r="E7" s="14">
        <v>0.36470588235294116</v>
      </c>
      <c r="F7" s="14">
        <v>0.18699186991869918</v>
      </c>
      <c r="G7" s="14">
        <v>0.15294117647058825</v>
      </c>
      <c r="H7" s="14">
        <v>0.14583333333333334</v>
      </c>
      <c r="I7" s="8">
        <v>0.25541911026147818</v>
      </c>
      <c r="J7" s="8">
        <f t="shared" si="0"/>
        <v>0.25541911026147818</v>
      </c>
      <c r="K7" s="8">
        <f t="shared" si="0"/>
        <v>0.43076923076923079</v>
      </c>
      <c r="L7" s="13">
        <f t="shared" si="0"/>
        <v>0.55384615384615388</v>
      </c>
      <c r="M7" s="8">
        <f t="shared" si="0"/>
        <v>0.43529411764705883</v>
      </c>
      <c r="N7" s="8">
        <f t="shared" si="0"/>
        <v>0.39837398373983735</v>
      </c>
      <c r="O7" s="8">
        <f t="shared" si="0"/>
        <v>0.55294117647058827</v>
      </c>
      <c r="P7" s="8">
        <f t="shared" si="0"/>
        <v>0.27083333333333337</v>
      </c>
    </row>
    <row r="8" spans="1:16" x14ac:dyDescent="0.3">
      <c r="A8" s="8" t="s">
        <v>23</v>
      </c>
      <c r="B8" s="14">
        <v>0.19411593169814989</v>
      </c>
      <c r="C8" s="14">
        <v>0.33846153846153848</v>
      </c>
      <c r="D8" s="14">
        <v>7.6923076923076927E-2</v>
      </c>
      <c r="E8" s="14">
        <v>0.10588235294117647</v>
      </c>
      <c r="F8" s="14">
        <v>0.11382113821138211</v>
      </c>
      <c r="G8" s="14">
        <v>0.14117647058823529</v>
      </c>
      <c r="H8" s="14">
        <v>0.20833333333333334</v>
      </c>
      <c r="I8" s="8">
        <v>0.44953504195962807</v>
      </c>
      <c r="J8" s="8">
        <f t="shared" si="0"/>
        <v>0.44953504195962807</v>
      </c>
      <c r="K8" s="8">
        <f t="shared" si="0"/>
        <v>0.76923076923076927</v>
      </c>
      <c r="L8" s="13">
        <f t="shared" si="0"/>
        <v>0.63076923076923075</v>
      </c>
      <c r="M8" s="8">
        <f t="shared" si="0"/>
        <v>0.54117647058823526</v>
      </c>
      <c r="N8" s="8">
        <f t="shared" si="0"/>
        <v>0.51219512195121941</v>
      </c>
      <c r="O8" s="8">
        <f t="shared" si="0"/>
        <v>0.69411764705882351</v>
      </c>
      <c r="P8" s="8">
        <f t="shared" si="0"/>
        <v>0.47916666666666674</v>
      </c>
    </row>
    <row r="9" spans="1:16" x14ac:dyDescent="0.3">
      <c r="A9" s="8" t="s">
        <v>22</v>
      </c>
      <c r="B9" s="14">
        <v>0.55046495804037199</v>
      </c>
      <c r="C9" s="14">
        <v>0.23076923076923078</v>
      </c>
      <c r="D9" s="14">
        <v>0.36923076923076925</v>
      </c>
      <c r="E9" s="14">
        <v>0.45882352941176469</v>
      </c>
      <c r="F9" s="14">
        <v>0.48780487804878048</v>
      </c>
      <c r="G9" s="14">
        <v>0.30588235294117649</v>
      </c>
      <c r="H9" s="14">
        <v>0.52083333333333337</v>
      </c>
      <c r="I9" s="8">
        <v>1</v>
      </c>
      <c r="J9" s="8">
        <f t="shared" si="0"/>
        <v>1</v>
      </c>
      <c r="K9" s="8">
        <f t="shared" si="0"/>
        <v>1</v>
      </c>
      <c r="L9" s="13">
        <f t="shared" si="0"/>
        <v>1</v>
      </c>
      <c r="M9" s="8">
        <f t="shared" si="0"/>
        <v>1</v>
      </c>
      <c r="N9" s="8">
        <f t="shared" si="0"/>
        <v>0.99999999999999989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9" t="s">
        <v>67</v>
      </c>
      <c r="L11" s="9" t="s">
        <v>68</v>
      </c>
      <c r="M11" s="9" t="s">
        <v>69</v>
      </c>
      <c r="N11" s="9" t="s">
        <v>70</v>
      </c>
      <c r="O11" s="9" t="s">
        <v>71</v>
      </c>
      <c r="P11" s="9" t="s">
        <v>72</v>
      </c>
    </row>
    <row r="12" spans="1:16" x14ac:dyDescent="0.3">
      <c r="B12" s="8" t="s">
        <v>29</v>
      </c>
      <c r="C12" s="8">
        <f>C2-B2</f>
        <v>-1.513948741211159E-2</v>
      </c>
      <c r="D12" s="8">
        <f>D2-B2</f>
        <v>-1.513948741211159E-2</v>
      </c>
      <c r="E12" s="8">
        <f>E2-B2</f>
        <v>-1.513948741211159E-2</v>
      </c>
      <c r="F12" s="8">
        <f>F2-B2</f>
        <v>1.7380837791140448E-2</v>
      </c>
      <c r="G12" s="8">
        <f>G2-B2</f>
        <v>8.3899243525942923E-3</v>
      </c>
      <c r="H12" s="8">
        <f>H2-B2</f>
        <v>5.6938459212217424E-3</v>
      </c>
      <c r="J12" s="8" t="s">
        <v>29</v>
      </c>
      <c r="K12" s="7">
        <f>(J2-0) * (K2+0)</f>
        <v>0</v>
      </c>
      <c r="L12" s="7">
        <f t="shared" ref="L12" si="1">(K2-0) * (L2+0)</f>
        <v>0</v>
      </c>
      <c r="M12" s="7">
        <f>(J2-0) * (M2+0)</f>
        <v>0</v>
      </c>
      <c r="N12" s="7">
        <f>(J2-0) * (N2+0)</f>
        <v>4.9234105405240945E-4</v>
      </c>
      <c r="O12" s="7">
        <f>(J2-0) * (O2+0)</f>
        <v>3.5622323322615504E-4</v>
      </c>
      <c r="P12" s="7">
        <f>(J2-0) * (P2+0)</f>
        <v>3.1540598775232475E-4</v>
      </c>
    </row>
    <row r="13" spans="1:16" x14ac:dyDescent="0.3">
      <c r="B13" s="8" t="s">
        <v>24</v>
      </c>
      <c r="C13" s="8">
        <f t="shared" ref="C13:C19" si="2">C3-B3</f>
        <v>-2.5661795677672294E-2</v>
      </c>
      <c r="D13" s="8">
        <f t="shared" ref="D13:D19" si="3">D3-B3</f>
        <v>5.1074350915584765E-3</v>
      </c>
      <c r="E13" s="8">
        <f t="shared" ref="E13:E19" si="4">E3-B3</f>
        <v>-2.5661795677672294E-2</v>
      </c>
      <c r="F13" s="8">
        <f t="shared" ref="F13:F19" si="5">F3-B3</f>
        <v>2.3118692127205756E-2</v>
      </c>
      <c r="G13" s="8">
        <f t="shared" ref="G13:G19" si="6">G3-B3</f>
        <v>9.6323219693865286E-3</v>
      </c>
      <c r="H13" s="8">
        <f t="shared" ref="H13:H19" si="7">H3-B3</f>
        <v>1.600487098899437E-2</v>
      </c>
      <c r="J13" s="8" t="s">
        <v>24</v>
      </c>
      <c r="K13" s="7">
        <f>(J3-J2) * (K3+K2)</f>
        <v>0</v>
      </c>
      <c r="L13" s="7">
        <f>(J3-J2) * (L3+L2)</f>
        <v>7.8959371315914751E-4</v>
      </c>
      <c r="M13" s="7">
        <f>(J3-J2) * (M3+M2)</f>
        <v>0</v>
      </c>
      <c r="N13" s="7">
        <f>(J3-J2) * (N3+N2)</f>
        <v>2.9208547925805867E-3</v>
      </c>
      <c r="O13" s="7">
        <f>(J3-J2) * (O3+O2)</f>
        <v>2.1133243499259534E-3</v>
      </c>
      <c r="P13" s="7">
        <f>(J3-J2) * (P3+P2)</f>
        <v>2.1384829731393579E-3</v>
      </c>
    </row>
    <row r="14" spans="1:16" x14ac:dyDescent="0.3">
      <c r="B14" s="8" t="s">
        <v>27</v>
      </c>
      <c r="C14" s="8">
        <f t="shared" si="2"/>
        <v>1.4878532671683049E-2</v>
      </c>
      <c r="D14" s="8">
        <f t="shared" si="3"/>
        <v>-5.0608271293233614E-4</v>
      </c>
      <c r="E14" s="8">
        <f t="shared" si="4"/>
        <v>-1.9510607599810166E-2</v>
      </c>
      <c r="F14" s="8">
        <f t="shared" si="5"/>
        <v>1.7505174322714943E-2</v>
      </c>
      <c r="G14" s="8">
        <f t="shared" si="6"/>
        <v>0.10990115710607218</v>
      </c>
      <c r="H14" s="8">
        <f t="shared" si="7"/>
        <v>-1.0441980148829775E-2</v>
      </c>
      <c r="J14" s="8" t="s">
        <v>27</v>
      </c>
      <c r="K14" s="7">
        <f t="shared" ref="K14:K19" si="8">(J4-J3) * (K4+K3)</f>
        <v>1.4434760068690663E-3</v>
      </c>
      <c r="L14" s="7">
        <f t="shared" ref="L14:L19" si="9">(J4-J3) * (L4+L3)</f>
        <v>2.8869520137381325E-3</v>
      </c>
      <c r="M14" s="7">
        <f t="shared" ref="M14:M19" si="10">(J4-J3) * (M4+M3)</f>
        <v>3.6794486449603648E-4</v>
      </c>
      <c r="N14" s="7">
        <f t="shared" ref="N14:N19" si="11">(J4-J3) * (N4+N3)</f>
        <v>6.6110418742783787E-3</v>
      </c>
      <c r="O14" s="7">
        <f t="shared" ref="O14:O19" si="12">(J4-J3) * (O4+O3)</f>
        <v>8.0947870189128027E-3</v>
      </c>
      <c r="P14" s="7">
        <f t="shared" ref="P14:P19" si="13">(J4-J3) * (P4+P3)</f>
        <v>4.5609832161487849E-3</v>
      </c>
    </row>
    <row r="15" spans="1:16" x14ac:dyDescent="0.3">
      <c r="B15" s="8" t="s">
        <v>25</v>
      </c>
      <c r="C15" s="8">
        <f t="shared" si="2"/>
        <v>-3.6659903942734516E-2</v>
      </c>
      <c r="D15" s="8">
        <f t="shared" si="3"/>
        <v>-3.6659903942734516E-2</v>
      </c>
      <c r="E15" s="8">
        <f t="shared" si="4"/>
        <v>-1.6750401680291079E-2</v>
      </c>
      <c r="F15" s="8">
        <f t="shared" si="5"/>
        <v>-1.9524194124097866E-2</v>
      </c>
      <c r="G15" s="8">
        <f t="shared" si="6"/>
        <v>1.8543715966767745E-2</v>
      </c>
      <c r="H15" s="8">
        <f t="shared" si="7"/>
        <v>-5.2044519327349902E-2</v>
      </c>
      <c r="J15" s="8" t="s">
        <v>25</v>
      </c>
      <c r="K15" s="7">
        <f t="shared" si="8"/>
        <v>5.6047943890992213E-3</v>
      </c>
      <c r="L15" s="7">
        <f t="shared" si="9"/>
        <v>7.2061642145561412E-3</v>
      </c>
      <c r="M15" s="7">
        <f t="shared" si="10"/>
        <v>3.0614423133735239E-3</v>
      </c>
      <c r="N15" s="7">
        <f t="shared" si="11"/>
        <v>1.5232542242151191E-2</v>
      </c>
      <c r="O15" s="7">
        <f t="shared" si="12"/>
        <v>2.4491538506988195E-2</v>
      </c>
      <c r="P15" s="7">
        <f t="shared" si="13"/>
        <v>8.6740865545583169E-3</v>
      </c>
    </row>
    <row r="16" spans="1:16" x14ac:dyDescent="0.3">
      <c r="B16" s="8" t="s">
        <v>26</v>
      </c>
      <c r="C16" s="8">
        <f t="shared" si="2"/>
        <v>5.9076339854294044E-2</v>
      </c>
      <c r="D16" s="8">
        <f t="shared" si="3"/>
        <v>5.9076339854294044E-2</v>
      </c>
      <c r="E16" s="8">
        <f t="shared" si="4"/>
        <v>-4.0471171457923158E-2</v>
      </c>
      <c r="F16" s="8">
        <f t="shared" si="5"/>
        <v>-1.522009541775099E-2</v>
      </c>
      <c r="G16" s="8">
        <f t="shared" si="6"/>
        <v>6.5411181483253325E-2</v>
      </c>
      <c r="H16" s="8">
        <f t="shared" si="7"/>
        <v>-2.2333916555962376E-2</v>
      </c>
      <c r="J16" s="8" t="s">
        <v>26</v>
      </c>
      <c r="K16" s="7">
        <f t="shared" si="8"/>
        <v>1.5753989716339459E-2</v>
      </c>
      <c r="L16" s="7">
        <f t="shared" si="9"/>
        <v>1.7723238430881891E-2</v>
      </c>
      <c r="M16" s="7">
        <f t="shared" si="10"/>
        <v>7.52948037913283E-3</v>
      </c>
      <c r="N16" s="7">
        <f t="shared" si="11"/>
        <v>2.3935177465373467E-2</v>
      </c>
      <c r="O16" s="7">
        <f t="shared" si="12"/>
        <v>4.2918038161057132E-2</v>
      </c>
      <c r="P16" s="7">
        <f t="shared" si="13"/>
        <v>1.3333454838047718E-2</v>
      </c>
    </row>
    <row r="17" spans="2:16" x14ac:dyDescent="0.3">
      <c r="B17" s="8" t="s">
        <v>28</v>
      </c>
      <c r="C17" s="8">
        <f t="shared" si="2"/>
        <v>0.17885643501429394</v>
      </c>
      <c r="D17" s="8">
        <f t="shared" si="3"/>
        <v>0.28654874270660163</v>
      </c>
      <c r="E17" s="8">
        <f t="shared" si="4"/>
        <v>0.29740847121338893</v>
      </c>
      <c r="F17" s="8">
        <f t="shared" si="5"/>
        <v>0.11969445877914696</v>
      </c>
      <c r="G17" s="8">
        <f t="shared" si="6"/>
        <v>8.5643765331036029E-2</v>
      </c>
      <c r="H17" s="8">
        <f t="shared" si="7"/>
        <v>7.8535922193781124E-2</v>
      </c>
      <c r="J17" s="8" t="s">
        <v>28</v>
      </c>
      <c r="K17" s="7">
        <f t="shared" si="8"/>
        <v>4.1413791470493684E-2</v>
      </c>
      <c r="L17" s="7">
        <f t="shared" si="9"/>
        <v>5.073189455135476E-2</v>
      </c>
      <c r="M17" s="7">
        <f t="shared" si="10"/>
        <v>3.4044572694126425E-2</v>
      </c>
      <c r="N17" s="7">
        <f t="shared" si="11"/>
        <v>4.1035006792409887E-2</v>
      </c>
      <c r="O17" s="7">
        <f t="shared" si="12"/>
        <v>6.4130474144749774E-2</v>
      </c>
      <c r="P17" s="7">
        <f t="shared" si="13"/>
        <v>2.6638558576072762E-2</v>
      </c>
    </row>
    <row r="18" spans="2:16" x14ac:dyDescent="0.3">
      <c r="B18" s="8" t="s">
        <v>23</v>
      </c>
      <c r="C18" s="8">
        <f t="shared" si="2"/>
        <v>0.14434560676338859</v>
      </c>
      <c r="D18" s="8">
        <f t="shared" si="3"/>
        <v>-0.11719285477507296</v>
      </c>
      <c r="E18" s="8">
        <f t="shared" si="4"/>
        <v>-8.8233578756973421E-2</v>
      </c>
      <c r="F18" s="8">
        <f t="shared" si="5"/>
        <v>-8.0294793486767782E-2</v>
      </c>
      <c r="G18" s="8">
        <f t="shared" si="6"/>
        <v>-5.2939461109914598E-2</v>
      </c>
      <c r="H18" s="8">
        <f t="shared" si="7"/>
        <v>1.4217401635183452E-2</v>
      </c>
      <c r="J18" s="8" t="s">
        <v>23</v>
      </c>
      <c r="K18" s="7">
        <f t="shared" si="8"/>
        <v>0.23293911803777989</v>
      </c>
      <c r="L18" s="7">
        <f t="shared" si="9"/>
        <v>0.22995271908857756</v>
      </c>
      <c r="M18" s="7">
        <f t="shared" si="10"/>
        <v>0.1895484980111346</v>
      </c>
      <c r="N18" s="7">
        <f t="shared" si="11"/>
        <v>0.1767559703267706</v>
      </c>
      <c r="O18" s="7">
        <f t="shared" si="12"/>
        <v>0.24207398541181047</v>
      </c>
      <c r="P18" s="7">
        <f t="shared" si="13"/>
        <v>0.14558694877361245</v>
      </c>
    </row>
    <row r="19" spans="2:16" x14ac:dyDescent="0.3">
      <c r="B19" s="8" t="s">
        <v>22</v>
      </c>
      <c r="C19" s="8">
        <f t="shared" si="2"/>
        <v>-0.31969572727114121</v>
      </c>
      <c r="D19" s="8">
        <f t="shared" si="3"/>
        <v>-0.18123418880960274</v>
      </c>
      <c r="E19" s="8">
        <f t="shared" si="4"/>
        <v>-9.1641428628607302E-2</v>
      </c>
      <c r="F19" s="8">
        <f t="shared" si="5"/>
        <v>-6.2660079991591511E-2</v>
      </c>
      <c r="G19" s="8">
        <f t="shared" si="6"/>
        <v>-0.24458260509919549</v>
      </c>
      <c r="H19" s="8">
        <f t="shared" si="7"/>
        <v>-2.9631624707038617E-2</v>
      </c>
      <c r="J19" s="8" t="s">
        <v>22</v>
      </c>
      <c r="K19" s="7">
        <f t="shared" si="8"/>
        <v>0.97389954114835042</v>
      </c>
      <c r="L19" s="7">
        <f t="shared" si="9"/>
        <v>0.89768131618891434</v>
      </c>
      <c r="M19" s="7">
        <f t="shared" si="10"/>
        <v>0.8483636412151615</v>
      </c>
      <c r="N19" s="7">
        <f t="shared" si="11"/>
        <v>0.83241042435373314</v>
      </c>
      <c r="O19" s="7">
        <f t="shared" si="12"/>
        <v>0.93255239950368896</v>
      </c>
      <c r="P19" s="7">
        <f t="shared" si="13"/>
        <v>0.81422941710138363</v>
      </c>
    </row>
    <row r="20" spans="2:16" x14ac:dyDescent="0.3">
      <c r="J20" s="9" t="s">
        <v>73</v>
      </c>
      <c r="K20" s="9">
        <f>SUM(K12:K19)</f>
        <v>1.2710547107689316</v>
      </c>
      <c r="L20" s="9">
        <f t="shared" ref="L20:P20" si="14">SUM(L12:L19)</f>
        <v>1.206971878201182</v>
      </c>
      <c r="M20" s="9">
        <f t="shared" si="14"/>
        <v>1.082915579477425</v>
      </c>
      <c r="N20" s="9">
        <f t="shared" si="14"/>
        <v>1.0993933589013496</v>
      </c>
      <c r="O20" s="9">
        <f t="shared" si="14"/>
        <v>1.3167307703303595</v>
      </c>
      <c r="P20" s="9">
        <f t="shared" si="14"/>
        <v>1.0154773380207154</v>
      </c>
    </row>
    <row r="21" spans="2:16" x14ac:dyDescent="0.3">
      <c r="J21" s="12" t="s">
        <v>74</v>
      </c>
      <c r="K21" s="12">
        <f>1-K20</f>
        <v>-0.27105471076893162</v>
      </c>
      <c r="L21" s="12">
        <f t="shared" ref="L21:P21" si="15">1-L20</f>
        <v>-0.20697187820118201</v>
      </c>
      <c r="M21" s="12">
        <f t="shared" si="15"/>
        <v>-8.2915579477425005E-2</v>
      </c>
      <c r="N21" s="12">
        <f t="shared" si="15"/>
        <v>-9.9393358901349593E-2</v>
      </c>
      <c r="O21" s="12">
        <f t="shared" si="15"/>
        <v>-0.31673077033035946</v>
      </c>
      <c r="P21" s="12">
        <f t="shared" si="15"/>
        <v>-1.5477338020715381E-2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52B7-ACE2-4808-AE5C-45093B690730}">
  <dimension ref="A1:P13"/>
  <sheetViews>
    <sheetView workbookViewId="0">
      <selection activeCell="A16" sqref="A16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33</v>
      </c>
      <c r="B2" s="14">
        <v>5.0801479654747225E-2</v>
      </c>
      <c r="C2" s="14">
        <v>8.5470085470085472E-2</v>
      </c>
      <c r="D2" s="14">
        <v>0</v>
      </c>
      <c r="E2" s="14">
        <v>3.4482758620689655E-2</v>
      </c>
      <c r="F2" s="14">
        <v>0.1076923076923077</v>
      </c>
      <c r="G2" s="14">
        <v>0.10294117647058823</v>
      </c>
      <c r="H2" s="14">
        <v>7.407407407407407E-2</v>
      </c>
      <c r="I2" s="8">
        <v>5.0801479654747225E-2</v>
      </c>
      <c r="J2" s="15">
        <v>5.0801479654747225E-2</v>
      </c>
      <c r="K2" s="15">
        <v>8.5470085470085472E-2</v>
      </c>
      <c r="L2" s="15">
        <v>0</v>
      </c>
      <c r="M2" s="15">
        <v>3.4482758620689655E-2</v>
      </c>
      <c r="N2" s="15">
        <v>0.1076923076923077</v>
      </c>
      <c r="O2" s="15">
        <v>0.10294117647058823</v>
      </c>
      <c r="P2" s="15">
        <v>7.407407407407407E-2</v>
      </c>
    </row>
    <row r="3" spans="1:16" x14ac:dyDescent="0.3">
      <c r="A3" s="8" t="s">
        <v>32</v>
      </c>
      <c r="B3" s="14">
        <v>9.0322580645161285E-2</v>
      </c>
      <c r="C3" s="14">
        <v>7.6923076923076927E-2</v>
      </c>
      <c r="D3" s="14">
        <v>4.2553191489361701E-2</v>
      </c>
      <c r="E3" s="14">
        <v>5.1724137931034482E-2</v>
      </c>
      <c r="F3" s="14">
        <v>3.0769230769230771E-2</v>
      </c>
      <c r="G3" s="14">
        <v>0.13235294117647059</v>
      </c>
      <c r="H3" s="14">
        <v>0.27777777777777779</v>
      </c>
      <c r="I3" s="8">
        <v>0.14112406029990851</v>
      </c>
      <c r="J3" s="8">
        <f>J2+B3</f>
        <v>0.14112406029990851</v>
      </c>
      <c r="K3" s="8">
        <f t="shared" ref="K3:P5" si="0">K2+C3</f>
        <v>0.1623931623931624</v>
      </c>
      <c r="L3" s="8">
        <f t="shared" si="0"/>
        <v>4.2553191489361701E-2</v>
      </c>
      <c r="M3" s="8">
        <f t="shared" si="0"/>
        <v>8.6206896551724144E-2</v>
      </c>
      <c r="N3" s="8">
        <f t="shared" si="0"/>
        <v>0.13846153846153847</v>
      </c>
      <c r="O3" s="8">
        <f t="shared" si="0"/>
        <v>0.23529411764705882</v>
      </c>
      <c r="P3" s="8">
        <f t="shared" si="0"/>
        <v>0.35185185185185186</v>
      </c>
    </row>
    <row r="4" spans="1:16" x14ac:dyDescent="0.3">
      <c r="A4" s="8" t="s">
        <v>31</v>
      </c>
      <c r="B4" s="14">
        <v>0.10747384750009945</v>
      </c>
      <c r="C4" s="14">
        <v>6.8376068376068383E-2</v>
      </c>
      <c r="D4" s="14">
        <v>0.23404255319148937</v>
      </c>
      <c r="E4" s="14">
        <v>0.15517241379310345</v>
      </c>
      <c r="F4" s="14">
        <v>0.2</v>
      </c>
      <c r="G4" s="14">
        <v>0.27205882352941174</v>
      </c>
      <c r="H4" s="14">
        <v>0.1111111111111111</v>
      </c>
      <c r="I4" s="8">
        <v>0.24859790780000796</v>
      </c>
      <c r="J4" s="8">
        <f t="shared" ref="J4:J5" si="1">J3+B4</f>
        <v>0.24859790780000796</v>
      </c>
      <c r="K4" s="8">
        <f t="shared" si="0"/>
        <v>0.23076923076923078</v>
      </c>
      <c r="L4" s="8">
        <f t="shared" si="0"/>
        <v>0.27659574468085107</v>
      </c>
      <c r="M4" s="8">
        <f t="shared" si="0"/>
        <v>0.2413793103448276</v>
      </c>
      <c r="N4" s="8">
        <f t="shared" si="0"/>
        <v>0.33846153846153848</v>
      </c>
      <c r="O4" s="8">
        <f t="shared" si="0"/>
        <v>0.50735294117647056</v>
      </c>
      <c r="P4" s="8">
        <f t="shared" si="0"/>
        <v>0.46296296296296297</v>
      </c>
    </row>
    <row r="5" spans="1:16" x14ac:dyDescent="0.3">
      <c r="A5" s="8" t="s">
        <v>30</v>
      </c>
      <c r="B5" s="14">
        <v>0.7514020921999921</v>
      </c>
      <c r="C5" s="14">
        <v>0.76923076923076927</v>
      </c>
      <c r="D5" s="14">
        <v>0.72340425531914898</v>
      </c>
      <c r="E5" s="14">
        <v>0.75862068965517238</v>
      </c>
      <c r="F5" s="14">
        <v>0.66153846153846152</v>
      </c>
      <c r="G5" s="14">
        <v>0.49264705882352944</v>
      </c>
      <c r="H5" s="14">
        <v>0.53703703703703709</v>
      </c>
      <c r="I5" s="8">
        <v>1</v>
      </c>
      <c r="J5" s="8">
        <f t="shared" si="1"/>
        <v>1</v>
      </c>
      <c r="K5" s="8">
        <f t="shared" si="0"/>
        <v>1</v>
      </c>
      <c r="L5" s="8">
        <f t="shared" si="0"/>
        <v>1</v>
      </c>
      <c r="M5" s="8">
        <f t="shared" si="0"/>
        <v>1</v>
      </c>
      <c r="N5" s="8">
        <f t="shared" si="0"/>
        <v>1</v>
      </c>
      <c r="O5" s="8">
        <f t="shared" si="0"/>
        <v>1</v>
      </c>
      <c r="P5" s="8">
        <f t="shared" si="0"/>
        <v>1</v>
      </c>
    </row>
    <row r="7" spans="1:16" ht="28.8" x14ac:dyDescent="0.3">
      <c r="B7" s="1" t="s">
        <v>53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J7" s="7"/>
      <c r="K7" s="9" t="s">
        <v>67</v>
      </c>
      <c r="L7" s="9" t="s">
        <v>68</v>
      </c>
      <c r="M7" s="9" t="s">
        <v>69</v>
      </c>
      <c r="N7" s="9" t="s">
        <v>70</v>
      </c>
      <c r="O7" s="9" t="s">
        <v>71</v>
      </c>
      <c r="P7" s="9" t="s">
        <v>72</v>
      </c>
    </row>
    <row r="8" spans="1:16" x14ac:dyDescent="0.3">
      <c r="B8" s="8" t="s">
        <v>33</v>
      </c>
      <c r="C8" s="8">
        <f>C2-B2</f>
        <v>3.4668605815338246E-2</v>
      </c>
      <c r="D8" s="8">
        <f>D2-B2</f>
        <v>-5.0801479654747225E-2</v>
      </c>
      <c r="E8" s="8">
        <f>E2-B2</f>
        <v>-1.6318721034057571E-2</v>
      </c>
      <c r="F8" s="8">
        <f>F2-B2</f>
        <v>5.6890828037560473E-2</v>
      </c>
      <c r="G8" s="8">
        <f>G2-B2</f>
        <v>5.2139696815841005E-2</v>
      </c>
      <c r="H8" s="8">
        <f>H2-B2</f>
        <v>2.3272594419326845E-2</v>
      </c>
      <c r="J8" s="8" t="s">
        <v>33</v>
      </c>
      <c r="K8" s="7">
        <f>($J2-0) * ((K2+0))</f>
        <v>4.3420068080980536E-3</v>
      </c>
      <c r="L8" s="7">
        <f t="shared" ref="L8:P8" si="2">($J2-0) * ((L2+0))</f>
        <v>0</v>
      </c>
      <c r="M8" s="7">
        <f t="shared" si="2"/>
        <v>1.751775160508525E-3</v>
      </c>
      <c r="N8" s="7">
        <f t="shared" si="2"/>
        <v>5.4709285782035474E-3</v>
      </c>
      <c r="O8" s="7">
        <f t="shared" si="2"/>
        <v>5.2295640821063321E-3</v>
      </c>
      <c r="P8" s="7">
        <f t="shared" si="2"/>
        <v>3.7630725670183126E-3</v>
      </c>
    </row>
    <row r="9" spans="1:16" x14ac:dyDescent="0.3">
      <c r="B9" s="8" t="s">
        <v>32</v>
      </c>
      <c r="C9" s="8">
        <f t="shared" ref="C9:C11" si="3">C3-B3</f>
        <v>-1.3399503722084358E-2</v>
      </c>
      <c r="D9" s="8">
        <f t="shared" ref="D9:D11" si="4">D3-B3</f>
        <v>-4.7769389155799584E-2</v>
      </c>
      <c r="E9" s="8">
        <f t="shared" ref="E9:E11" si="5">E3-B3</f>
        <v>-3.8598442714126803E-2</v>
      </c>
      <c r="F9" s="8">
        <f t="shared" ref="F9:F11" si="6">F3-B3</f>
        <v>-5.9553349875930514E-2</v>
      </c>
      <c r="G9" s="8">
        <f t="shared" ref="G9:G11" si="7">G3-B3</f>
        <v>4.2030360531309305E-2</v>
      </c>
      <c r="H9" s="8">
        <f t="shared" ref="H9:H11" si="8">H3-B3</f>
        <v>0.18745519713261649</v>
      </c>
      <c r="J9" s="8" t="s">
        <v>32</v>
      </c>
      <c r="K9" s="7">
        <f>($J3-$J2) * ((K3+K2))</f>
        <v>2.2387648194099805E-2</v>
      </c>
      <c r="L9" s="7">
        <f t="shared" ref="L9:P9" si="9">($J3-$J2) * ((L3+L2))</f>
        <v>3.8435140700068633E-3</v>
      </c>
      <c r="M9" s="7">
        <f t="shared" si="9"/>
        <v>1.0901001112347052E-2</v>
      </c>
      <c r="N9" s="7">
        <f t="shared" si="9"/>
        <v>2.2233250620347395E-2</v>
      </c>
      <c r="O9" s="7">
        <f t="shared" si="9"/>
        <v>3.0550284629981026E-2</v>
      </c>
      <c r="P9" s="7">
        <f t="shared" si="9"/>
        <v>3.8470728793309435E-2</v>
      </c>
    </row>
    <row r="10" spans="1:16" x14ac:dyDescent="0.3">
      <c r="B10" s="8" t="s">
        <v>31</v>
      </c>
      <c r="C10" s="8">
        <f t="shared" si="3"/>
        <v>-3.9097779124031062E-2</v>
      </c>
      <c r="D10" s="8">
        <f t="shared" si="4"/>
        <v>0.12656870569138992</v>
      </c>
      <c r="E10" s="8">
        <f t="shared" si="5"/>
        <v>4.7698566293004008E-2</v>
      </c>
      <c r="F10" s="8">
        <f t="shared" si="6"/>
        <v>9.2526152499900566E-2</v>
      </c>
      <c r="G10" s="8">
        <f t="shared" si="7"/>
        <v>0.1645849760293123</v>
      </c>
      <c r="H10" s="8">
        <f t="shared" si="8"/>
        <v>3.6372636110116596E-3</v>
      </c>
      <c r="J10" s="8" t="s">
        <v>31</v>
      </c>
      <c r="K10" s="7">
        <f t="shared" ref="K10:P11" si="10">($J4-$J3) * ((K4+K3))</f>
        <v>4.2254675085509188E-2</v>
      </c>
      <c r="L10" s="7">
        <f t="shared" si="10"/>
        <v>3.4300164095776423E-2</v>
      </c>
      <c r="M10" s="7">
        <f t="shared" si="10"/>
        <v>3.5206950043136023E-2</v>
      </c>
      <c r="N10" s="7">
        <f t="shared" si="10"/>
        <v>5.1256758038508966E-2</v>
      </c>
      <c r="O10" s="7">
        <f t="shared" si="10"/>
        <v>7.9815136746397383E-2</v>
      </c>
      <c r="P10" s="7">
        <f t="shared" si="10"/>
        <v>8.7571283148229179E-2</v>
      </c>
    </row>
    <row r="11" spans="1:16" x14ac:dyDescent="0.3">
      <c r="B11" s="8" t="s">
        <v>30</v>
      </c>
      <c r="C11" s="8">
        <f t="shared" si="3"/>
        <v>1.7828677030777174E-2</v>
      </c>
      <c r="D11" s="8">
        <f t="shared" si="4"/>
        <v>-2.7997836880843119E-2</v>
      </c>
      <c r="E11" s="8">
        <f t="shared" si="5"/>
        <v>7.2185974551802756E-3</v>
      </c>
      <c r="F11" s="8">
        <f t="shared" si="6"/>
        <v>-8.986363066153058E-2</v>
      </c>
      <c r="G11" s="8">
        <f t="shared" si="7"/>
        <v>-0.25875503337646266</v>
      </c>
      <c r="H11" s="8">
        <f t="shared" si="8"/>
        <v>-0.21436505516295501</v>
      </c>
      <c r="J11" s="8" t="s">
        <v>30</v>
      </c>
      <c r="K11" s="7">
        <f t="shared" si="10"/>
        <v>0.92480257501537477</v>
      </c>
      <c r="L11" s="7">
        <f t="shared" si="10"/>
        <v>0.95923671344679828</v>
      </c>
      <c r="M11" s="7">
        <f t="shared" si="10"/>
        <v>0.93277501100688665</v>
      </c>
      <c r="N11" s="7">
        <f t="shared" si="10"/>
        <v>1.0057228003292202</v>
      </c>
      <c r="O11" s="7">
        <f t="shared" si="10"/>
        <v>1.1326281536838114</v>
      </c>
      <c r="P11" s="7">
        <f t="shared" si="10"/>
        <v>1.0992734311814698</v>
      </c>
    </row>
    <row r="12" spans="1:16" x14ac:dyDescent="0.3">
      <c r="J12" s="10" t="s">
        <v>73</v>
      </c>
      <c r="K12" s="9">
        <f>SUM(K8:K11)</f>
        <v>0.99378690510308187</v>
      </c>
      <c r="L12" s="9">
        <f t="shared" ref="L12:P12" si="11">SUM(L8:L11)</f>
        <v>0.99738039161258152</v>
      </c>
      <c r="M12" s="9">
        <f t="shared" si="11"/>
        <v>0.9806347373228782</v>
      </c>
      <c r="N12" s="9">
        <f t="shared" si="11"/>
        <v>1.0846837375662801</v>
      </c>
      <c r="O12" s="9">
        <f t="shared" si="11"/>
        <v>1.2482231391422962</v>
      </c>
      <c r="P12" s="9">
        <f t="shared" si="11"/>
        <v>1.2290785156900268</v>
      </c>
    </row>
    <row r="13" spans="1:16" x14ac:dyDescent="0.3">
      <c r="J13" s="11" t="s">
        <v>74</v>
      </c>
      <c r="K13" s="12">
        <f>1-K12</f>
        <v>6.2130948969181254E-3</v>
      </c>
      <c r="L13" s="12">
        <f t="shared" ref="L13:P13" si="12">1-L12</f>
        <v>2.6196083874184817E-3</v>
      </c>
      <c r="M13" s="12">
        <f t="shared" si="12"/>
        <v>1.9365262677121797E-2</v>
      </c>
      <c r="N13" s="12">
        <f t="shared" si="12"/>
        <v>-8.4683737566280115E-2</v>
      </c>
      <c r="O13" s="12">
        <f t="shared" si="12"/>
        <v>-0.24822313914229621</v>
      </c>
      <c r="P13" s="12">
        <f t="shared" si="12"/>
        <v>-0.2290785156900268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412-A7B6-4057-ADFD-C3BB5239B5F9}">
  <dimension ref="A1:P15"/>
  <sheetViews>
    <sheetView workbookViewId="0">
      <selection activeCell="A8" sqref="A8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37</v>
      </c>
      <c r="B2" s="14">
        <v>3.0383827888641017E-2</v>
      </c>
      <c r="C2" s="14">
        <v>1.1764705882352941E-2</v>
      </c>
      <c r="D2" s="14">
        <v>1.8518518518518517E-2</v>
      </c>
      <c r="E2" s="14">
        <v>2.247191011235955E-2</v>
      </c>
      <c r="F2" s="14">
        <v>1.7621145374449341E-2</v>
      </c>
      <c r="G2" s="14">
        <v>0</v>
      </c>
      <c r="H2" s="14">
        <v>1.0869565217391304E-2</v>
      </c>
      <c r="I2" s="8">
        <v>3.0383827888641017E-2</v>
      </c>
      <c r="J2" s="15">
        <v>3.0383827888641017E-2</v>
      </c>
      <c r="K2" s="15">
        <v>1.1764705882352941E-2</v>
      </c>
      <c r="L2" s="15">
        <v>1.8518518518518517E-2</v>
      </c>
      <c r="M2" s="15">
        <v>2.247191011235955E-2</v>
      </c>
      <c r="N2" s="15">
        <v>1.7621145374449341E-2</v>
      </c>
      <c r="O2" s="15">
        <v>0</v>
      </c>
      <c r="P2" s="15">
        <v>1.0869565217391304E-2</v>
      </c>
    </row>
    <row r="3" spans="1:16" x14ac:dyDescent="0.3">
      <c r="A3" s="8" t="s">
        <v>35</v>
      </c>
      <c r="B3" s="14">
        <v>3.3753017755095802E-2</v>
      </c>
      <c r="C3" s="14">
        <v>4.7058823529411764E-2</v>
      </c>
      <c r="D3" s="14">
        <v>0</v>
      </c>
      <c r="E3" s="14">
        <v>2.247191011235955E-2</v>
      </c>
      <c r="F3" s="14">
        <v>3.5242290748898682E-2</v>
      </c>
      <c r="G3" s="14">
        <v>2.247191011235955E-2</v>
      </c>
      <c r="H3" s="14">
        <v>2.1739130434782608E-2</v>
      </c>
      <c r="I3" s="8">
        <v>6.4136845643736812E-2</v>
      </c>
      <c r="J3" s="8">
        <f t="shared" ref="J3:P6" si="0">J2+B3</f>
        <v>6.4136845643736812E-2</v>
      </c>
      <c r="K3" s="8">
        <f t="shared" si="0"/>
        <v>5.8823529411764705E-2</v>
      </c>
      <c r="L3" s="8">
        <f t="shared" si="0"/>
        <v>1.8518518518518517E-2</v>
      </c>
      <c r="M3" s="8">
        <f t="shared" si="0"/>
        <v>4.49438202247191E-2</v>
      </c>
      <c r="N3" s="8">
        <f t="shared" si="0"/>
        <v>5.2863436123348026E-2</v>
      </c>
      <c r="O3" s="8">
        <f t="shared" si="0"/>
        <v>2.247191011235955E-2</v>
      </c>
      <c r="P3" s="8">
        <f t="shared" si="0"/>
        <v>3.2608695652173912E-2</v>
      </c>
    </row>
    <row r="4" spans="1:16" x14ac:dyDescent="0.3">
      <c r="A4" s="8" t="s">
        <v>38</v>
      </c>
      <c r="B4" s="14">
        <v>0.2185236683678147</v>
      </c>
      <c r="C4" s="14">
        <v>0.31764705882352939</v>
      </c>
      <c r="D4" s="14">
        <v>0.16666666666666666</v>
      </c>
      <c r="E4" s="14">
        <v>7.8651685393258425E-2</v>
      </c>
      <c r="F4" s="14">
        <v>0.15859030837004406</v>
      </c>
      <c r="G4" s="14">
        <v>0.19101123595505617</v>
      </c>
      <c r="H4" s="14">
        <v>0.29347826086956524</v>
      </c>
      <c r="I4" s="8">
        <v>0.28266051401155151</v>
      </c>
      <c r="J4" s="8">
        <f t="shared" si="0"/>
        <v>0.28266051401155151</v>
      </c>
      <c r="K4" s="8">
        <f t="shared" si="0"/>
        <v>0.37647058823529411</v>
      </c>
      <c r="L4" s="8">
        <f t="shared" si="0"/>
        <v>0.18518518518518517</v>
      </c>
      <c r="M4" s="8">
        <f t="shared" si="0"/>
        <v>0.12359550561797752</v>
      </c>
      <c r="N4" s="8">
        <f t="shared" si="0"/>
        <v>0.2114537444933921</v>
      </c>
      <c r="O4" s="8">
        <f t="shared" si="0"/>
        <v>0.21348314606741572</v>
      </c>
      <c r="P4" s="8">
        <f t="shared" si="0"/>
        <v>0.32608695652173914</v>
      </c>
    </row>
    <row r="5" spans="1:16" x14ac:dyDescent="0.3">
      <c r="A5" s="8" t="s">
        <v>34</v>
      </c>
      <c r="B5" s="14">
        <v>0.31062249793723068</v>
      </c>
      <c r="C5" s="14">
        <v>0.21176470588235294</v>
      </c>
      <c r="D5" s="14">
        <v>0.35185185185185186</v>
      </c>
      <c r="E5" s="14">
        <v>0.3146067415730337</v>
      </c>
      <c r="F5" s="14">
        <v>0.22466960352422907</v>
      </c>
      <c r="G5" s="14">
        <v>0.33146067415730335</v>
      </c>
      <c r="H5" s="14">
        <v>0.20652173913043478</v>
      </c>
      <c r="I5" s="8">
        <v>0.59328301194878219</v>
      </c>
      <c r="J5" s="8">
        <f t="shared" si="0"/>
        <v>0.59328301194878219</v>
      </c>
      <c r="K5" s="8">
        <f t="shared" si="0"/>
        <v>0.58823529411764708</v>
      </c>
      <c r="L5" s="8">
        <f t="shared" si="0"/>
        <v>0.53703703703703698</v>
      </c>
      <c r="M5" s="8">
        <f t="shared" si="0"/>
        <v>0.4382022471910112</v>
      </c>
      <c r="N5" s="8">
        <f t="shared" si="0"/>
        <v>0.4361233480176212</v>
      </c>
      <c r="O5" s="8">
        <f t="shared" si="0"/>
        <v>0.5449438202247191</v>
      </c>
      <c r="P5" s="8">
        <f t="shared" si="0"/>
        <v>0.53260869565217395</v>
      </c>
    </row>
    <row r="6" spans="1:16" x14ac:dyDescent="0.3">
      <c r="A6" s="8" t="s">
        <v>36</v>
      </c>
      <c r="B6" s="14">
        <v>0.40671698805121781</v>
      </c>
      <c r="C6" s="14">
        <v>0.41176470588235292</v>
      </c>
      <c r="D6" s="14">
        <v>0.46296296296296297</v>
      </c>
      <c r="E6" s="14">
        <v>0.5617977528089888</v>
      </c>
      <c r="F6" s="14">
        <v>0.56387665198237891</v>
      </c>
      <c r="G6" s="14">
        <v>0.4550561797752809</v>
      </c>
      <c r="H6" s="14">
        <v>0.46739130434782611</v>
      </c>
      <c r="I6" s="8"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</row>
    <row r="8" spans="1:16" ht="28.8" x14ac:dyDescent="0.3">
      <c r="B8" s="1" t="s">
        <v>53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J8" s="7"/>
      <c r="K8" s="9" t="s">
        <v>67</v>
      </c>
      <c r="L8" s="9" t="s">
        <v>68</v>
      </c>
      <c r="M8" s="9" t="s">
        <v>69</v>
      </c>
      <c r="N8" s="9" t="s">
        <v>70</v>
      </c>
      <c r="O8" s="9" t="s">
        <v>71</v>
      </c>
      <c r="P8" s="9" t="s">
        <v>72</v>
      </c>
    </row>
    <row r="9" spans="1:16" x14ac:dyDescent="0.3">
      <c r="B9" s="8" t="s">
        <v>37</v>
      </c>
      <c r="C9" s="8">
        <f>C2-B2</f>
        <v>-1.8619122006288076E-2</v>
      </c>
      <c r="D9" s="8">
        <f>D2-B2</f>
        <v>-1.18653093701225E-2</v>
      </c>
      <c r="E9" s="8">
        <f>E2-B2</f>
        <v>-7.9119177762814671E-3</v>
      </c>
      <c r="F9" s="8">
        <f>F2-B2</f>
        <v>-1.2762682514191676E-2</v>
      </c>
      <c r="G9" s="8">
        <f>G2-B2</f>
        <v>-3.0383827888641017E-2</v>
      </c>
      <c r="H9" s="8">
        <f>H2-B2</f>
        <v>-1.9514262671249713E-2</v>
      </c>
      <c r="J9" s="8" t="s">
        <v>37</v>
      </c>
      <c r="K9" s="7">
        <f>(J2-0) * ((K2+0))</f>
        <v>3.5745679868989431E-4</v>
      </c>
      <c r="L9" s="7">
        <f>(J2-0) * ((L2+0))</f>
        <v>5.6266347941927807E-4</v>
      </c>
      <c r="M9" s="7">
        <f>(J2-0) * ((M2+0))</f>
        <v>6.8278264918294421E-4</v>
      </c>
      <c r="N9" s="7">
        <f>(J2-0) * ((N2+0))</f>
        <v>5.3539784825799158E-4</v>
      </c>
      <c r="O9" s="7">
        <f>(J2-0) * ((O2+0))</f>
        <v>0</v>
      </c>
      <c r="P9" s="7">
        <f>(J2-0) * ((P2+0))</f>
        <v>3.3025899878957627E-4</v>
      </c>
    </row>
    <row r="10" spans="1:16" x14ac:dyDescent="0.3">
      <c r="B10" s="8" t="s">
        <v>35</v>
      </c>
      <c r="C10" s="8">
        <f t="shared" ref="C10:C13" si="1">C3-B3</f>
        <v>1.3305805774315962E-2</v>
      </c>
      <c r="D10" s="8">
        <f t="shared" ref="D10:D13" si="2">D3-B3</f>
        <v>-3.3753017755095802E-2</v>
      </c>
      <c r="E10" s="8">
        <f t="shared" ref="E10:E13" si="3">E3-B3</f>
        <v>-1.1281107642736252E-2</v>
      </c>
      <c r="F10" s="8">
        <f t="shared" ref="F10:F13" si="4">F3-B3</f>
        <v>1.4892729938028801E-3</v>
      </c>
      <c r="G10" s="8">
        <f t="shared" ref="G10:G13" si="5">G3-B3</f>
        <v>-1.1281107642736252E-2</v>
      </c>
      <c r="H10" s="8">
        <f t="shared" ref="H10:H13" si="6">H3-B3</f>
        <v>-1.2013887320313194E-2</v>
      </c>
      <c r="J10" s="8" t="s">
        <v>35</v>
      </c>
      <c r="K10" s="7">
        <f>(J3-J2) * ((K3+K2))</f>
        <v>2.3825659591832325E-3</v>
      </c>
      <c r="L10" s="7">
        <f>(J3-J2) * ((L3+L2))</f>
        <v>1.2501117687072516E-3</v>
      </c>
      <c r="M10" s="7">
        <f>(J3-J2) * ((M3+M2))</f>
        <v>2.2754843430401661E-3</v>
      </c>
      <c r="N10" s="7">
        <f>(J3-J2) * ((N3+N2))</f>
        <v>2.3790673307556511E-3</v>
      </c>
      <c r="O10" s="7">
        <f>(J3-J2) * ((O3+O2))</f>
        <v>7.5849478101338858E-4</v>
      </c>
      <c r="P10" s="7">
        <f>(J3-J2) * ((P3+P2))</f>
        <v>1.4675225110911214E-3</v>
      </c>
    </row>
    <row r="11" spans="1:16" x14ac:dyDescent="0.3">
      <c r="B11" s="8" t="s">
        <v>38</v>
      </c>
      <c r="C11" s="8">
        <f t="shared" si="1"/>
        <v>9.9123390455714694E-2</v>
      </c>
      <c r="D11" s="8">
        <f t="shared" si="2"/>
        <v>-5.1857001701148042E-2</v>
      </c>
      <c r="E11" s="8">
        <f t="shared" si="3"/>
        <v>-0.13987198297455627</v>
      </c>
      <c r="F11" s="8">
        <f t="shared" si="4"/>
        <v>-5.9933359997770635E-2</v>
      </c>
      <c r="G11" s="8">
        <f t="shared" si="5"/>
        <v>-2.7512432412758525E-2</v>
      </c>
      <c r="H11" s="8">
        <f t="shared" si="6"/>
        <v>7.4954592501750544E-2</v>
      </c>
      <c r="J11" s="8" t="s">
        <v>38</v>
      </c>
      <c r="K11" s="7">
        <f t="shared" ref="K11:K13" si="7">(J4-J3) * ((K4+K3))</f>
        <v>9.5122067407166402E-2</v>
      </c>
      <c r="L11" s="7">
        <f t="shared" ref="L11:L13" si="8">(J4-J3) * ((L4+L3))</f>
        <v>4.4514080593443729E-2</v>
      </c>
      <c r="M11" s="7">
        <f t="shared" ref="M11:M13" si="9">(J4-J3) * ((M4+M3))</f>
        <v>3.6829831747384502E-2</v>
      </c>
      <c r="N11" s="7">
        <f t="shared" ref="N11:N13" si="10">(J4-J3) * ((N4+N3))</f>
        <v>5.7759559921008299E-2</v>
      </c>
      <c r="O11" s="7">
        <f t="shared" ref="O11:O13" si="11">(J4-J3) * ((O4+O3))</f>
        <v>5.1561764446338296E-2</v>
      </c>
      <c r="P11" s="7">
        <f t="shared" ref="P11:P13" si="12">(J4-J3) * ((P4+P3))</f>
        <v>7.8383489740629184E-2</v>
      </c>
    </row>
    <row r="12" spans="1:16" x14ac:dyDescent="0.3">
      <c r="B12" s="8" t="s">
        <v>34</v>
      </c>
      <c r="C12" s="8">
        <f t="shared" si="1"/>
        <v>-9.8857792054877741E-2</v>
      </c>
      <c r="D12" s="8">
        <f t="shared" si="2"/>
        <v>4.1229353914621181E-2</v>
      </c>
      <c r="E12" s="8">
        <f t="shared" si="3"/>
        <v>3.9842436358030198E-3</v>
      </c>
      <c r="F12" s="8">
        <f t="shared" si="4"/>
        <v>-8.5952894413001607E-2</v>
      </c>
      <c r="G12" s="8">
        <f t="shared" si="5"/>
        <v>2.0838176220072668E-2</v>
      </c>
      <c r="H12" s="8">
        <f t="shared" si="6"/>
        <v>-0.1041007588067959</v>
      </c>
      <c r="J12" s="8" t="s">
        <v>34</v>
      </c>
      <c r="K12" s="7">
        <f t="shared" si="7"/>
        <v>0.29965935095121077</v>
      </c>
      <c r="L12" s="7">
        <f t="shared" si="8"/>
        <v>0.22433847073244434</v>
      </c>
      <c r="M12" s="7">
        <f t="shared" si="9"/>
        <v>0.17450702131305093</v>
      </c>
      <c r="N12" s="7">
        <f t="shared" si="10"/>
        <v>0.20115201408270009</v>
      </c>
      <c r="O12" s="7">
        <f t="shared" si="11"/>
        <v>0.23558447877261876</v>
      </c>
      <c r="P12" s="7">
        <f t="shared" si="12"/>
        <v>0.26673018844610025</v>
      </c>
    </row>
    <row r="13" spans="1:16" x14ac:dyDescent="0.3">
      <c r="B13" s="8" t="s">
        <v>36</v>
      </c>
      <c r="C13" s="8">
        <f t="shared" si="1"/>
        <v>5.0477178311351123E-3</v>
      </c>
      <c r="D13" s="8">
        <f t="shared" si="2"/>
        <v>5.6245974911745156E-2</v>
      </c>
      <c r="E13" s="8">
        <f t="shared" si="3"/>
        <v>0.15508076475777099</v>
      </c>
      <c r="F13" s="8">
        <f t="shared" si="4"/>
        <v>0.1571596639311611</v>
      </c>
      <c r="G13" s="8">
        <f t="shared" si="5"/>
        <v>4.8339191724063091E-2</v>
      </c>
      <c r="H13" s="8">
        <f t="shared" si="6"/>
        <v>6.0674316296608299E-2</v>
      </c>
      <c r="J13" s="8" t="s">
        <v>36</v>
      </c>
      <c r="K13" s="7">
        <f t="shared" si="7"/>
        <v>0.64596227514016946</v>
      </c>
      <c r="L13" s="7">
        <f t="shared" si="8"/>
        <v>0.62513907422687176</v>
      </c>
      <c r="M13" s="7">
        <f t="shared" si="9"/>
        <v>0.58494128618602115</v>
      </c>
      <c r="N13" s="7">
        <f t="shared" si="10"/>
        <v>0.58409576257575779</v>
      </c>
      <c r="O13" s="7">
        <f t="shared" si="11"/>
        <v>0.62835489727013993</v>
      </c>
      <c r="P13" s="7">
        <f t="shared" si="12"/>
        <v>0.6233379925567577</v>
      </c>
    </row>
    <row r="14" spans="1:16" x14ac:dyDescent="0.3">
      <c r="J14" s="9" t="s">
        <v>73</v>
      </c>
      <c r="K14" s="9">
        <f>SUM(K9:K13)</f>
        <v>1.0434837162564197</v>
      </c>
      <c r="L14" s="9">
        <f t="shared" ref="L14:P14" si="13">SUM(L9:L13)</f>
        <v>0.8958044008008863</v>
      </c>
      <c r="M14" s="9">
        <f t="shared" si="13"/>
        <v>0.79923640623867964</v>
      </c>
      <c r="N14" s="9">
        <f t="shared" si="13"/>
        <v>0.84592180175847975</v>
      </c>
      <c r="O14" s="9">
        <f t="shared" si="13"/>
        <v>0.91625963527011045</v>
      </c>
      <c r="P14" s="9">
        <f t="shared" si="13"/>
        <v>0.97024945225336778</v>
      </c>
    </row>
    <row r="15" spans="1:16" x14ac:dyDescent="0.3">
      <c r="J15" s="12" t="s">
        <v>74</v>
      </c>
      <c r="K15" s="12">
        <f>1-K14</f>
        <v>-4.3483716256419669E-2</v>
      </c>
      <c r="L15" s="12">
        <f t="shared" ref="L15:P15" si="14">1-L14</f>
        <v>0.1041955991991137</v>
      </c>
      <c r="M15" s="12">
        <f t="shared" si="14"/>
        <v>0.20076359376132036</v>
      </c>
      <c r="N15" s="12">
        <f t="shared" si="14"/>
        <v>0.15407819824152025</v>
      </c>
      <c r="O15" s="12">
        <f t="shared" si="14"/>
        <v>8.3740364729889549E-2</v>
      </c>
      <c r="P15" s="12">
        <f t="shared" si="14"/>
        <v>2.9750547746632217E-2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563F-6F4F-4146-A752-3F596C4A9F5C}">
  <dimension ref="A1:P17"/>
  <sheetViews>
    <sheetView workbookViewId="0">
      <selection activeCell="A9" sqref="A9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44</v>
      </c>
      <c r="B2" s="14">
        <v>6.1128894479437527E-2</v>
      </c>
      <c r="C2" s="14">
        <v>7.2847682119205295E-2</v>
      </c>
      <c r="D2" s="14">
        <v>0.11688311688311688</v>
      </c>
      <c r="E2" s="14">
        <v>7.1428571428571425E-2</v>
      </c>
      <c r="F2" s="14">
        <v>4.0540540540540543E-2</v>
      </c>
      <c r="G2" s="14">
        <v>0.15454545454545454</v>
      </c>
      <c r="H2" s="14">
        <v>7.407407407407407E-2</v>
      </c>
      <c r="I2" s="8">
        <v>6.1128894479437527E-2</v>
      </c>
      <c r="J2" s="15">
        <v>6.1128894479437527E-2</v>
      </c>
      <c r="K2" s="15">
        <v>7.2847682119205295E-2</v>
      </c>
      <c r="L2" s="15">
        <v>0.11688311688311688</v>
      </c>
      <c r="M2" s="15">
        <v>7.1428571428571425E-2</v>
      </c>
      <c r="N2" s="15">
        <v>4.0540540540540543E-2</v>
      </c>
      <c r="O2" s="15">
        <v>0.15454545454545454</v>
      </c>
      <c r="P2" s="15">
        <v>7.407407407407407E-2</v>
      </c>
    </row>
    <row r="3" spans="1:16" x14ac:dyDescent="0.3">
      <c r="A3" s="8" t="s">
        <v>42</v>
      </c>
      <c r="B3" s="14">
        <v>7.5387922537524993E-2</v>
      </c>
      <c r="C3" s="14">
        <v>6.6225165562913912E-2</v>
      </c>
      <c r="D3" s="14">
        <v>1.2987012987012988E-2</v>
      </c>
      <c r="E3" s="14">
        <v>0</v>
      </c>
      <c r="F3" s="14">
        <v>4.72972972972973E-2</v>
      </c>
      <c r="G3" s="14">
        <v>7.2727272727272724E-2</v>
      </c>
      <c r="H3" s="14">
        <v>0.18518518518518517</v>
      </c>
      <c r="I3" s="8">
        <v>0.13651681701696253</v>
      </c>
      <c r="J3" s="8">
        <f t="shared" ref="J3:P7" si="0">J2+B3</f>
        <v>0.13651681701696253</v>
      </c>
      <c r="K3" s="8">
        <f t="shared" si="0"/>
        <v>0.13907284768211919</v>
      </c>
      <c r="L3" s="8">
        <f t="shared" si="0"/>
        <v>0.12987012987012986</v>
      </c>
      <c r="M3" s="8">
        <f t="shared" si="0"/>
        <v>7.1428571428571425E-2</v>
      </c>
      <c r="N3" s="8">
        <f t="shared" si="0"/>
        <v>8.7837837837837843E-2</v>
      </c>
      <c r="O3" s="8">
        <f t="shared" si="0"/>
        <v>0.22727272727272727</v>
      </c>
      <c r="P3" s="8">
        <f t="shared" si="0"/>
        <v>0.25925925925925924</v>
      </c>
    </row>
    <row r="4" spans="1:16" x14ac:dyDescent="0.3">
      <c r="A4" s="8" t="s">
        <v>39</v>
      </c>
      <c r="B4" s="14">
        <v>0.10838363262585775</v>
      </c>
      <c r="C4" s="14">
        <v>3.9735099337748346E-2</v>
      </c>
      <c r="D4" s="14">
        <v>5.1948051948051951E-2</v>
      </c>
      <c r="E4" s="14">
        <v>3.5714285714285712E-2</v>
      </c>
      <c r="F4" s="14">
        <v>0.10135135135135136</v>
      </c>
      <c r="G4" s="14">
        <v>5.4545454545454543E-2</v>
      </c>
      <c r="H4" s="14">
        <v>0.1111111111111111</v>
      </c>
      <c r="I4" s="8">
        <v>0.24490044964282026</v>
      </c>
      <c r="J4" s="8">
        <f t="shared" si="0"/>
        <v>0.24490044964282026</v>
      </c>
      <c r="K4" s="8">
        <f t="shared" si="0"/>
        <v>0.17880794701986755</v>
      </c>
      <c r="L4" s="8">
        <f t="shared" si="0"/>
        <v>0.18181818181818182</v>
      </c>
      <c r="M4" s="8">
        <f t="shared" si="0"/>
        <v>0.10714285714285714</v>
      </c>
      <c r="N4" s="8">
        <f t="shared" si="0"/>
        <v>0.1891891891891892</v>
      </c>
      <c r="O4" s="8">
        <f t="shared" si="0"/>
        <v>0.2818181818181818</v>
      </c>
      <c r="P4" s="8">
        <f t="shared" si="0"/>
        <v>0.37037037037037035</v>
      </c>
    </row>
    <row r="5" spans="1:16" x14ac:dyDescent="0.3">
      <c r="A5" s="8" t="s">
        <v>43</v>
      </c>
      <c r="B5" s="14">
        <v>0.17551089374724255</v>
      </c>
      <c r="C5" s="14">
        <v>0.2185430463576159</v>
      </c>
      <c r="D5" s="14">
        <v>0.19480519480519481</v>
      </c>
      <c r="E5" s="14">
        <v>0.22619047619047619</v>
      </c>
      <c r="F5" s="14">
        <v>0.22297297297297297</v>
      </c>
      <c r="G5" s="14">
        <v>0.2818181818181818</v>
      </c>
      <c r="H5" s="14">
        <v>0.18518518518518517</v>
      </c>
      <c r="I5" s="8">
        <v>0.42041134339006281</v>
      </c>
      <c r="J5" s="8">
        <f t="shared" si="0"/>
        <v>0.42041134339006281</v>
      </c>
      <c r="K5" s="8">
        <f t="shared" si="0"/>
        <v>0.39735099337748347</v>
      </c>
      <c r="L5" s="8">
        <f t="shared" si="0"/>
        <v>0.37662337662337664</v>
      </c>
      <c r="M5" s="8">
        <f t="shared" si="0"/>
        <v>0.33333333333333331</v>
      </c>
      <c r="N5" s="8">
        <f t="shared" si="0"/>
        <v>0.41216216216216217</v>
      </c>
      <c r="O5" s="8">
        <f t="shared" si="0"/>
        <v>0.5636363636363636</v>
      </c>
      <c r="P5" s="8">
        <f t="shared" si="0"/>
        <v>0.55555555555555558</v>
      </c>
    </row>
    <row r="6" spans="1:16" x14ac:dyDescent="0.3">
      <c r="A6" s="8" t="s">
        <v>40</v>
      </c>
      <c r="B6" s="14">
        <v>0.18545184879234763</v>
      </c>
      <c r="C6" s="14">
        <v>9.9337748344370855E-2</v>
      </c>
      <c r="D6" s="14">
        <v>0.15584415584415584</v>
      </c>
      <c r="E6" s="14">
        <v>0.14285714285714285</v>
      </c>
      <c r="F6" s="14">
        <v>0.11486486486486487</v>
      </c>
      <c r="G6" s="14">
        <v>0.11818181818181818</v>
      </c>
      <c r="H6" s="14">
        <v>0.12962962962962962</v>
      </c>
      <c r="I6" s="8">
        <v>0.60586319218241047</v>
      </c>
      <c r="J6" s="8">
        <f t="shared" si="0"/>
        <v>0.60586319218241047</v>
      </c>
      <c r="K6" s="8">
        <f t="shared" si="0"/>
        <v>0.49668874172185434</v>
      </c>
      <c r="L6" s="8">
        <f t="shared" si="0"/>
        <v>0.53246753246753253</v>
      </c>
      <c r="M6" s="8">
        <f t="shared" si="0"/>
        <v>0.47619047619047616</v>
      </c>
      <c r="N6" s="8">
        <f t="shared" si="0"/>
        <v>0.52702702702702708</v>
      </c>
      <c r="O6" s="8">
        <f t="shared" si="0"/>
        <v>0.68181818181818177</v>
      </c>
      <c r="P6" s="8">
        <f t="shared" si="0"/>
        <v>0.68518518518518523</v>
      </c>
    </row>
    <row r="7" spans="1:16" x14ac:dyDescent="0.3">
      <c r="A7" s="8" t="s">
        <v>41</v>
      </c>
      <c r="B7" s="14">
        <v>0.39413680781758959</v>
      </c>
      <c r="C7" s="14">
        <v>0.50331125827814571</v>
      </c>
      <c r="D7" s="14">
        <v>0.46753246753246752</v>
      </c>
      <c r="E7" s="14">
        <v>0.52380952380952384</v>
      </c>
      <c r="F7" s="14">
        <v>0.47297297297297297</v>
      </c>
      <c r="G7" s="14">
        <v>0.31818181818181818</v>
      </c>
      <c r="H7" s="14">
        <v>0.31481481481481483</v>
      </c>
      <c r="I7" s="8">
        <v>1</v>
      </c>
      <c r="J7" s="8">
        <f t="shared" si="0"/>
        <v>1</v>
      </c>
      <c r="K7" s="8">
        <f t="shared" si="0"/>
        <v>1</v>
      </c>
      <c r="L7" s="8">
        <f t="shared" si="0"/>
        <v>1</v>
      </c>
      <c r="M7" s="8">
        <f t="shared" si="0"/>
        <v>1</v>
      </c>
      <c r="N7" s="8">
        <f t="shared" si="0"/>
        <v>1</v>
      </c>
      <c r="O7" s="8">
        <f t="shared" si="0"/>
        <v>1</v>
      </c>
      <c r="P7" s="8">
        <f t="shared" si="0"/>
        <v>1</v>
      </c>
    </row>
    <row r="9" spans="1:16" ht="28.8" x14ac:dyDescent="0.3">
      <c r="B9" s="1" t="s">
        <v>53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J9" s="1" t="s">
        <v>53</v>
      </c>
      <c r="K9" s="9" t="s">
        <v>67</v>
      </c>
      <c r="L9" s="9" t="s">
        <v>68</v>
      </c>
      <c r="M9" s="9" t="s">
        <v>69</v>
      </c>
      <c r="N9" s="9" t="s">
        <v>70</v>
      </c>
      <c r="O9" s="9" t="s">
        <v>71</v>
      </c>
      <c r="P9" s="9" t="s">
        <v>72</v>
      </c>
    </row>
    <row r="10" spans="1:16" x14ac:dyDescent="0.3">
      <c r="B10" s="8" t="s">
        <v>44</v>
      </c>
      <c r="C10" s="8">
        <f>C2-B2</f>
        <v>1.1718787639767768E-2</v>
      </c>
      <c r="D10" s="8">
        <f>D2-B2</f>
        <v>5.5754222403679353E-2</v>
      </c>
      <c r="E10" s="8">
        <f>E2-B2</f>
        <v>1.0299676949133897E-2</v>
      </c>
      <c r="F10" s="8">
        <f>F2-B2</f>
        <v>-2.0588353938896985E-2</v>
      </c>
      <c r="G10" s="8">
        <f>G2-B2</f>
        <v>9.3416560066017007E-2</v>
      </c>
      <c r="H10" s="8">
        <f>H2-B2</f>
        <v>1.2945179594636542E-2</v>
      </c>
      <c r="J10" s="8" t="s">
        <v>44</v>
      </c>
      <c r="K10" s="7">
        <f>(J2-0) * ((K2+0))</f>
        <v>4.4530982733365088E-3</v>
      </c>
      <c r="L10" s="7">
        <f>(J2-0) * ((L2+0))</f>
        <v>7.1449357183758144E-3</v>
      </c>
      <c r="M10" s="7">
        <f>(J2-0) * ((M2+0))</f>
        <v>4.3663496056741092E-3</v>
      </c>
      <c r="N10" s="7">
        <f>(J2-0) * ((N2+0))</f>
        <v>2.4781984248420622E-3</v>
      </c>
      <c r="O10" s="7">
        <f>(J2-0) * ((O2+0))</f>
        <v>9.4471927831857993E-3</v>
      </c>
      <c r="P10" s="7">
        <f>(J2-0) * ((P2+0))</f>
        <v>4.5280662577361127E-3</v>
      </c>
    </row>
    <row r="11" spans="1:16" x14ac:dyDescent="0.3">
      <c r="B11" s="8" t="s">
        <v>42</v>
      </c>
      <c r="C11" s="8">
        <f t="shared" ref="C11:C15" si="1">C3-B3</f>
        <v>-9.1627569746110804E-3</v>
      </c>
      <c r="D11" s="8">
        <f t="shared" ref="D11:D15" si="2">D3-B3</f>
        <v>-6.2400909550512002E-2</v>
      </c>
      <c r="E11" s="8">
        <f t="shared" ref="E11:E15" si="3">E3-B3</f>
        <v>-7.5387922537524993E-2</v>
      </c>
      <c r="F11" s="8">
        <f t="shared" ref="F11:F15" si="4">F3-B3</f>
        <v>-2.8090625240227693E-2</v>
      </c>
      <c r="G11" s="8">
        <f t="shared" ref="G11:G15" si="5">G3-B3</f>
        <v>-2.6606498102522691E-3</v>
      </c>
      <c r="H11" s="8">
        <f t="shared" ref="H11:H15" si="6">H3-B3</f>
        <v>0.10979726264766018</v>
      </c>
      <c r="J11" s="8" t="s">
        <v>42</v>
      </c>
      <c r="K11" s="7">
        <f>(J3-J2) * ((K3+K2))</f>
        <v>1.5976248484773508E-2</v>
      </c>
      <c r="L11" s="7">
        <f>(J3-J2) * ((L3+L2))</f>
        <v>1.8602214652116554E-2</v>
      </c>
      <c r="M11" s="7">
        <f>(J3-J2) * ((M3+M2))</f>
        <v>1.0769703219646426E-2</v>
      </c>
      <c r="N11" s="7">
        <f>(J3-J2) * ((N3+N2))</f>
        <v>9.6781792446822643E-3</v>
      </c>
      <c r="O11" s="7">
        <f>(J3-J2) * ((O3+O2))</f>
        <v>2.8784479514327724E-2</v>
      </c>
      <c r="P11" s="7">
        <f>(J3-J2) * ((P3+P2))</f>
        <v>2.5129307512508331E-2</v>
      </c>
    </row>
    <row r="12" spans="1:16" x14ac:dyDescent="0.3">
      <c r="B12" s="8" t="s">
        <v>39</v>
      </c>
      <c r="C12" s="8">
        <f t="shared" si="1"/>
        <v>-6.8648533288109409E-2</v>
      </c>
      <c r="D12" s="8">
        <f t="shared" si="2"/>
        <v>-5.6435580677805797E-2</v>
      </c>
      <c r="E12" s="8">
        <f t="shared" si="3"/>
        <v>-7.2669346911572036E-2</v>
      </c>
      <c r="F12" s="8">
        <f t="shared" si="4"/>
        <v>-7.0322812745063912E-3</v>
      </c>
      <c r="G12" s="8">
        <f t="shared" si="5"/>
        <v>-5.3838178080403205E-2</v>
      </c>
      <c r="H12" s="8">
        <f t="shared" si="6"/>
        <v>2.7274784852533568E-3</v>
      </c>
      <c r="J12" s="8" t="s">
        <v>39</v>
      </c>
      <c r="K12" s="7">
        <f t="shared" ref="K12:K15" si="7">(J4-J3) * ((K4+K3))</f>
        <v>3.4453075271795829E-2</v>
      </c>
      <c r="L12" s="7">
        <f t="shared" ref="L12:L15" si="8">(J4-J3) * ((L4+L3))</f>
        <v>3.3781911467799811E-2</v>
      </c>
      <c r="M12" s="7">
        <f t="shared" ref="M12:M15" si="9">(J4-J3) * ((M4+M3))</f>
        <v>1.9354220111760308E-2</v>
      </c>
      <c r="N12" s="7">
        <f t="shared" ref="N12:N15" si="10">(J4-J3) * ((N4+N3))</f>
        <v>3.0025195524730861E-2</v>
      </c>
      <c r="O12" s="7">
        <f t="shared" ref="O12:O15" si="11">(J4-J3) * ((O4+O3))</f>
        <v>5.517712206407302E-2</v>
      </c>
      <c r="P12" s="7">
        <f t="shared" ref="P12:P15" si="12">(J4-J3) * ((P4+P3))</f>
        <v>6.8241546468132644E-2</v>
      </c>
    </row>
    <row r="13" spans="1:16" x14ac:dyDescent="0.3">
      <c r="B13" s="8" t="s">
        <v>43</v>
      </c>
      <c r="C13" s="8">
        <f t="shared" si="1"/>
        <v>4.3032152610373353E-2</v>
      </c>
      <c r="D13" s="8">
        <f t="shared" si="2"/>
        <v>1.9294301057952268E-2</v>
      </c>
      <c r="E13" s="8">
        <f t="shared" si="3"/>
        <v>5.0679582443233645E-2</v>
      </c>
      <c r="F13" s="8">
        <f t="shared" si="4"/>
        <v>4.7462079225730425E-2</v>
      </c>
      <c r="G13" s="8">
        <f t="shared" si="5"/>
        <v>0.10630728807093925</v>
      </c>
      <c r="H13" s="8">
        <f t="shared" si="6"/>
        <v>9.6742914379426281E-3</v>
      </c>
      <c r="J13" s="8" t="s">
        <v>43</v>
      </c>
      <c r="K13" s="7">
        <f t="shared" si="7"/>
        <v>0.10112217056960333</v>
      </c>
      <c r="L13" s="7">
        <f t="shared" si="8"/>
        <v>9.8012577027680917E-2</v>
      </c>
      <c r="M13" s="7">
        <f t="shared" si="9"/>
        <v>7.7308369864856841E-2</v>
      </c>
      <c r="N13" s="7">
        <f t="shared" si="10"/>
        <v>0.10554371313178774</v>
      </c>
      <c r="O13" s="7">
        <f t="shared" si="11"/>
        <v>0.14838648289539597</v>
      </c>
      <c r="P13" s="7">
        <f t="shared" si="12"/>
        <v>0.16251008680300236</v>
      </c>
    </row>
    <row r="14" spans="1:16" x14ac:dyDescent="0.3">
      <c r="B14" s="8" t="s">
        <v>40</v>
      </c>
      <c r="C14" s="8">
        <f t="shared" si="1"/>
        <v>-8.611410044797678E-2</v>
      </c>
      <c r="D14" s="8">
        <f t="shared" si="2"/>
        <v>-2.9607692948191794E-2</v>
      </c>
      <c r="E14" s="8">
        <f t="shared" si="3"/>
        <v>-4.2594705935204785E-2</v>
      </c>
      <c r="F14" s="8">
        <f t="shared" si="4"/>
        <v>-7.0586983927482763E-2</v>
      </c>
      <c r="G14" s="8">
        <f t="shared" si="5"/>
        <v>-6.7270030610529455E-2</v>
      </c>
      <c r="H14" s="8">
        <f t="shared" si="6"/>
        <v>-5.5822219162718012E-2</v>
      </c>
      <c r="J14" s="8" t="s">
        <v>40</v>
      </c>
      <c r="K14" s="7">
        <f t="shared" si="7"/>
        <v>0.16580132176799298</v>
      </c>
      <c r="L14" s="7">
        <f t="shared" si="8"/>
        <v>0.16859258981122516</v>
      </c>
      <c r="M14" s="7">
        <f t="shared" si="9"/>
        <v>0.15012768711761479</v>
      </c>
      <c r="N14" s="7">
        <f t="shared" si="10"/>
        <v>0.17417437150092113</v>
      </c>
      <c r="O14" s="7">
        <f t="shared" si="11"/>
        <v>0.23097184804137844</v>
      </c>
      <c r="P14" s="7">
        <f t="shared" si="12"/>
        <v>0.23009766424235731</v>
      </c>
    </row>
    <row r="15" spans="1:16" x14ac:dyDescent="0.3">
      <c r="B15" s="8" t="s">
        <v>41</v>
      </c>
      <c r="C15" s="8">
        <f t="shared" si="1"/>
        <v>0.10917445046055613</v>
      </c>
      <c r="D15" s="8">
        <f t="shared" si="2"/>
        <v>7.3395659714877937E-2</v>
      </c>
      <c r="E15" s="8">
        <f t="shared" si="3"/>
        <v>0.12967271599193425</v>
      </c>
      <c r="F15" s="8">
        <f t="shared" si="4"/>
        <v>7.8836165155383386E-2</v>
      </c>
      <c r="G15" s="8">
        <f t="shared" si="5"/>
        <v>-7.5954989635771408E-2</v>
      </c>
      <c r="H15" s="8">
        <f t="shared" si="6"/>
        <v>-7.932199300277476E-2</v>
      </c>
      <c r="J15" s="8" t="s">
        <v>41</v>
      </c>
      <c r="K15" s="7">
        <f t="shared" si="7"/>
        <v>0.58990012295877647</v>
      </c>
      <c r="L15" s="7">
        <f t="shared" si="8"/>
        <v>0.60400186133085154</v>
      </c>
      <c r="M15" s="7">
        <f t="shared" si="9"/>
        <v>0.58182100201644171</v>
      </c>
      <c r="N15" s="7">
        <f t="shared" si="10"/>
        <v>0.6018575578836165</v>
      </c>
      <c r="O15" s="7">
        <f t="shared" si="11"/>
        <v>0.6628664495114005</v>
      </c>
      <c r="P15" s="7">
        <f t="shared" si="12"/>
        <v>0.66419350947038236</v>
      </c>
    </row>
    <row r="16" spans="1:16" x14ac:dyDescent="0.3">
      <c r="J16" s="10" t="s">
        <v>73</v>
      </c>
      <c r="K16" s="9">
        <f>SUM(K10:K15)</f>
        <v>0.91170603732627864</v>
      </c>
      <c r="L16" s="9">
        <f t="shared" ref="L16:P16" si="13">SUM(L10:L15)</f>
        <v>0.93013609000804975</v>
      </c>
      <c r="M16" s="9">
        <f t="shared" si="13"/>
        <v>0.84374733193599416</v>
      </c>
      <c r="N16" s="9">
        <f t="shared" si="13"/>
        <v>0.92375721571058056</v>
      </c>
      <c r="O16" s="9">
        <f t="shared" si="13"/>
        <v>1.1356335748097615</v>
      </c>
      <c r="P16" s="9">
        <f t="shared" si="13"/>
        <v>1.1547001807541193</v>
      </c>
    </row>
    <row r="17" spans="10:16" x14ac:dyDescent="0.3">
      <c r="J17" s="11" t="s">
        <v>74</v>
      </c>
      <c r="K17" s="12">
        <f>1-K16</f>
        <v>8.829396267372136E-2</v>
      </c>
      <c r="L17" s="12">
        <f t="shared" ref="L17:P17" si="14">1-L16</f>
        <v>6.9863909991950246E-2</v>
      </c>
      <c r="M17" s="12">
        <f t="shared" si="14"/>
        <v>0.15625266806400584</v>
      </c>
      <c r="N17" s="12">
        <f t="shared" si="14"/>
        <v>7.6242784289419441E-2</v>
      </c>
      <c r="O17" s="12">
        <f t="shared" si="14"/>
        <v>-0.13563357480976146</v>
      </c>
      <c r="P17" s="12">
        <f t="shared" si="14"/>
        <v>-0.15470018075411929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B57-3C55-456A-8F23-EF48DE100C9E}">
  <dimension ref="A1:P21"/>
  <sheetViews>
    <sheetView workbookViewId="0">
      <selection activeCell="A12" sqref="A1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50</v>
      </c>
      <c r="B2" s="14">
        <v>1.211030162519864E-2</v>
      </c>
      <c r="C2" s="14">
        <v>6.4056939501779361E-2</v>
      </c>
      <c r="D2" s="14">
        <v>1.3605442176870748E-2</v>
      </c>
      <c r="E2" s="14">
        <v>5.2023121387283239E-2</v>
      </c>
      <c r="F2" s="14">
        <v>1.3192612137203167E-2</v>
      </c>
      <c r="G2" s="14">
        <v>2.903225806451613E-2</v>
      </c>
      <c r="H2" s="14">
        <v>1.4423076923076924E-2</v>
      </c>
      <c r="I2" s="8">
        <v>1.211030162519864E-2</v>
      </c>
      <c r="J2" s="15">
        <v>1.211030162519864E-2</v>
      </c>
      <c r="K2" s="15">
        <v>6.4056939501779361E-2</v>
      </c>
      <c r="L2" s="15">
        <v>1.3605442176870748E-2</v>
      </c>
      <c r="M2" s="15">
        <v>5.2023121387283239E-2</v>
      </c>
      <c r="N2" s="15">
        <v>1.3192612137203167E-2</v>
      </c>
      <c r="O2" s="15">
        <v>2.903225806451613E-2</v>
      </c>
      <c r="P2" s="15">
        <v>1.4423076923076924E-2</v>
      </c>
    </row>
    <row r="3" spans="1:16" x14ac:dyDescent="0.3">
      <c r="A3" s="8" t="s">
        <v>48</v>
      </c>
      <c r="B3" s="14">
        <v>1.2367477602659277E-2</v>
      </c>
      <c r="C3" s="14">
        <v>0</v>
      </c>
      <c r="D3" s="14">
        <v>1.3605442176870748E-2</v>
      </c>
      <c r="E3" s="14">
        <v>5.7803468208092483E-3</v>
      </c>
      <c r="F3" s="14">
        <v>0</v>
      </c>
      <c r="G3" s="14">
        <v>3.2258064516129032E-3</v>
      </c>
      <c r="H3" s="14">
        <v>0</v>
      </c>
      <c r="I3" s="8">
        <v>2.4477779227857918E-2</v>
      </c>
      <c r="J3" s="8">
        <f t="shared" ref="J3:P9" si="0">J2+B3</f>
        <v>2.4477779227857918E-2</v>
      </c>
      <c r="K3" s="8">
        <f t="shared" si="0"/>
        <v>6.4056939501779361E-2</v>
      </c>
      <c r="L3" s="13">
        <f t="shared" si="0"/>
        <v>2.7210884353741496E-2</v>
      </c>
      <c r="M3" s="8">
        <f t="shared" si="0"/>
        <v>5.7803468208092484E-2</v>
      </c>
      <c r="N3" s="8">
        <f t="shared" si="0"/>
        <v>1.3192612137203167E-2</v>
      </c>
      <c r="O3" s="8">
        <f t="shared" si="0"/>
        <v>3.2258064516129031E-2</v>
      </c>
      <c r="P3" s="8">
        <f t="shared" si="0"/>
        <v>1.4423076923076924E-2</v>
      </c>
    </row>
    <row r="4" spans="1:16" x14ac:dyDescent="0.3">
      <c r="A4" s="8" t="s">
        <v>52</v>
      </c>
      <c r="B4" s="14">
        <v>1.9771842685070741E-2</v>
      </c>
      <c r="C4" s="14">
        <v>5.6939501779359428E-2</v>
      </c>
      <c r="D4" s="14">
        <v>4.7619047619047616E-2</v>
      </c>
      <c r="E4" s="14">
        <v>5.7803468208092484E-2</v>
      </c>
      <c r="F4" s="14">
        <v>1.3192612137203167E-2</v>
      </c>
      <c r="G4" s="14">
        <v>2.5806451612903226E-2</v>
      </c>
      <c r="H4" s="14">
        <v>5.7692307692307696E-2</v>
      </c>
      <c r="I4" s="8">
        <v>4.4249621912928659E-2</v>
      </c>
      <c r="J4" s="8">
        <f t="shared" si="0"/>
        <v>4.4249621912928659E-2</v>
      </c>
      <c r="K4" s="8">
        <f t="shared" si="0"/>
        <v>0.12099644128113879</v>
      </c>
      <c r="L4" s="13">
        <f t="shared" si="0"/>
        <v>7.4829931972789115E-2</v>
      </c>
      <c r="M4" s="8">
        <f t="shared" si="0"/>
        <v>0.11560693641618497</v>
      </c>
      <c r="N4" s="8">
        <f t="shared" si="0"/>
        <v>2.6385224274406333E-2</v>
      </c>
      <c r="O4" s="8">
        <f t="shared" si="0"/>
        <v>5.8064516129032254E-2</v>
      </c>
      <c r="P4" s="8">
        <f t="shared" si="0"/>
        <v>7.2115384615384623E-2</v>
      </c>
    </row>
    <row r="5" spans="1:16" x14ac:dyDescent="0.3">
      <c r="A5" s="8" t="s">
        <v>46</v>
      </c>
      <c r="B5" s="14">
        <v>2.1334090786958491E-2</v>
      </c>
      <c r="C5" s="14">
        <v>2.491103202846975E-2</v>
      </c>
      <c r="D5" s="14">
        <v>0</v>
      </c>
      <c r="E5" s="14">
        <v>1.7341040462427744E-2</v>
      </c>
      <c r="F5" s="14">
        <v>1.3192612137203167E-2</v>
      </c>
      <c r="G5" s="14">
        <v>1.2903225806451613E-2</v>
      </c>
      <c r="H5" s="14">
        <v>1.4423076923076924E-2</v>
      </c>
      <c r="I5" s="8">
        <v>6.5583712699887151E-2</v>
      </c>
      <c r="J5" s="8">
        <f t="shared" si="0"/>
        <v>6.5583712699887151E-2</v>
      </c>
      <c r="K5" s="8">
        <f t="shared" si="0"/>
        <v>0.14590747330960854</v>
      </c>
      <c r="L5" s="13">
        <f t="shared" si="0"/>
        <v>7.4829931972789115E-2</v>
      </c>
      <c r="M5" s="8">
        <f t="shared" si="0"/>
        <v>0.13294797687861271</v>
      </c>
      <c r="N5" s="8">
        <f t="shared" si="0"/>
        <v>3.9577836411609502E-2</v>
      </c>
      <c r="O5" s="8">
        <f t="shared" si="0"/>
        <v>7.0967741935483872E-2</v>
      </c>
      <c r="P5" s="8">
        <f t="shared" si="0"/>
        <v>8.653846153846155E-2</v>
      </c>
    </row>
    <row r="6" spans="1:16" x14ac:dyDescent="0.3">
      <c r="A6" s="8" t="s">
        <v>47</v>
      </c>
      <c r="B6" s="14">
        <v>4.2783334996660552E-2</v>
      </c>
      <c r="C6" s="14">
        <v>3.9145907473309607E-2</v>
      </c>
      <c r="D6" s="14">
        <v>3.4013605442176874E-2</v>
      </c>
      <c r="E6" s="14">
        <v>5.2023121387283239E-2</v>
      </c>
      <c r="F6" s="14">
        <v>2.1108179419525065E-2</v>
      </c>
      <c r="G6" s="14">
        <v>7.0967741935483872E-2</v>
      </c>
      <c r="H6" s="14">
        <v>6.7307692307692304E-2</v>
      </c>
      <c r="I6" s="8">
        <v>0.1083670476965477</v>
      </c>
      <c r="J6" s="8">
        <f t="shared" si="0"/>
        <v>0.1083670476965477</v>
      </c>
      <c r="K6" s="8">
        <f t="shared" si="0"/>
        <v>0.18505338078291816</v>
      </c>
      <c r="L6" s="13">
        <f t="shared" si="0"/>
        <v>0.108843537414966</v>
      </c>
      <c r="M6" s="8">
        <f t="shared" si="0"/>
        <v>0.18497109826589594</v>
      </c>
      <c r="N6" s="8">
        <f t="shared" si="0"/>
        <v>6.0686015831134567E-2</v>
      </c>
      <c r="O6" s="8">
        <f t="shared" si="0"/>
        <v>0.14193548387096774</v>
      </c>
      <c r="P6" s="8">
        <f t="shared" si="0"/>
        <v>0.15384615384615385</v>
      </c>
    </row>
    <row r="7" spans="1:16" x14ac:dyDescent="0.3">
      <c r="A7" s="8" t="s">
        <v>51</v>
      </c>
      <c r="B7" s="14">
        <v>0.1091385756289296</v>
      </c>
      <c r="C7" s="14">
        <v>7.1174377224199295E-2</v>
      </c>
      <c r="D7" s="14">
        <v>6.1224489795918366E-2</v>
      </c>
      <c r="E7" s="14">
        <v>3.4682080924855488E-2</v>
      </c>
      <c r="F7" s="14">
        <v>8.9709762532981532E-2</v>
      </c>
      <c r="G7" s="14">
        <v>6.7741935483870974E-2</v>
      </c>
      <c r="H7" s="14">
        <v>5.7692307692307696E-2</v>
      </c>
      <c r="I7" s="8">
        <v>0.21750562332547729</v>
      </c>
      <c r="J7" s="8">
        <f t="shared" si="0"/>
        <v>0.21750562332547729</v>
      </c>
      <c r="K7" s="8">
        <f t="shared" si="0"/>
        <v>0.25622775800711745</v>
      </c>
      <c r="L7" s="13">
        <f t="shared" si="0"/>
        <v>0.17006802721088438</v>
      </c>
      <c r="M7" s="8">
        <f t="shared" si="0"/>
        <v>0.21965317919075145</v>
      </c>
      <c r="N7" s="8">
        <f t="shared" si="0"/>
        <v>0.15039577836411611</v>
      </c>
      <c r="O7" s="8">
        <f t="shared" si="0"/>
        <v>0.20967741935483872</v>
      </c>
      <c r="P7" s="8">
        <f t="shared" si="0"/>
        <v>0.21153846153846156</v>
      </c>
    </row>
    <row r="8" spans="1:16" x14ac:dyDescent="0.3">
      <c r="A8" s="8" t="s">
        <v>45</v>
      </c>
      <c r="B8" s="14">
        <v>0.36701698896830209</v>
      </c>
      <c r="C8" s="14">
        <v>0.47330960854092524</v>
      </c>
      <c r="D8" s="14">
        <v>0.47619047619047616</v>
      </c>
      <c r="E8" s="14">
        <v>0.53757225433526012</v>
      </c>
      <c r="F8" s="14">
        <v>0.51451187335092352</v>
      </c>
      <c r="G8" s="14">
        <v>0.3935483870967742</v>
      </c>
      <c r="H8" s="14">
        <v>0.50961538461538458</v>
      </c>
      <c r="I8" s="8">
        <v>0.58452261229377944</v>
      </c>
      <c r="J8" s="8">
        <f t="shared" si="0"/>
        <v>0.58452261229377944</v>
      </c>
      <c r="K8" s="8">
        <f t="shared" si="0"/>
        <v>0.72953736654804269</v>
      </c>
      <c r="L8" s="13">
        <f t="shared" si="0"/>
        <v>0.6462585034013606</v>
      </c>
      <c r="M8" s="8">
        <f t="shared" si="0"/>
        <v>0.75722543352601157</v>
      </c>
      <c r="N8" s="8">
        <f t="shared" si="0"/>
        <v>0.66490765171503963</v>
      </c>
      <c r="O8" s="8">
        <f t="shared" si="0"/>
        <v>0.60322580645161294</v>
      </c>
      <c r="P8" s="8">
        <f t="shared" si="0"/>
        <v>0.72115384615384615</v>
      </c>
    </row>
    <row r="9" spans="1:16" x14ac:dyDescent="0.3">
      <c r="A9" s="8" t="s">
        <v>49</v>
      </c>
      <c r="B9" s="14">
        <v>0.41547738770622061</v>
      </c>
      <c r="C9" s="14">
        <v>0.27046263345195731</v>
      </c>
      <c r="D9" s="14">
        <v>0.35374149659863946</v>
      </c>
      <c r="E9" s="14">
        <v>0.24277456647398843</v>
      </c>
      <c r="F9" s="14">
        <v>0.33509234828496043</v>
      </c>
      <c r="G9" s="14">
        <v>0.39677419354838711</v>
      </c>
      <c r="H9" s="14">
        <v>0.27884615384615385</v>
      </c>
      <c r="I9" s="8">
        <v>1</v>
      </c>
      <c r="J9" s="8">
        <f t="shared" si="0"/>
        <v>1</v>
      </c>
      <c r="K9" s="8">
        <f t="shared" si="0"/>
        <v>1</v>
      </c>
      <c r="L9" s="13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9" t="s">
        <v>67</v>
      </c>
      <c r="L11" s="9" t="s">
        <v>68</v>
      </c>
      <c r="M11" s="9" t="s">
        <v>69</v>
      </c>
      <c r="N11" s="9" t="s">
        <v>70</v>
      </c>
      <c r="O11" s="9" t="s">
        <v>71</v>
      </c>
      <c r="P11" s="9" t="s">
        <v>72</v>
      </c>
    </row>
    <row r="12" spans="1:16" x14ac:dyDescent="0.3">
      <c r="B12" s="8" t="s">
        <v>50</v>
      </c>
      <c r="C12" s="8">
        <f>C2-B2</f>
        <v>5.1946637876580722E-2</v>
      </c>
      <c r="D12" s="8">
        <f>D2-B2</f>
        <v>1.495140551672108E-3</v>
      </c>
      <c r="E12" s="8">
        <f>E2-B2</f>
        <v>3.9912819762084599E-2</v>
      </c>
      <c r="F12" s="8">
        <f>F2-B2</f>
        <v>1.0823105120045268E-3</v>
      </c>
      <c r="G12" s="8">
        <f>G2-B2</f>
        <v>1.6921956439317491E-2</v>
      </c>
      <c r="H12" s="8">
        <f>H2-B2</f>
        <v>2.3127752978782841E-3</v>
      </c>
      <c r="J12" s="8" t="s">
        <v>50</v>
      </c>
      <c r="K12" s="7">
        <f>(J2-0) * (K2+0)</f>
        <v>7.7574885855364955E-4</v>
      </c>
      <c r="L12" s="7">
        <f t="shared" ref="L12" si="1">(K2-0) * (L2+0)</f>
        <v>8.7152298641876677E-4</v>
      </c>
      <c r="M12" s="7">
        <f>(J2-0) * (M2+0)</f>
        <v>6.3001569148432232E-4</v>
      </c>
      <c r="N12" s="7">
        <f>(J2-0) * (N2+0)</f>
        <v>1.5976651220578681E-4</v>
      </c>
      <c r="O12" s="7">
        <f>(J2-0) * (O2+0)</f>
        <v>3.51589402021896E-4</v>
      </c>
      <c r="P12" s="7">
        <f>(J2-0) * (P2+0)</f>
        <v>1.7466781190190347E-4</v>
      </c>
    </row>
    <row r="13" spans="1:16" x14ac:dyDescent="0.3">
      <c r="B13" s="8" t="s">
        <v>48</v>
      </c>
      <c r="C13" s="8">
        <f t="shared" ref="C13:C19" si="2">C3-B3</f>
        <v>-1.2367477602659277E-2</v>
      </c>
      <c r="D13" s="8">
        <f t="shared" ref="D13:D19" si="3">D3-B3</f>
        <v>1.2379645742114712E-3</v>
      </c>
      <c r="E13" s="8">
        <f t="shared" ref="E13:E19" si="4">E3-B3</f>
        <v>-6.5871307818500284E-3</v>
      </c>
      <c r="F13" s="8">
        <f t="shared" ref="F13:F19" si="5">F3-B3</f>
        <v>-1.2367477602659277E-2</v>
      </c>
      <c r="G13" s="8">
        <f t="shared" ref="G13:G19" si="6">G3-B3</f>
        <v>-9.1416711510463738E-3</v>
      </c>
      <c r="H13" s="8">
        <f t="shared" ref="H13:H19" si="7">H3-B3</f>
        <v>-1.2367477602659277E-2</v>
      </c>
      <c r="J13" s="8" t="s">
        <v>48</v>
      </c>
      <c r="K13" s="7">
        <f>(J3-J2) * (K3+K2)</f>
        <v>1.5844455291663133E-3</v>
      </c>
      <c r="L13" s="7">
        <f>(J3-J2) * (L3+L2)</f>
        <v>5.0479500419017462E-4</v>
      </c>
      <c r="M13" s="7">
        <f>(J3-J2) * (M3+M2)</f>
        <v>1.3582778869972618E-3</v>
      </c>
      <c r="N13" s="7">
        <f>(J3-J2) * (N3+N2)</f>
        <v>3.2631867025486222E-4</v>
      </c>
      <c r="O13" s="7">
        <f>(J3-J2) * (O3+O2)</f>
        <v>7.5800669177589132E-4</v>
      </c>
      <c r="P13" s="7">
        <f>(J3-J2) * (P3+P2)</f>
        <v>3.5675416161517153E-4</v>
      </c>
    </row>
    <row r="14" spans="1:16" x14ac:dyDescent="0.3">
      <c r="B14" s="8" t="s">
        <v>52</v>
      </c>
      <c r="C14" s="8">
        <f t="shared" si="2"/>
        <v>3.7167659094288687E-2</v>
      </c>
      <c r="D14" s="8">
        <f t="shared" si="3"/>
        <v>2.7847204933976875E-2</v>
      </c>
      <c r="E14" s="8">
        <f t="shared" si="4"/>
        <v>3.8031625523021743E-2</v>
      </c>
      <c r="F14" s="8">
        <f t="shared" si="5"/>
        <v>-6.5792305478675744E-3</v>
      </c>
      <c r="G14" s="8">
        <f t="shared" si="6"/>
        <v>6.0346089278324848E-3</v>
      </c>
      <c r="H14" s="8">
        <f t="shared" si="7"/>
        <v>3.7920465007236955E-2</v>
      </c>
      <c r="J14" s="8" t="s">
        <v>52</v>
      </c>
      <c r="K14" s="7">
        <f t="shared" ref="K14:K19" si="8">(J4-J3) * (K4+K3)</f>
        <v>3.6588463331803508E-3</v>
      </c>
      <c r="L14" s="7">
        <f t="shared" ref="L14:L19" si="9">(J4-J3) * (L4+L3)</f>
        <v>2.0175349678643612E-3</v>
      </c>
      <c r="M14" s="7">
        <f t="shared" ref="M14:M19" si="10">(J4-J3) * (M4+M3)</f>
        <v>3.4286432401856777E-3</v>
      </c>
      <c r="N14" s="7">
        <f t="shared" ref="N14:N19" si="11">(J4-J3) * (N4+N3)</f>
        <v>7.8252675534580779E-4</v>
      </c>
      <c r="O14" s="7">
        <f t="shared" ref="O14:O19" si="12">(J4-J3) * (O4+O3)</f>
        <v>1.7858438554257442E-3</v>
      </c>
      <c r="P14" s="7">
        <f t="shared" ref="P14:P19" si="13">(J4-J3) * (P4+P3)</f>
        <v>1.7110248477465067E-3</v>
      </c>
    </row>
    <row r="15" spans="1:16" x14ac:dyDescent="0.3">
      <c r="B15" s="8" t="s">
        <v>46</v>
      </c>
      <c r="C15" s="8">
        <f t="shared" si="2"/>
        <v>3.5769412415112591E-3</v>
      </c>
      <c r="D15" s="8">
        <f t="shared" si="3"/>
        <v>-2.1334090786958491E-2</v>
      </c>
      <c r="E15" s="8">
        <f t="shared" si="4"/>
        <v>-3.9930503245307475E-3</v>
      </c>
      <c r="F15" s="8">
        <f t="shared" si="5"/>
        <v>-8.1414786497553248E-3</v>
      </c>
      <c r="G15" s="8">
        <f t="shared" si="6"/>
        <v>-8.4308649805068785E-3</v>
      </c>
      <c r="H15" s="8">
        <f t="shared" si="7"/>
        <v>-6.9110138638815675E-3</v>
      </c>
      <c r="J15" s="8" t="s">
        <v>46</v>
      </c>
      <c r="K15" s="7">
        <f t="shared" si="8"/>
        <v>5.6941523452736197E-3</v>
      </c>
      <c r="L15" s="7">
        <f t="shared" si="9"/>
        <v>3.192857124578822E-3</v>
      </c>
      <c r="M15" s="7">
        <f t="shared" si="10"/>
        <v>5.3026930857758099E-3</v>
      </c>
      <c r="N15" s="7">
        <f t="shared" si="11"/>
        <v>1.4072619252611142E-3</v>
      </c>
      <c r="O15" s="7">
        <f t="shared" si="12"/>
        <v>2.7527859079946441E-3</v>
      </c>
      <c r="P15" s="7">
        <f t="shared" si="13"/>
        <v>3.3847355575462993E-3</v>
      </c>
    </row>
    <row r="16" spans="1:16" x14ac:dyDescent="0.3">
      <c r="B16" s="8" t="s">
        <v>47</v>
      </c>
      <c r="C16" s="8">
        <f t="shared" si="2"/>
        <v>-3.6374275233509445E-3</v>
      </c>
      <c r="D16" s="8">
        <f t="shared" si="3"/>
        <v>-8.7697295544836781E-3</v>
      </c>
      <c r="E16" s="8">
        <f t="shared" si="4"/>
        <v>9.2397863906226868E-3</v>
      </c>
      <c r="F16" s="8">
        <f t="shared" si="5"/>
        <v>-2.1675155577135487E-2</v>
      </c>
      <c r="G16" s="8">
        <f t="shared" si="6"/>
        <v>2.818440693882332E-2</v>
      </c>
      <c r="H16" s="8">
        <f t="shared" si="7"/>
        <v>2.4524357311031753E-2</v>
      </c>
      <c r="J16" s="8" t="s">
        <v>47</v>
      </c>
      <c r="K16" s="7">
        <f t="shared" si="8"/>
        <v>1.4159609091421466E-2</v>
      </c>
      <c r="L16" s="7">
        <f t="shared" si="9"/>
        <v>7.8581635708152037E-3</v>
      </c>
      <c r="M16" s="7">
        <f t="shared" si="10"/>
        <v>1.3601638293736014E-2</v>
      </c>
      <c r="N16" s="7">
        <f t="shared" si="11"/>
        <v>4.2896219785569945E-3</v>
      </c>
      <c r="O16" s="7">
        <f t="shared" si="12"/>
        <v>9.1087100315470852E-3</v>
      </c>
      <c r="P16" s="7">
        <f t="shared" si="13"/>
        <v>1.0284455528043404E-2</v>
      </c>
    </row>
    <row r="17" spans="2:16" x14ac:dyDescent="0.3">
      <c r="B17" s="8" t="s">
        <v>51</v>
      </c>
      <c r="C17" s="8">
        <f t="shared" si="2"/>
        <v>-3.7964198404730309E-2</v>
      </c>
      <c r="D17" s="8">
        <f t="shared" si="3"/>
        <v>-4.7914085833011238E-2</v>
      </c>
      <c r="E17" s="8">
        <f t="shared" si="4"/>
        <v>-7.4456494704074117E-2</v>
      </c>
      <c r="F17" s="8">
        <f t="shared" si="5"/>
        <v>-1.9428813095948072E-2</v>
      </c>
      <c r="G17" s="8">
        <f t="shared" si="6"/>
        <v>-4.139664014505863E-2</v>
      </c>
      <c r="H17" s="8">
        <f t="shared" si="7"/>
        <v>-5.1446267936621909E-2</v>
      </c>
      <c r="J17" s="8" t="s">
        <v>51</v>
      </c>
      <c r="K17" s="7">
        <f t="shared" si="8"/>
        <v>4.8160794939456478E-2</v>
      </c>
      <c r="L17" s="7">
        <f t="shared" si="9"/>
        <v>3.0440010889701455E-2</v>
      </c>
      <c r="M17" s="7">
        <f t="shared" si="10"/>
        <v>4.4160117306503308E-2</v>
      </c>
      <c r="N17" s="7">
        <f t="shared" si="11"/>
        <v>2.3037166359668515E-2</v>
      </c>
      <c r="O17" s="7">
        <f t="shared" si="12"/>
        <v>3.8374531430817177E-2</v>
      </c>
      <c r="P17" s="7">
        <f t="shared" si="13"/>
        <v>3.98775564798012E-2</v>
      </c>
    </row>
    <row r="18" spans="2:16" x14ac:dyDescent="0.3">
      <c r="B18" s="8" t="s">
        <v>45</v>
      </c>
      <c r="C18" s="8">
        <f t="shared" si="2"/>
        <v>0.10629261957262315</v>
      </c>
      <c r="D18" s="8">
        <f t="shared" si="3"/>
        <v>0.10917348722217407</v>
      </c>
      <c r="E18" s="8">
        <f t="shared" si="4"/>
        <v>0.17055526536695803</v>
      </c>
      <c r="F18" s="8">
        <f t="shared" si="5"/>
        <v>0.14749488438262143</v>
      </c>
      <c r="G18" s="8">
        <f t="shared" si="6"/>
        <v>2.6531398128472106E-2</v>
      </c>
      <c r="H18" s="8">
        <f t="shared" si="7"/>
        <v>0.14259839564708249</v>
      </c>
      <c r="J18" s="8" t="s">
        <v>45</v>
      </c>
      <c r="K18" s="7">
        <f t="shared" si="8"/>
        <v>0.36179254784419823</v>
      </c>
      <c r="L18" s="7">
        <f t="shared" si="9"/>
        <v>0.29960570528024666</v>
      </c>
      <c r="M18" s="7">
        <f t="shared" si="10"/>
        <v>0.35853104702683852</v>
      </c>
      <c r="N18" s="7">
        <f t="shared" si="11"/>
        <v>0.2992302100031804</v>
      </c>
      <c r="O18" s="7">
        <f t="shared" si="12"/>
        <v>0.29834929425810369</v>
      </c>
      <c r="P18" s="7">
        <f t="shared" si="13"/>
        <v>0.34231392240312797</v>
      </c>
    </row>
    <row r="19" spans="2:16" x14ac:dyDescent="0.3">
      <c r="B19" s="8" t="s">
        <v>49</v>
      </c>
      <c r="C19" s="8">
        <f t="shared" si="2"/>
        <v>-0.1450147542542633</v>
      </c>
      <c r="D19" s="8">
        <f t="shared" si="3"/>
        <v>-6.1735891107581153E-2</v>
      </c>
      <c r="E19" s="8">
        <f t="shared" si="4"/>
        <v>-0.17270282123223218</v>
      </c>
      <c r="F19" s="8">
        <f t="shared" si="5"/>
        <v>-8.0385039421260185E-2</v>
      </c>
      <c r="G19" s="8">
        <f t="shared" si="6"/>
        <v>-1.8703194157833503E-2</v>
      </c>
      <c r="H19" s="8">
        <f t="shared" si="7"/>
        <v>-0.13663123386006676</v>
      </c>
      <c r="J19" s="8" t="s">
        <v>49</v>
      </c>
      <c r="K19" s="7">
        <f t="shared" si="8"/>
        <v>0.71858366699367682</v>
      </c>
      <c r="L19" s="7">
        <f t="shared" si="9"/>
        <v>0.68398318248234946</v>
      </c>
      <c r="M19" s="7">
        <f t="shared" si="10"/>
        <v>0.73008743273231824</v>
      </c>
      <c r="N19" s="7">
        <f t="shared" si="11"/>
        <v>0.69173148190666278</v>
      </c>
      <c r="O19" s="7">
        <f t="shared" si="12"/>
        <v>0.66610406996771487</v>
      </c>
      <c r="P19" s="7">
        <f t="shared" si="13"/>
        <v>0.71510050384051427</v>
      </c>
    </row>
    <row r="20" spans="2:16" x14ac:dyDescent="0.3">
      <c r="J20" s="9" t="s">
        <v>73</v>
      </c>
      <c r="K20" s="9">
        <f>SUM(K12:K19)</f>
        <v>1.1544098119349269</v>
      </c>
      <c r="L20" s="9">
        <f t="shared" ref="L20:P20" si="14">SUM(L12:L19)</f>
        <v>1.0284737723061648</v>
      </c>
      <c r="M20" s="9">
        <f t="shared" si="14"/>
        <v>1.1570998652638391</v>
      </c>
      <c r="N20" s="9">
        <f t="shared" si="14"/>
        <v>1.0209643541111362</v>
      </c>
      <c r="O20" s="9">
        <f t="shared" si="14"/>
        <v>1.017584831545401</v>
      </c>
      <c r="P20" s="9">
        <f t="shared" si="14"/>
        <v>1.1132036206302967</v>
      </c>
    </row>
    <row r="21" spans="2:16" x14ac:dyDescent="0.3">
      <c r="J21" s="12" t="s">
        <v>74</v>
      </c>
      <c r="K21" s="12">
        <f>1-K20</f>
        <v>-0.15440981193492687</v>
      </c>
      <c r="L21" s="12">
        <f t="shared" ref="L21:P21" si="15">1-L20</f>
        <v>-2.8473772306164769E-2</v>
      </c>
      <c r="M21" s="12">
        <f t="shared" si="15"/>
        <v>-0.15709986526383912</v>
      </c>
      <c r="N21" s="12">
        <f t="shared" si="15"/>
        <v>-2.0964354111136174E-2</v>
      </c>
      <c r="O21" s="12">
        <f t="shared" si="15"/>
        <v>-1.7584831545401025E-2</v>
      </c>
      <c r="P21" s="12">
        <f t="shared" si="15"/>
        <v>-0.11320362063029665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BOM DESPACHO</vt:lpstr>
      <vt:lpstr>CAMPO BELO</vt:lpstr>
      <vt:lpstr>DIVINÓPOLIS</vt:lpstr>
      <vt:lpstr>FORMIGA</vt:lpstr>
      <vt:lpstr>ITAÚNA</vt:lpstr>
      <vt:lpstr>LAGOA DA PRATA - STO ANT MONTE</vt:lpstr>
      <vt:lpstr>OLIVEIRA - STO ANT DO AMPARO</vt:lpstr>
      <vt:lpstr>PARÁ DE 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2025-04-21T02:11:29Z</dcterms:created>
  <dcterms:modified xsi:type="dcterms:W3CDTF">2025-11-26T01:25:55Z</dcterms:modified>
</cp:coreProperties>
</file>