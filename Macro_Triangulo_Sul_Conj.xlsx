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22" documentId="8_{DD786487-D34F-4DBF-93C9-74C8A24D8F15}" xr6:coauthVersionLast="47" xr6:coauthVersionMax="47" xr10:uidLastSave="{74CC4992-8D1B-4443-90D0-3FC3E7394B71}"/>
  <bookViews>
    <workbookView xWindow="-108" yWindow="-108" windowWidth="23256" windowHeight="12456" activeTab="2" xr2:uid="{326E4DF4-8D7B-4069-AD91-AF84C670890B}"/>
  </bookViews>
  <sheets>
    <sheet name="ARAXÁ" sheetId="1" r:id="rId1"/>
    <sheet name="FRUTAL-ITURAMA" sheetId="2" r:id="rId2"/>
    <sheet name="UBERAB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  <c r="O16" i="2"/>
  <c r="N16" i="2"/>
  <c r="M16" i="2"/>
  <c r="L16" i="2"/>
  <c r="K16" i="2"/>
  <c r="P12" i="3"/>
  <c r="O12" i="3"/>
  <c r="N12" i="3"/>
  <c r="M12" i="3"/>
  <c r="L12" i="3"/>
  <c r="K12" i="3"/>
  <c r="M19" i="1"/>
  <c r="O15" i="1"/>
  <c r="M14" i="1"/>
  <c r="P12" i="1"/>
  <c r="O12" i="1"/>
  <c r="N12" i="1"/>
  <c r="M12" i="1"/>
  <c r="L12" i="1"/>
  <c r="K12" i="1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K3" i="3"/>
  <c r="K4" i="3" s="1"/>
  <c r="K5" i="3" s="1"/>
  <c r="K6" i="3" s="1"/>
  <c r="J3" i="3"/>
  <c r="J4" i="3" s="1"/>
  <c r="J5" i="3" s="1"/>
  <c r="J6" i="3" s="1"/>
  <c r="J7" i="3" s="1"/>
  <c r="J8" i="3" s="1"/>
  <c r="J9" i="3" s="1"/>
  <c r="P19" i="3" s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P3" i="1"/>
  <c r="P4" i="1" s="1"/>
  <c r="P5" i="1" s="1"/>
  <c r="P6" i="1" s="1"/>
  <c r="P7" i="1" s="1"/>
  <c r="P8" i="1" s="1"/>
  <c r="P9" i="1" s="1"/>
  <c r="O3" i="1"/>
  <c r="O4" i="1" s="1"/>
  <c r="O5" i="1" s="1"/>
  <c r="O6" i="1" s="1"/>
  <c r="O7" i="1" s="1"/>
  <c r="O8" i="1" s="1"/>
  <c r="O9" i="1" s="1"/>
  <c r="N3" i="1"/>
  <c r="N4" i="1" s="1"/>
  <c r="N5" i="1" s="1"/>
  <c r="N6" i="1" s="1"/>
  <c r="N7" i="1" s="1"/>
  <c r="N8" i="1" s="1"/>
  <c r="N9" i="1" s="1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K3" i="1"/>
  <c r="K4" i="1" s="1"/>
  <c r="K5" i="1" s="1"/>
  <c r="K6" i="1" s="1"/>
  <c r="K7" i="1" s="1"/>
  <c r="K8" i="1" s="1"/>
  <c r="K9" i="1" s="1"/>
  <c r="J3" i="1"/>
  <c r="J4" i="1" s="1"/>
  <c r="J5" i="1" s="1"/>
  <c r="J6" i="1" s="1"/>
  <c r="J7" i="1" s="1"/>
  <c r="J8" i="1" s="1"/>
  <c r="J9" i="1" s="1"/>
  <c r="N19" i="1" s="1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P3" i="2"/>
  <c r="P4" i="2" s="1"/>
  <c r="P5" i="2" s="1"/>
  <c r="P6" i="2" s="1"/>
  <c r="P7" i="2" s="1"/>
  <c r="P8" i="2" s="1"/>
  <c r="P9" i="2" s="1"/>
  <c r="P10" i="2" s="1"/>
  <c r="P11" i="2" s="1"/>
  <c r="P1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P26" i="2" s="1"/>
  <c r="O18" i="3" l="1"/>
  <c r="P18" i="3"/>
  <c r="M13" i="3"/>
  <c r="N13" i="3"/>
  <c r="O14" i="3"/>
  <c r="P14" i="3"/>
  <c r="M17" i="3"/>
  <c r="N17" i="3"/>
  <c r="O17" i="2"/>
  <c r="O25" i="2"/>
  <c r="P17" i="2"/>
  <c r="L19" i="2"/>
  <c r="L27" i="2" s="1"/>
  <c r="L28" i="2" s="1"/>
  <c r="N20" i="2"/>
  <c r="P21" i="2"/>
  <c r="L23" i="2"/>
  <c r="N24" i="2"/>
  <c r="P25" i="2"/>
  <c r="M24" i="2"/>
  <c r="K18" i="2"/>
  <c r="M19" i="2"/>
  <c r="O20" i="2"/>
  <c r="K22" i="2"/>
  <c r="M23" i="2"/>
  <c r="O24" i="2"/>
  <c r="K26" i="2"/>
  <c r="M20" i="2"/>
  <c r="L18" i="2"/>
  <c r="N19" i="2"/>
  <c r="P20" i="2"/>
  <c r="L22" i="2"/>
  <c r="N23" i="2"/>
  <c r="P24" i="2"/>
  <c r="L26" i="2"/>
  <c r="O21" i="2"/>
  <c r="K17" i="2"/>
  <c r="M18" i="2"/>
  <c r="M27" i="2" s="1"/>
  <c r="M28" i="2" s="1"/>
  <c r="O19" i="2"/>
  <c r="K21" i="2"/>
  <c r="M22" i="2"/>
  <c r="O23" i="2"/>
  <c r="K25" i="2"/>
  <c r="M26" i="2"/>
  <c r="L17" i="2"/>
  <c r="N18" i="2"/>
  <c r="P19" i="2"/>
  <c r="L21" i="2"/>
  <c r="N22" i="2"/>
  <c r="P23" i="2"/>
  <c r="L25" i="2"/>
  <c r="N26" i="2"/>
  <c r="M17" i="2"/>
  <c r="O18" i="2"/>
  <c r="K20" i="2"/>
  <c r="M21" i="2"/>
  <c r="O22" i="2"/>
  <c r="K24" i="2"/>
  <c r="M25" i="2"/>
  <c r="O26" i="2"/>
  <c r="K19" i="2"/>
  <c r="K23" i="2"/>
  <c r="N17" i="2"/>
  <c r="P18" i="2"/>
  <c r="L20" i="2"/>
  <c r="N21" i="2"/>
  <c r="P22" i="2"/>
  <c r="L24" i="2"/>
  <c r="N25" i="2"/>
  <c r="P19" i="1"/>
  <c r="P15" i="1"/>
  <c r="K13" i="1"/>
  <c r="K17" i="1"/>
  <c r="K16" i="1"/>
  <c r="M13" i="1"/>
  <c r="K18" i="1"/>
  <c r="K14" i="1"/>
  <c r="M18" i="1"/>
  <c r="M15" i="1"/>
  <c r="O19" i="1"/>
  <c r="N14" i="1"/>
  <c r="N18" i="1"/>
  <c r="O14" i="1"/>
  <c r="M17" i="1"/>
  <c r="O18" i="1"/>
  <c r="N13" i="1"/>
  <c r="P14" i="1"/>
  <c r="L16" i="1"/>
  <c r="N17" i="1"/>
  <c r="P18" i="1"/>
  <c r="L13" i="1"/>
  <c r="L17" i="1"/>
  <c r="O13" i="1"/>
  <c r="K15" i="1"/>
  <c r="M16" i="1"/>
  <c r="O17" i="1"/>
  <c r="K19" i="1"/>
  <c r="P13" i="1"/>
  <c r="L15" i="1"/>
  <c r="N16" i="1"/>
  <c r="P17" i="1"/>
  <c r="P20" i="1" s="1"/>
  <c r="P21" i="1" s="1"/>
  <c r="L19" i="1"/>
  <c r="O16" i="1"/>
  <c r="L14" i="1"/>
  <c r="N15" i="1"/>
  <c r="P16" i="1"/>
  <c r="L18" i="1"/>
  <c r="K7" i="3"/>
  <c r="K8" i="3" s="1"/>
  <c r="K9" i="3" s="1"/>
  <c r="K16" i="3"/>
  <c r="O13" i="3"/>
  <c r="K15" i="3"/>
  <c r="M16" i="3"/>
  <c r="O17" i="3"/>
  <c r="K19" i="3"/>
  <c r="P13" i="3"/>
  <c r="P20" i="3" s="1"/>
  <c r="P21" i="3" s="1"/>
  <c r="L15" i="3"/>
  <c r="N16" i="3"/>
  <c r="P17" i="3"/>
  <c r="L19" i="3"/>
  <c r="K14" i="3"/>
  <c r="M15" i="3"/>
  <c r="O16" i="3"/>
  <c r="M19" i="3"/>
  <c r="L16" i="3"/>
  <c r="L14" i="3"/>
  <c r="N15" i="3"/>
  <c r="P16" i="3"/>
  <c r="L18" i="3"/>
  <c r="N19" i="3"/>
  <c r="K13" i="3"/>
  <c r="M14" i="3"/>
  <c r="O15" i="3"/>
  <c r="M18" i="3"/>
  <c r="O19" i="3"/>
  <c r="L13" i="3"/>
  <c r="N14" i="3"/>
  <c r="N20" i="3" s="1"/>
  <c r="N21" i="3" s="1"/>
  <c r="P15" i="3"/>
  <c r="L17" i="3"/>
  <c r="N18" i="3"/>
  <c r="M20" i="1"/>
  <c r="M21" i="1" s="1"/>
  <c r="K17" i="3" l="1"/>
  <c r="O20" i="3"/>
  <c r="O21" i="3" s="1"/>
  <c r="L20" i="3"/>
  <c r="L21" i="3" s="1"/>
  <c r="M20" i="3"/>
  <c r="M21" i="3" s="1"/>
  <c r="P27" i="2"/>
  <c r="P28" i="2" s="1"/>
  <c r="N27" i="2"/>
  <c r="N28" i="2" s="1"/>
  <c r="K27" i="2"/>
  <c r="K28" i="2" s="1"/>
  <c r="O20" i="1"/>
  <c r="O21" i="1" s="1"/>
  <c r="L20" i="1"/>
  <c r="L21" i="1" s="1"/>
  <c r="K20" i="1"/>
  <c r="K21" i="1" s="1"/>
  <c r="N20" i="1"/>
  <c r="N21" i="1" s="1"/>
  <c r="O27" i="2"/>
  <c r="O28" i="2" s="1"/>
  <c r="K18" i="3"/>
  <c r="K20" i="3" l="1"/>
  <c r="K21" i="3" s="1"/>
</calcChain>
</file>

<file path=xl/sharedStrings.xml><?xml version="1.0" encoding="utf-8"?>
<sst xmlns="http://schemas.openxmlformats.org/spreadsheetml/2006/main" count="174" uniqueCount="57">
  <si>
    <t>ARAXÁ</t>
  </si>
  <si>
    <t>CAMPOS ALTOS</t>
  </si>
  <si>
    <t>IBIÁ</t>
  </si>
  <si>
    <t>PEDRINÓPOLIS</t>
  </si>
  <si>
    <t>PERDIZES</t>
  </si>
  <si>
    <t>PRATINHA</t>
  </si>
  <si>
    <t>SANTA JULIANA</t>
  </si>
  <si>
    <t>TAPIRA</t>
  </si>
  <si>
    <t>CARNEIRINHO</t>
  </si>
  <si>
    <t>COMENDADOR GOMES</t>
  </si>
  <si>
    <t>FRONTEIRA</t>
  </si>
  <si>
    <t>FRUTAL</t>
  </si>
  <si>
    <t>ITAPAGIPE</t>
  </si>
  <si>
    <t>ITURAMA</t>
  </si>
  <si>
    <t>LIMEIRA DO OESTE</t>
  </si>
  <si>
    <t>PIRAJUBA</t>
  </si>
  <si>
    <t>PLANURA</t>
  </si>
  <si>
    <t>SÃO FRANCISCO DE SALES</t>
  </si>
  <si>
    <t>UNIÃO DE MINAS</t>
  </si>
  <si>
    <t>UBERABA</t>
  </si>
  <si>
    <t>ÁGUA COMPRIDA</t>
  </si>
  <si>
    <t>CAMPO FLORIDO</t>
  </si>
  <si>
    <t>CONCEIÇÃO DAS ALAGOAS</t>
  </si>
  <si>
    <t>CONQUISTA</t>
  </si>
  <si>
    <t>DELTA</t>
  </si>
  <si>
    <t>SACRAMENTO</t>
  </si>
  <si>
    <t>VERÍSSIMO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</si>
  <si>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</si>
  <si>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</si>
  <si>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</si>
  <si>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</si>
  <si>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</si>
  <si>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</si>
  <si>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</si>
  <si>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</si>
  <si>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</si>
  <si>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</si>
  <si>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</si>
  <si>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</si>
  <si>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</si>
  <si>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</si>
  <si>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</si>
  <si>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</si>
  <si>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</si>
  <si>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</si>
  <si>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</si>
  <si>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</si>
  <si>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</si>
  <si>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</si>
  <si>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JOSÉ GONÇALVES DE MINAS</t>
  </si>
  <si>
    <t>LEME DO PRADO</t>
  </si>
  <si>
    <t>ARICANDUVA</t>
  </si>
  <si>
    <t>VEREDINHA</t>
  </si>
  <si>
    <t>CHAPADA DO NORTE</t>
  </si>
  <si>
    <t>TURMALINA</t>
  </si>
  <si>
    <t>MINAS NOVAS</t>
  </si>
  <si>
    <t>CAPELINHA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</si>
</sst>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ARAXÁ!$J$1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ARAXÁ!$J$2:$J$9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03-4D05-9088-30FA00C83F35}"/>
            </c:ext>
          </c:extLst>
        </c:ser>
        <c:ser>
          <c:idx val="1"/>
          <c:order val="1"/>
          <c:tx>
            <c:strRef>
              <c:f>ARAXÁ!$K$1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ARAXÁ!$K$2:$K$9</c:f>
              <c:numCache>
                <c:formatCode>0.00</c:formatCode>
                <c:ptCount val="8"/>
                <c:pt idx="0">
                  <c:v>4.6875E-2</c:v>
                </c:pt>
                <c:pt idx="1">
                  <c:v>6.25E-2</c:v>
                </c:pt>
                <c:pt idx="2">
                  <c:v>9.375E-2</c:v>
                </c:pt>
                <c:pt idx="3">
                  <c:v>0.1640625</c:v>
                </c:pt>
                <c:pt idx="4">
                  <c:v>0.25</c:v>
                </c:pt>
                <c:pt idx="5">
                  <c:v>0.40625</c:v>
                </c:pt>
                <c:pt idx="6">
                  <c:v>0.578125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03-4D05-9088-30FA00C83F35}"/>
            </c:ext>
          </c:extLst>
        </c:ser>
        <c:ser>
          <c:idx val="2"/>
          <c:order val="2"/>
          <c:tx>
            <c:strRef>
              <c:f>ARAXÁ!$L$1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ARAXÁ!$L$2:$L$9</c:f>
              <c:numCache>
                <c:formatCode>0.00</c:formatCode>
                <c:ptCount val="8"/>
                <c:pt idx="0">
                  <c:v>2.7777777777777776E-2</c:v>
                </c:pt>
                <c:pt idx="1">
                  <c:v>2.7777777777777776E-2</c:v>
                </c:pt>
                <c:pt idx="2">
                  <c:v>8.3333333333333329E-2</c:v>
                </c:pt>
                <c:pt idx="3">
                  <c:v>0.1388888888888889</c:v>
                </c:pt>
                <c:pt idx="4">
                  <c:v>0.3611111111111111</c:v>
                </c:pt>
                <c:pt idx="5">
                  <c:v>0.44444444444444442</c:v>
                </c:pt>
                <c:pt idx="6">
                  <c:v>0.66666666666666663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03-4D05-9088-30FA00C83F35}"/>
            </c:ext>
          </c:extLst>
        </c:ser>
        <c:ser>
          <c:idx val="3"/>
          <c:order val="3"/>
          <c:tx>
            <c:strRef>
              <c:f>ARAXÁ!$M$1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ARAXÁ!$M$2:$M$9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9.4339622641509441E-2</c:v>
                </c:pt>
                <c:pt idx="3">
                  <c:v>0.11320754716981132</c:v>
                </c:pt>
                <c:pt idx="4">
                  <c:v>0.26415094339622641</c:v>
                </c:pt>
                <c:pt idx="5">
                  <c:v>0.39622641509433965</c:v>
                </c:pt>
                <c:pt idx="6">
                  <c:v>0.50943396226415094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03-4D05-9088-30FA00C8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4208"/>
        <c:axId val="562879968"/>
      </c:scatterChart>
      <c:valAx>
        <c:axId val="562874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9968"/>
        <c:crosses val="autoZero"/>
        <c:crossBetween val="midCat"/>
      </c:valAx>
      <c:valAx>
        <c:axId val="5628799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ARAXÁ!$J$1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ARAXÁ!$J$2:$J$9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8-4935-A848-F54A5C887371}"/>
            </c:ext>
          </c:extLst>
        </c:ser>
        <c:ser>
          <c:idx val="1"/>
          <c:order val="1"/>
          <c:tx>
            <c:strRef>
              <c:f>ARAXÁ!$N$1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ARAXÁ!$N$2:$N$9</c:f>
              <c:numCache>
                <c:formatCode>0.00</c:formatCode>
                <c:ptCount val="8"/>
                <c:pt idx="0">
                  <c:v>2.2988505747126436E-2</c:v>
                </c:pt>
                <c:pt idx="1">
                  <c:v>3.4482758620689655E-2</c:v>
                </c:pt>
                <c:pt idx="2">
                  <c:v>0.10344827586206896</c:v>
                </c:pt>
                <c:pt idx="3">
                  <c:v>0.18390804597701149</c:v>
                </c:pt>
                <c:pt idx="4">
                  <c:v>0.27586206896551724</c:v>
                </c:pt>
                <c:pt idx="5">
                  <c:v>0.36781609195402298</c:v>
                </c:pt>
                <c:pt idx="6">
                  <c:v>0.50574712643678166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8-4935-A848-F54A5C887371}"/>
            </c:ext>
          </c:extLst>
        </c:ser>
        <c:ser>
          <c:idx val="2"/>
          <c:order val="2"/>
          <c:tx>
            <c:strRef>
              <c:f>ARAXÁ!$O$1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ARAXÁ!$O$2:$O$9</c:f>
              <c:numCache>
                <c:formatCode>0.00</c:formatCode>
                <c:ptCount val="8"/>
                <c:pt idx="0">
                  <c:v>5.5045871559633031E-2</c:v>
                </c:pt>
                <c:pt idx="1">
                  <c:v>5.5045871559633031E-2</c:v>
                </c:pt>
                <c:pt idx="2">
                  <c:v>9.1743119266055051E-2</c:v>
                </c:pt>
                <c:pt idx="3">
                  <c:v>0.1834862385321101</c:v>
                </c:pt>
                <c:pt idx="4">
                  <c:v>0.21100917431192662</c:v>
                </c:pt>
                <c:pt idx="5">
                  <c:v>0.33944954128440369</c:v>
                </c:pt>
                <c:pt idx="6">
                  <c:v>0.44036697247706424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68-4935-A848-F54A5C887371}"/>
            </c:ext>
          </c:extLst>
        </c:ser>
        <c:ser>
          <c:idx val="3"/>
          <c:order val="3"/>
          <c:tx>
            <c:strRef>
              <c:f>ARAXÁ!$P$1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ARAXÁ!$P$2:$P$9</c:f>
              <c:numCache>
                <c:formatCode>0.00</c:formatCode>
                <c:ptCount val="8"/>
                <c:pt idx="0">
                  <c:v>0.17857142857142858</c:v>
                </c:pt>
                <c:pt idx="1">
                  <c:v>0.2142857142857143</c:v>
                </c:pt>
                <c:pt idx="2">
                  <c:v>0.2142857142857143</c:v>
                </c:pt>
                <c:pt idx="3">
                  <c:v>0.2857142857142857</c:v>
                </c:pt>
                <c:pt idx="4">
                  <c:v>0.2857142857142857</c:v>
                </c:pt>
                <c:pt idx="5">
                  <c:v>0.3571428571428571</c:v>
                </c:pt>
                <c:pt idx="6">
                  <c:v>0.5357142857142857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68-4935-A848-F54A5C88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13088"/>
        <c:axId val="562913568"/>
      </c:scatterChart>
      <c:valAx>
        <c:axId val="562913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13568"/>
        <c:crosses val="autoZero"/>
        <c:crossBetween val="midCat"/>
      </c:valAx>
      <c:valAx>
        <c:axId val="562913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'FRUTAL-ITURAMA'!$J$1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'FRUTAL-ITURAMA'!$J$2:$J$12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C-433A-B8BF-97E6EA5FF284}"/>
            </c:ext>
          </c:extLst>
        </c:ser>
        <c:ser>
          <c:idx val="1"/>
          <c:order val="1"/>
          <c:tx>
            <c:strRef>
              <c:f>'FRUTAL-ITURAMA'!$K$1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'FRUTAL-ITURAMA'!$K$2:$K$12</c:f>
              <c:numCache>
                <c:formatCode>0.00</c:formatCode>
                <c:ptCount val="11"/>
                <c:pt idx="0">
                  <c:v>1.6949152542372881E-2</c:v>
                </c:pt>
                <c:pt idx="1">
                  <c:v>5.9322033898305079E-2</c:v>
                </c:pt>
                <c:pt idx="2">
                  <c:v>8.4745762711864403E-2</c:v>
                </c:pt>
                <c:pt idx="3">
                  <c:v>0.1271186440677966</c:v>
                </c:pt>
                <c:pt idx="4">
                  <c:v>0.15254237288135591</c:v>
                </c:pt>
                <c:pt idx="5">
                  <c:v>0.21186440677966101</c:v>
                </c:pt>
                <c:pt idx="6">
                  <c:v>0.24576271186440676</c:v>
                </c:pt>
                <c:pt idx="7">
                  <c:v>0.33898305084745761</c:v>
                </c:pt>
                <c:pt idx="8">
                  <c:v>0.38983050847457623</c:v>
                </c:pt>
                <c:pt idx="9">
                  <c:v>0.61864406779661008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5C-433A-B8BF-97E6EA5FF284}"/>
            </c:ext>
          </c:extLst>
        </c:ser>
        <c:ser>
          <c:idx val="2"/>
          <c:order val="2"/>
          <c:tx>
            <c:strRef>
              <c:f>'FRUTAL-ITURAMA'!$L$1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'FRUTAL-ITURAMA'!$L$2:$L$12</c:f>
              <c:numCache>
                <c:formatCode>0.00</c:formatCode>
                <c:ptCount val="11"/>
                <c:pt idx="0">
                  <c:v>4.1666666666666664E-2</c:v>
                </c:pt>
                <c:pt idx="1">
                  <c:v>6.25E-2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0.20833333333333331</c:v>
                </c:pt>
                <c:pt idx="6">
                  <c:v>0.22916666666666666</c:v>
                </c:pt>
                <c:pt idx="7">
                  <c:v>0.27083333333333331</c:v>
                </c:pt>
                <c:pt idx="8">
                  <c:v>0.3125</c:v>
                </c:pt>
                <c:pt idx="9">
                  <c:v>0.70833333333333326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5C-433A-B8BF-97E6EA5FF284}"/>
            </c:ext>
          </c:extLst>
        </c:ser>
        <c:ser>
          <c:idx val="3"/>
          <c:order val="3"/>
          <c:tx>
            <c:strRef>
              <c:f>'FRUTAL-ITURAMA'!$M$1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'FRUTAL-ITURAMA'!$M$2:$M$12</c:f>
              <c:numCache>
                <c:formatCode>0.00</c:formatCode>
                <c:ptCount val="11"/>
                <c:pt idx="0">
                  <c:v>0</c:v>
                </c:pt>
                <c:pt idx="1">
                  <c:v>2.3809523809523808E-2</c:v>
                </c:pt>
                <c:pt idx="2">
                  <c:v>4.7619047619047616E-2</c:v>
                </c:pt>
                <c:pt idx="3">
                  <c:v>0.14285714285714285</c:v>
                </c:pt>
                <c:pt idx="4">
                  <c:v>0.19047619047619047</c:v>
                </c:pt>
                <c:pt idx="5">
                  <c:v>0.21428571428571427</c:v>
                </c:pt>
                <c:pt idx="6">
                  <c:v>0.23809523809523808</c:v>
                </c:pt>
                <c:pt idx="7">
                  <c:v>0.26190476190476186</c:v>
                </c:pt>
                <c:pt idx="8">
                  <c:v>0.30952380952380948</c:v>
                </c:pt>
                <c:pt idx="9">
                  <c:v>0.61904761904761907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5C-433A-B8BF-97E6EA5FF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488"/>
        <c:axId val="195387968"/>
      </c:scatterChart>
      <c:valAx>
        <c:axId val="195387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968"/>
        <c:crosses val="autoZero"/>
        <c:crossBetween val="midCat"/>
      </c:valAx>
      <c:valAx>
        <c:axId val="195387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'FRUTAL-ITURAMA'!$J$1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'FRUTAL-ITURAMA'!$J$2:$J$12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DC-43B2-8202-C738D2B3F585}"/>
            </c:ext>
          </c:extLst>
        </c:ser>
        <c:ser>
          <c:idx val="1"/>
          <c:order val="1"/>
          <c:tx>
            <c:strRef>
              <c:f>'FRUTAL-ITURAMA'!$N$1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'FRUTAL-ITURAMA'!$N$2:$N$12</c:f>
              <c:numCache>
                <c:formatCode>0.00</c:formatCode>
                <c:ptCount val="11"/>
                <c:pt idx="0">
                  <c:v>0</c:v>
                </c:pt>
                <c:pt idx="1">
                  <c:v>2.6315789473684209E-2</c:v>
                </c:pt>
                <c:pt idx="2">
                  <c:v>3.9473684210526314E-2</c:v>
                </c:pt>
                <c:pt idx="3">
                  <c:v>9.2105263157894732E-2</c:v>
                </c:pt>
                <c:pt idx="4">
                  <c:v>0.27631578947368418</c:v>
                </c:pt>
                <c:pt idx="5">
                  <c:v>0.36842105263157893</c:v>
                </c:pt>
                <c:pt idx="6">
                  <c:v>0.42105263157894735</c:v>
                </c:pt>
                <c:pt idx="7">
                  <c:v>0.46052631578947367</c:v>
                </c:pt>
                <c:pt idx="8">
                  <c:v>0.48684210526315785</c:v>
                </c:pt>
                <c:pt idx="9">
                  <c:v>0.88157894736842102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DC-43B2-8202-C738D2B3F585}"/>
            </c:ext>
          </c:extLst>
        </c:ser>
        <c:ser>
          <c:idx val="2"/>
          <c:order val="2"/>
          <c:tx>
            <c:strRef>
              <c:f>'FRUTAL-ITURAMA'!$O$1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'FRUTAL-ITURAMA'!$O$2:$O$12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4.3478260869565216E-2</c:v>
                </c:pt>
                <c:pt idx="4">
                  <c:v>0.15942028985507245</c:v>
                </c:pt>
                <c:pt idx="5">
                  <c:v>0.27536231884057971</c:v>
                </c:pt>
                <c:pt idx="6">
                  <c:v>0.30434782608695654</c:v>
                </c:pt>
                <c:pt idx="7">
                  <c:v>0.37681159420289856</c:v>
                </c:pt>
                <c:pt idx="8">
                  <c:v>0.40579710144927539</c:v>
                </c:pt>
                <c:pt idx="9">
                  <c:v>0.79710144927536231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DC-43B2-8202-C738D2B3F585}"/>
            </c:ext>
          </c:extLst>
        </c:ser>
        <c:ser>
          <c:idx val="3"/>
          <c:order val="3"/>
          <c:tx>
            <c:strRef>
              <c:f>'FRUTAL-ITURAMA'!$P$1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'FRUTAL-ITURAMA'!$P$2:$P$12</c:f>
              <c:numCache>
                <c:formatCode>0.00</c:formatCode>
                <c:ptCount val="11"/>
                <c:pt idx="0">
                  <c:v>7.6923076923076927E-2</c:v>
                </c:pt>
                <c:pt idx="1">
                  <c:v>7.6923076923076927E-2</c:v>
                </c:pt>
                <c:pt idx="2">
                  <c:v>7.6923076923076927E-2</c:v>
                </c:pt>
                <c:pt idx="3">
                  <c:v>7.6923076923076927E-2</c:v>
                </c:pt>
                <c:pt idx="4">
                  <c:v>7.6923076923076927E-2</c:v>
                </c:pt>
                <c:pt idx="5">
                  <c:v>0.15384615384615385</c:v>
                </c:pt>
                <c:pt idx="6">
                  <c:v>0.15384615384615385</c:v>
                </c:pt>
                <c:pt idx="7">
                  <c:v>0.30769230769230771</c:v>
                </c:pt>
                <c:pt idx="8">
                  <c:v>0.30769230769230771</c:v>
                </c:pt>
                <c:pt idx="9">
                  <c:v>0.61538461538461542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DC-43B2-8202-C738D2B3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93248"/>
        <c:axId val="88195184"/>
      </c:scatterChart>
      <c:valAx>
        <c:axId val="195393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195184"/>
        <c:crosses val="autoZero"/>
        <c:crossBetween val="midCat"/>
      </c:valAx>
      <c:valAx>
        <c:axId val="88195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UBERABA!$J$1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UBERABA!$J$2:$J$9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73-47F2-BF6F-DD94CFB8A3E8}"/>
            </c:ext>
          </c:extLst>
        </c:ser>
        <c:ser>
          <c:idx val="1"/>
          <c:order val="1"/>
          <c:tx>
            <c:strRef>
              <c:f>UBERABA!$K$1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UBERABA!$K$2:$K$9</c:f>
              <c:numCache>
                <c:formatCode>0.00</c:formatCode>
                <c:ptCount val="8"/>
                <c:pt idx="0">
                  <c:v>5.2910052910052907E-3</c:v>
                </c:pt>
                <c:pt idx="1">
                  <c:v>1.9400352733686066E-2</c:v>
                </c:pt>
                <c:pt idx="2">
                  <c:v>2.6455026455026454E-2</c:v>
                </c:pt>
                <c:pt idx="3">
                  <c:v>4.0564373897707229E-2</c:v>
                </c:pt>
                <c:pt idx="4">
                  <c:v>5.4673721340388004E-2</c:v>
                </c:pt>
                <c:pt idx="5">
                  <c:v>0.16225749559082892</c:v>
                </c:pt>
                <c:pt idx="6">
                  <c:v>0.21340388007054673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73-47F2-BF6F-DD94CFB8A3E8}"/>
            </c:ext>
          </c:extLst>
        </c:ser>
        <c:ser>
          <c:idx val="2"/>
          <c:order val="2"/>
          <c:tx>
            <c:strRef>
              <c:f>UBERABA!$L$1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UBERABA!$L$2:$L$9</c:f>
              <c:numCache>
                <c:formatCode>0.00</c:formatCode>
                <c:ptCount val="8"/>
                <c:pt idx="0">
                  <c:v>4.2735042735042739E-3</c:v>
                </c:pt>
                <c:pt idx="1">
                  <c:v>4.2735042735042739E-3</c:v>
                </c:pt>
                <c:pt idx="2">
                  <c:v>8.5470085470085479E-3</c:v>
                </c:pt>
                <c:pt idx="3">
                  <c:v>1.7094017094017096E-2</c:v>
                </c:pt>
                <c:pt idx="4">
                  <c:v>2.5641025641025644E-2</c:v>
                </c:pt>
                <c:pt idx="5">
                  <c:v>0.13675213675213674</c:v>
                </c:pt>
                <c:pt idx="6">
                  <c:v>0.25641025641025639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73-47F2-BF6F-DD94CFB8A3E8}"/>
            </c:ext>
          </c:extLst>
        </c:ser>
        <c:ser>
          <c:idx val="3"/>
          <c:order val="3"/>
          <c:tx>
            <c:strRef>
              <c:f>UBERABA!$M$1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UBERABA!$M$2:$M$9</c:f>
              <c:numCache>
                <c:formatCode>0.00</c:formatCode>
                <c:ptCount val="8"/>
                <c:pt idx="0">
                  <c:v>0</c:v>
                </c:pt>
                <c:pt idx="1">
                  <c:v>1.9047619047619049E-2</c:v>
                </c:pt>
                <c:pt idx="2">
                  <c:v>2.3809523809523812E-2</c:v>
                </c:pt>
                <c:pt idx="3">
                  <c:v>3.333333333333334E-2</c:v>
                </c:pt>
                <c:pt idx="4">
                  <c:v>3.333333333333334E-2</c:v>
                </c:pt>
                <c:pt idx="5">
                  <c:v>0.14285714285714285</c:v>
                </c:pt>
                <c:pt idx="6">
                  <c:v>0.18571428571428572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73-47F2-BF6F-DD94CFB8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95600"/>
        <c:axId val="893292720"/>
      </c:scatterChart>
      <c:valAx>
        <c:axId val="8932956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92720"/>
        <c:crosses val="autoZero"/>
        <c:crossBetween val="midCat"/>
      </c:valAx>
      <c:valAx>
        <c:axId val="8932927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9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UBERABA!$J$1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UBERABA!$J$2:$J$9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9A-4716-8E59-24379F67FD09}"/>
            </c:ext>
          </c:extLst>
        </c:ser>
        <c:ser>
          <c:idx val="1"/>
          <c:order val="1"/>
          <c:tx>
            <c:strRef>
              <c:f>UBERABA!$N$1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UBERABA!$N$2:$N$9</c:f>
              <c:numCache>
                <c:formatCode>0.00</c:formatCode>
                <c:ptCount val="8"/>
                <c:pt idx="0">
                  <c:v>1.038961038961039E-2</c:v>
                </c:pt>
                <c:pt idx="1">
                  <c:v>1.5584415584415584E-2</c:v>
                </c:pt>
                <c:pt idx="2">
                  <c:v>2.3376623376623377E-2</c:v>
                </c:pt>
                <c:pt idx="3">
                  <c:v>2.8571428571428574E-2</c:v>
                </c:pt>
                <c:pt idx="4">
                  <c:v>3.6363636363636369E-2</c:v>
                </c:pt>
                <c:pt idx="5">
                  <c:v>0.27532467532467531</c:v>
                </c:pt>
                <c:pt idx="6">
                  <c:v>0.30909090909090908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9A-4716-8E59-24379F67FD09}"/>
            </c:ext>
          </c:extLst>
        </c:ser>
        <c:ser>
          <c:idx val="2"/>
          <c:order val="2"/>
          <c:tx>
            <c:strRef>
              <c:f>UBERABA!$O$1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UBERABA!$O$2:$O$9</c:f>
              <c:numCache>
                <c:formatCode>0.00</c:formatCode>
                <c:ptCount val="8"/>
                <c:pt idx="0">
                  <c:v>3.4364261168384879E-3</c:v>
                </c:pt>
                <c:pt idx="1">
                  <c:v>1.7182130584192441E-2</c:v>
                </c:pt>
                <c:pt idx="2">
                  <c:v>2.7491408934707903E-2</c:v>
                </c:pt>
                <c:pt idx="3">
                  <c:v>2.7491408934707903E-2</c:v>
                </c:pt>
                <c:pt idx="4">
                  <c:v>3.4364261168384883E-2</c:v>
                </c:pt>
                <c:pt idx="5">
                  <c:v>0.32989690721649484</c:v>
                </c:pt>
                <c:pt idx="6">
                  <c:v>0.37113402061855671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9A-4716-8E59-24379F67FD09}"/>
            </c:ext>
          </c:extLst>
        </c:ser>
        <c:ser>
          <c:idx val="3"/>
          <c:order val="3"/>
          <c:tx>
            <c:strRef>
              <c:f>UBERABA!$P$1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UBERABA!$P$2:$P$9</c:f>
              <c:numCache>
                <c:formatCode>0.00</c:formatCode>
                <c:ptCount val="8"/>
                <c:pt idx="0">
                  <c:v>6.2893081761006293E-3</c:v>
                </c:pt>
                <c:pt idx="1">
                  <c:v>1.886792452830189E-2</c:v>
                </c:pt>
                <c:pt idx="2">
                  <c:v>3.1446540880503152E-2</c:v>
                </c:pt>
                <c:pt idx="3">
                  <c:v>3.7735849056603779E-2</c:v>
                </c:pt>
                <c:pt idx="4">
                  <c:v>3.7735849056603779E-2</c:v>
                </c:pt>
                <c:pt idx="5">
                  <c:v>0.45283018867924529</c:v>
                </c:pt>
                <c:pt idx="6">
                  <c:v>0.48427672955974843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9A-4716-8E59-24379F67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54432"/>
        <c:axId val="618341472"/>
      </c:scatterChart>
      <c:valAx>
        <c:axId val="618354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41472"/>
        <c:crosses val="autoZero"/>
        <c:crossBetween val="midCat"/>
      </c:valAx>
      <c:valAx>
        <c:axId val="618341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5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34290</xdr:rowOff>
    </xdr:from>
    <xdr:to>
      <xdr:col>23</xdr:col>
      <xdr:colOff>350520</xdr:colOff>
      <xdr:row>12</xdr:row>
      <xdr:rowOff>118110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B926901-5DCA-759C-1D6E-282CEA6F3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</xdr:colOff>
      <xdr:row>13</xdr:row>
      <xdr:rowOff>3810</xdr:rowOff>
    </xdr:from>
    <xdr:to>
      <xdr:col>23</xdr:col>
      <xdr:colOff>350520</xdr:colOff>
      <xdr:row>28</xdr:row>
      <xdr:rowOff>3810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6BC509D-7AA2-A14F-52BC-5465B02E7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49530</xdr:rowOff>
    </xdr:from>
    <xdr:to>
      <xdr:col>23</xdr:col>
      <xdr:colOff>365760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7A6950-D186-CCE0-2FC5-F0B83CB25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14</xdr:row>
      <xdr:rowOff>11430</xdr:rowOff>
    </xdr:from>
    <xdr:to>
      <xdr:col>23</xdr:col>
      <xdr:colOff>365760</xdr:colOff>
      <xdr:row>28</xdr:row>
      <xdr:rowOff>11430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7E4CE9F-C703-EEF6-CFD4-AB996E313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87630</xdr:rowOff>
    </xdr:from>
    <xdr:to>
      <xdr:col>23</xdr:col>
      <xdr:colOff>426720</xdr:colOff>
      <xdr:row>12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56268BE-9D32-F3A9-0914-A5948565D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41910</xdr:rowOff>
    </xdr:from>
    <xdr:to>
      <xdr:col>23</xdr:col>
      <xdr:colOff>449580</xdr:colOff>
      <xdr:row>28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CA7DB76-BC77-A477-81C0-D5E5084CB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BA7F-D08A-4C30-B563-D452E61A7F97}">
  <dimension ref="A1:P21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3</v>
      </c>
      <c r="B2" s="9">
        <v>1.8942616996990763E-2</v>
      </c>
      <c r="C2" s="9">
        <v>4.6875E-2</v>
      </c>
      <c r="D2" s="9">
        <v>2.7777777777777776E-2</v>
      </c>
      <c r="E2" s="9">
        <v>0</v>
      </c>
      <c r="F2" s="9">
        <v>2.2988505747126436E-2</v>
      </c>
      <c r="G2" s="9">
        <v>5.5045871559633031E-2</v>
      </c>
      <c r="H2" s="9">
        <v>0.17857142857142858</v>
      </c>
      <c r="I2" s="9">
        <v>1.8942616996990763E-2</v>
      </c>
      <c r="J2" s="9">
        <v>1.8942616996990763E-2</v>
      </c>
      <c r="K2" s="9">
        <v>4.6875E-2</v>
      </c>
      <c r="L2" s="9">
        <v>2.7777777777777776E-2</v>
      </c>
      <c r="M2" s="9">
        <v>0</v>
      </c>
      <c r="N2" s="9">
        <v>2.2988505747126436E-2</v>
      </c>
      <c r="O2" s="9">
        <v>5.5045871559633031E-2</v>
      </c>
      <c r="P2" s="9">
        <v>0.17857142857142858</v>
      </c>
    </row>
    <row r="3" spans="1:16" x14ac:dyDescent="0.3">
      <c r="A3" s="9" t="s">
        <v>5</v>
      </c>
      <c r="B3" s="9">
        <v>1.8978935353325725E-2</v>
      </c>
      <c r="C3" s="9">
        <v>1.5625E-2</v>
      </c>
      <c r="D3" s="9">
        <v>0</v>
      </c>
      <c r="E3" s="9">
        <v>0</v>
      </c>
      <c r="F3" s="9">
        <v>1.1494252873563218E-2</v>
      </c>
      <c r="G3" s="9">
        <v>0</v>
      </c>
      <c r="H3" s="9">
        <v>3.5714285714285712E-2</v>
      </c>
      <c r="I3" s="9">
        <v>3.7921552350316488E-2</v>
      </c>
      <c r="J3" s="9">
        <f t="shared" ref="J3:P9" si="0">J2+B3</f>
        <v>3.7921552350316488E-2</v>
      </c>
      <c r="K3" s="9">
        <f t="shared" si="0"/>
        <v>6.25E-2</v>
      </c>
      <c r="L3" s="16">
        <f t="shared" si="0"/>
        <v>2.7777777777777776E-2</v>
      </c>
      <c r="M3" s="9">
        <f t="shared" si="0"/>
        <v>0</v>
      </c>
      <c r="N3" s="9">
        <f t="shared" si="0"/>
        <v>3.4482758620689655E-2</v>
      </c>
      <c r="O3" s="9">
        <f t="shared" si="0"/>
        <v>5.5045871559633031E-2</v>
      </c>
      <c r="P3" s="9">
        <f t="shared" si="0"/>
        <v>0.2142857142857143</v>
      </c>
    </row>
    <row r="4" spans="1:16" x14ac:dyDescent="0.3">
      <c r="A4" s="9" t="s">
        <v>7</v>
      </c>
      <c r="B4" s="9">
        <v>2.537096606827851E-2</v>
      </c>
      <c r="C4" s="9">
        <v>3.125E-2</v>
      </c>
      <c r="D4" s="9">
        <v>5.5555555555555552E-2</v>
      </c>
      <c r="E4" s="9">
        <v>9.4339622641509441E-2</v>
      </c>
      <c r="F4" s="9">
        <v>6.8965517241379309E-2</v>
      </c>
      <c r="G4" s="9">
        <v>3.669724770642202E-2</v>
      </c>
      <c r="H4" s="9">
        <v>0</v>
      </c>
      <c r="I4" s="9">
        <v>6.3292518418594998E-2</v>
      </c>
      <c r="J4" s="9">
        <f t="shared" si="0"/>
        <v>6.3292518418594998E-2</v>
      </c>
      <c r="K4" s="9">
        <f t="shared" si="0"/>
        <v>9.375E-2</v>
      </c>
      <c r="L4" s="16">
        <f t="shared" si="0"/>
        <v>8.3333333333333329E-2</v>
      </c>
      <c r="M4" s="9">
        <f t="shared" si="0"/>
        <v>9.4339622641509441E-2</v>
      </c>
      <c r="N4" s="9">
        <f t="shared" si="0"/>
        <v>0.10344827586206896</v>
      </c>
      <c r="O4" s="9">
        <f t="shared" si="0"/>
        <v>9.1743119266055051E-2</v>
      </c>
      <c r="P4" s="9">
        <f t="shared" si="0"/>
        <v>0.2142857142857143</v>
      </c>
    </row>
    <row r="5" spans="1:16" x14ac:dyDescent="0.3">
      <c r="A5" s="9" t="s">
        <v>6</v>
      </c>
      <c r="B5" s="9">
        <v>7.5215315969700117E-2</v>
      </c>
      <c r="C5" s="9">
        <v>7.03125E-2</v>
      </c>
      <c r="D5" s="9">
        <v>5.5555555555555552E-2</v>
      </c>
      <c r="E5" s="9">
        <v>1.8867924528301886E-2</v>
      </c>
      <c r="F5" s="9">
        <v>8.0459770114942528E-2</v>
      </c>
      <c r="G5" s="9">
        <v>9.1743119266055051E-2</v>
      </c>
      <c r="H5" s="9">
        <v>7.1428571428571425E-2</v>
      </c>
      <c r="I5" s="9">
        <v>0.13850783438829511</v>
      </c>
      <c r="J5" s="9">
        <f t="shared" si="0"/>
        <v>0.13850783438829511</v>
      </c>
      <c r="K5" s="9">
        <f t="shared" si="0"/>
        <v>0.1640625</v>
      </c>
      <c r="L5" s="16">
        <f t="shared" si="0"/>
        <v>0.1388888888888889</v>
      </c>
      <c r="M5" s="9">
        <f t="shared" si="0"/>
        <v>0.11320754716981132</v>
      </c>
      <c r="N5" s="9">
        <f t="shared" si="0"/>
        <v>0.18390804597701149</v>
      </c>
      <c r="O5" s="9">
        <f t="shared" si="0"/>
        <v>0.1834862385321101</v>
      </c>
      <c r="P5" s="9">
        <f t="shared" si="0"/>
        <v>0.2857142857142857</v>
      </c>
    </row>
    <row r="6" spans="1:16" x14ac:dyDescent="0.3">
      <c r="A6" s="9" t="s">
        <v>1</v>
      </c>
      <c r="B6" s="9">
        <v>8.1254539794541863E-2</v>
      </c>
      <c r="C6" s="9">
        <v>8.59375E-2</v>
      </c>
      <c r="D6" s="9">
        <v>0.22222222222222221</v>
      </c>
      <c r="E6" s="9">
        <v>0.15094339622641509</v>
      </c>
      <c r="F6" s="9">
        <v>9.1954022988505746E-2</v>
      </c>
      <c r="G6" s="9">
        <v>2.7522935779816515E-2</v>
      </c>
      <c r="H6" s="9">
        <v>0</v>
      </c>
      <c r="I6" s="9">
        <v>0.21976237418283698</v>
      </c>
      <c r="J6" s="9">
        <f t="shared" si="0"/>
        <v>0.21976237418283698</v>
      </c>
      <c r="K6" s="9">
        <f t="shared" si="0"/>
        <v>0.25</v>
      </c>
      <c r="L6" s="16">
        <f t="shared" si="0"/>
        <v>0.3611111111111111</v>
      </c>
      <c r="M6" s="9">
        <f t="shared" si="0"/>
        <v>0.26415094339622641</v>
      </c>
      <c r="N6" s="9">
        <f t="shared" si="0"/>
        <v>0.27586206896551724</v>
      </c>
      <c r="O6" s="9">
        <f t="shared" si="0"/>
        <v>0.21100917431192662</v>
      </c>
      <c r="P6" s="9">
        <f t="shared" si="0"/>
        <v>0.2857142857142857</v>
      </c>
    </row>
    <row r="7" spans="1:16" x14ac:dyDescent="0.3">
      <c r="A7" s="9" t="s">
        <v>4</v>
      </c>
      <c r="B7" s="9">
        <v>8.5446715782919999E-2</v>
      </c>
      <c r="C7" s="9">
        <v>0.15625</v>
      </c>
      <c r="D7" s="9">
        <v>8.3333333333333329E-2</v>
      </c>
      <c r="E7" s="9">
        <v>0.13207547169811321</v>
      </c>
      <c r="F7" s="9">
        <v>9.1954022988505746E-2</v>
      </c>
      <c r="G7" s="9">
        <v>0.12844036697247707</v>
      </c>
      <c r="H7" s="9">
        <v>7.1428571428571425E-2</v>
      </c>
      <c r="I7" s="9">
        <v>0.30520908996575696</v>
      </c>
      <c r="J7" s="9">
        <f t="shared" si="0"/>
        <v>0.30520908996575696</v>
      </c>
      <c r="K7" s="9">
        <f t="shared" si="0"/>
        <v>0.40625</v>
      </c>
      <c r="L7" s="16">
        <f t="shared" si="0"/>
        <v>0.44444444444444442</v>
      </c>
      <c r="M7" s="9">
        <f t="shared" si="0"/>
        <v>0.39622641509433965</v>
      </c>
      <c r="N7" s="9">
        <f t="shared" si="0"/>
        <v>0.36781609195402298</v>
      </c>
      <c r="O7" s="9">
        <f t="shared" si="0"/>
        <v>0.33944954128440369</v>
      </c>
      <c r="P7" s="9">
        <f t="shared" si="0"/>
        <v>0.3571428571428571</v>
      </c>
    </row>
    <row r="8" spans="1:16" x14ac:dyDescent="0.3">
      <c r="A8" s="9" t="s">
        <v>2</v>
      </c>
      <c r="B8" s="9">
        <v>0.13235965549444847</v>
      </c>
      <c r="C8" s="9">
        <v>0.171875</v>
      </c>
      <c r="D8" s="9">
        <v>0.22222222222222221</v>
      </c>
      <c r="E8" s="9">
        <v>0.11320754716981132</v>
      </c>
      <c r="F8" s="9">
        <v>0.13793103448275862</v>
      </c>
      <c r="G8" s="9">
        <v>0.10091743119266056</v>
      </c>
      <c r="H8" s="9">
        <v>0.17857142857142858</v>
      </c>
      <c r="I8" s="9">
        <v>0.43756874546020541</v>
      </c>
      <c r="J8" s="9">
        <f t="shared" si="0"/>
        <v>0.43756874546020541</v>
      </c>
      <c r="K8" s="9">
        <f t="shared" si="0"/>
        <v>0.578125</v>
      </c>
      <c r="L8" s="16">
        <f t="shared" si="0"/>
        <v>0.66666666666666663</v>
      </c>
      <c r="M8" s="9">
        <f t="shared" si="0"/>
        <v>0.50943396226415094</v>
      </c>
      <c r="N8" s="9">
        <f t="shared" si="0"/>
        <v>0.50574712643678166</v>
      </c>
      <c r="O8" s="9">
        <f t="shared" si="0"/>
        <v>0.44036697247706424</v>
      </c>
      <c r="P8" s="9">
        <f t="shared" si="0"/>
        <v>0.5357142857142857</v>
      </c>
    </row>
    <row r="9" spans="1:16" x14ac:dyDescent="0.3">
      <c r="A9" s="9" t="s">
        <v>0</v>
      </c>
      <c r="B9" s="9">
        <v>0.56243125453979459</v>
      </c>
      <c r="C9" s="9">
        <v>0.421875</v>
      </c>
      <c r="D9" s="9">
        <v>0.33333333333333331</v>
      </c>
      <c r="E9" s="9">
        <v>0.49056603773584906</v>
      </c>
      <c r="F9" s="9">
        <v>0.4942528735632184</v>
      </c>
      <c r="G9" s="9">
        <v>0.55963302752293576</v>
      </c>
      <c r="H9" s="9">
        <v>0.4642857142857143</v>
      </c>
      <c r="I9" s="9">
        <v>1</v>
      </c>
      <c r="J9" s="9">
        <f t="shared" si="0"/>
        <v>1</v>
      </c>
      <c r="K9" s="9">
        <f t="shared" si="0"/>
        <v>1</v>
      </c>
      <c r="L9" s="16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0" t="s">
        <v>27</v>
      </c>
      <c r="C11" s="11" t="s">
        <v>35</v>
      </c>
      <c r="D11" s="11" t="s">
        <v>36</v>
      </c>
      <c r="E11" s="11" t="s">
        <v>37</v>
      </c>
      <c r="F11" s="11" t="s">
        <v>38</v>
      </c>
      <c r="G11" s="11" t="s">
        <v>39</v>
      </c>
      <c r="H11" s="11" t="s">
        <v>40</v>
      </c>
      <c r="J11" s="8"/>
      <c r="K11" s="12" t="s">
        <v>41</v>
      </c>
      <c r="L11" s="12" t="s">
        <v>42</v>
      </c>
      <c r="M11" s="12" t="s">
        <v>43</v>
      </c>
      <c r="N11" s="12" t="s">
        <v>44</v>
      </c>
      <c r="O11" s="12" t="s">
        <v>45</v>
      </c>
      <c r="P11" s="12" t="s">
        <v>46</v>
      </c>
    </row>
    <row r="12" spans="1:16" x14ac:dyDescent="0.3">
      <c r="B12" s="8" t="s">
        <v>49</v>
      </c>
      <c r="C12" s="9">
        <f>C2-B2</f>
        <v>2.7932383003009237E-2</v>
      </c>
      <c r="D12" s="9">
        <f>D2-B2</f>
        <v>8.8351607807870131E-3</v>
      </c>
      <c r="E12" s="9">
        <f>E2-B2</f>
        <v>-1.8942616996990763E-2</v>
      </c>
      <c r="F12" s="9">
        <f>F2-B2</f>
        <v>4.0458887501356733E-3</v>
      </c>
      <c r="G12" s="9">
        <f>G2-B2</f>
        <v>3.6103254562642267E-2</v>
      </c>
      <c r="H12" s="9">
        <f>H2-B2</f>
        <v>0.15962881157443781</v>
      </c>
      <c r="J12" s="8" t="s">
        <v>49</v>
      </c>
      <c r="K12" s="8">
        <f>(J2-0) * (K2+0)</f>
        <v>8.8793517173394202E-4</v>
      </c>
      <c r="L12" s="8">
        <f t="shared" ref="L12" si="1">(K2-0) * (L2+0)</f>
        <v>1.3020833333333333E-3</v>
      </c>
      <c r="M12" s="8">
        <f>(J2-0) * (M2+0)</f>
        <v>0</v>
      </c>
      <c r="N12" s="8">
        <f>(J2-0) * (N2+0)</f>
        <v>4.3546245970093705E-4</v>
      </c>
      <c r="O12" s="8">
        <f>(J2-0) * (O2+0)</f>
        <v>1.0427128622196751E-3</v>
      </c>
      <c r="P12" s="8">
        <f>(J2-0) * (P2+0)</f>
        <v>3.3826101780340648E-3</v>
      </c>
    </row>
    <row r="13" spans="1:16" x14ac:dyDescent="0.3">
      <c r="B13" s="8" t="s">
        <v>50</v>
      </c>
      <c r="C13" s="9">
        <f t="shared" ref="C13:C19" si="2">C3-B3</f>
        <v>-3.3539353533257252E-3</v>
      </c>
      <c r="D13" s="9">
        <f t="shared" ref="D13:D19" si="3">D3-B3</f>
        <v>-1.8978935353325725E-2</v>
      </c>
      <c r="E13" s="9">
        <f t="shared" ref="E13:E19" si="4">E3-B3</f>
        <v>-1.8978935353325725E-2</v>
      </c>
      <c r="F13" s="9">
        <f t="shared" ref="F13:F19" si="5">F3-B3</f>
        <v>-7.4846824797625069E-3</v>
      </c>
      <c r="G13" s="9">
        <f t="shared" ref="G13:G19" si="6">G3-B3</f>
        <v>-1.8978935353325725E-2</v>
      </c>
      <c r="H13" s="9">
        <f t="shared" ref="H13:H19" si="7">H3-B3</f>
        <v>1.6735350360959987E-2</v>
      </c>
      <c r="J13" s="8" t="s">
        <v>50</v>
      </c>
      <c r="K13" s="8">
        <f>(J3-J2) * (K3+K2)</f>
        <v>2.0758210542700011E-3</v>
      </c>
      <c r="L13" s="8">
        <f>(J3-J2) * (L3+L2)</f>
        <v>1.0543852974069846E-3</v>
      </c>
      <c r="M13" s="8">
        <f>(J3-J2) * (M3+M2)</f>
        <v>0</v>
      </c>
      <c r="N13" s="8">
        <f>(J3-J2) * (N3+N2)</f>
        <v>1.0907434111106739E-3</v>
      </c>
      <c r="O13" s="8">
        <f>(J3-J2) * (O3+O2)</f>
        <v>2.0894240755954929E-3</v>
      </c>
      <c r="P13" s="8">
        <f>(J3-J2) * (P3+P2)</f>
        <v>7.4560103173779641E-3</v>
      </c>
    </row>
    <row r="14" spans="1:16" x14ac:dyDescent="0.3">
      <c r="B14" s="8" t="s">
        <v>51</v>
      </c>
      <c r="C14" s="9">
        <f t="shared" si="2"/>
        <v>5.8790339317214904E-3</v>
      </c>
      <c r="D14" s="9">
        <f t="shared" si="3"/>
        <v>3.0184589487277043E-2</v>
      </c>
      <c r="E14" s="9">
        <f t="shared" si="4"/>
        <v>6.8968656573230924E-2</v>
      </c>
      <c r="F14" s="9">
        <f t="shared" si="5"/>
        <v>4.35945511731008E-2</v>
      </c>
      <c r="G14" s="9">
        <f t="shared" si="6"/>
        <v>1.1326281638143511E-2</v>
      </c>
      <c r="H14" s="9">
        <f t="shared" si="7"/>
        <v>-2.537096606827851E-2</v>
      </c>
      <c r="J14" s="8" t="s">
        <v>51</v>
      </c>
      <c r="K14" s="8">
        <f t="shared" ref="K14:K19" si="8">(J4-J3) * (K4+K3)</f>
        <v>3.9642134481685173E-3</v>
      </c>
      <c r="L14" s="8">
        <f t="shared" ref="L14:L19" si="9">(J4-J3) * (L4+L3)</f>
        <v>2.8189962298087231E-3</v>
      </c>
      <c r="M14" s="8">
        <f t="shared" ref="M14:M19" si="10">(J4-J3) * (M4+M3)</f>
        <v>2.3934873649319351E-3</v>
      </c>
      <c r="N14" s="8">
        <f t="shared" ref="N14:N19" si="11">(J4-J3) * (N4+N3)</f>
        <v>3.4994435956246218E-3</v>
      </c>
      <c r="O14" s="8">
        <f t="shared" ref="O14:O19" si="12">(J4-J3) * (O4+O3)</f>
        <v>3.7241785054353779E-3</v>
      </c>
      <c r="P14" s="8">
        <f t="shared" ref="P14:P19" si="13">(J4-J3) * (P4+P3)</f>
        <v>1.0873271172119362E-2</v>
      </c>
    </row>
    <row r="15" spans="1:16" x14ac:dyDescent="0.3">
      <c r="B15" s="8" t="s">
        <v>52</v>
      </c>
      <c r="C15" s="9">
        <f t="shared" si="2"/>
        <v>-4.9028159697001167E-3</v>
      </c>
      <c r="D15" s="9">
        <f t="shared" si="3"/>
        <v>-1.9659760414144564E-2</v>
      </c>
      <c r="E15" s="9">
        <f t="shared" si="4"/>
        <v>-5.6347391441398234E-2</v>
      </c>
      <c r="F15" s="9">
        <f t="shared" si="5"/>
        <v>5.2444541452424109E-3</v>
      </c>
      <c r="G15" s="9">
        <f t="shared" si="6"/>
        <v>1.6527803296354934E-2</v>
      </c>
      <c r="H15" s="9">
        <f t="shared" si="7"/>
        <v>-3.7867445411286921E-3</v>
      </c>
      <c r="J15" s="8" t="s">
        <v>52</v>
      </c>
      <c r="K15" s="8">
        <f t="shared" si="8"/>
        <v>1.9391448648438312E-2</v>
      </c>
      <c r="L15" s="8">
        <f t="shared" si="9"/>
        <v>1.6714514659933358E-2</v>
      </c>
      <c r="M15" s="8">
        <f t="shared" si="10"/>
        <v>1.5610725955975497E-2</v>
      </c>
      <c r="N15" s="8">
        <f t="shared" si="11"/>
        <v>2.1613596543017272E-2</v>
      </c>
      <c r="O15" s="8">
        <f t="shared" si="12"/>
        <v>2.0701463110926639E-2</v>
      </c>
      <c r="P15" s="8">
        <f t="shared" si="13"/>
        <v>3.7607657984850058E-2</v>
      </c>
    </row>
    <row r="16" spans="1:16" x14ac:dyDescent="0.3">
      <c r="B16" s="8" t="s">
        <v>53</v>
      </c>
      <c r="C16" s="9">
        <f t="shared" si="2"/>
        <v>4.6829602054581365E-3</v>
      </c>
      <c r="D16" s="9">
        <f t="shared" si="3"/>
        <v>0.14096768242768035</v>
      </c>
      <c r="E16" s="9">
        <f t="shared" si="4"/>
        <v>6.9688856431873225E-2</v>
      </c>
      <c r="F16" s="9">
        <f t="shared" si="5"/>
        <v>1.0699483193963882E-2</v>
      </c>
      <c r="G16" s="9">
        <f t="shared" si="6"/>
        <v>-5.3731604014725348E-2</v>
      </c>
      <c r="H16" s="9">
        <f t="shared" si="7"/>
        <v>-8.1254539794541863E-2</v>
      </c>
      <c r="J16" s="8" t="s">
        <v>53</v>
      </c>
      <c r="K16" s="8">
        <f t="shared" si="8"/>
        <v>3.3644457883677488E-2</v>
      </c>
      <c r="L16" s="8">
        <f t="shared" si="9"/>
        <v>4.0627269897270932E-2</v>
      </c>
      <c r="M16" s="8">
        <f t="shared" si="10"/>
        <v>3.0662090488506367E-2</v>
      </c>
      <c r="N16" s="8">
        <f t="shared" si="11"/>
        <v>3.7358409100938787E-2</v>
      </c>
      <c r="O16" s="8">
        <f t="shared" si="12"/>
        <v>3.2054543221700003E-2</v>
      </c>
      <c r="P16" s="8">
        <f t="shared" si="13"/>
        <v>4.6431165596881062E-2</v>
      </c>
    </row>
    <row r="17" spans="2:16" x14ac:dyDescent="0.3">
      <c r="B17" s="8" t="s">
        <v>54</v>
      </c>
      <c r="C17" s="9">
        <f t="shared" si="2"/>
        <v>7.0803284217080001E-2</v>
      </c>
      <c r="D17" s="9">
        <f t="shared" si="3"/>
        <v>-2.1133824495866704E-3</v>
      </c>
      <c r="E17" s="9">
        <f t="shared" si="4"/>
        <v>4.6628755915193207E-2</v>
      </c>
      <c r="F17" s="9">
        <f t="shared" si="5"/>
        <v>6.5073072055857467E-3</v>
      </c>
      <c r="G17" s="9">
        <f t="shared" si="6"/>
        <v>4.2993651189557072E-2</v>
      </c>
      <c r="H17" s="9">
        <f t="shared" si="7"/>
        <v>-1.4018144354348575E-2</v>
      </c>
      <c r="J17" s="8" t="s">
        <v>54</v>
      </c>
      <c r="K17" s="8">
        <f t="shared" si="8"/>
        <v>5.6074407232541243E-2</v>
      </c>
      <c r="L17" s="8">
        <f t="shared" si="9"/>
        <v>6.8832076602907771E-2</v>
      </c>
      <c r="M17" s="8">
        <f t="shared" si="10"/>
        <v>5.6427076460418862E-2</v>
      </c>
      <c r="N17" s="8">
        <f t="shared" si="11"/>
        <v>5.5000184871764585E-2</v>
      </c>
      <c r="O17" s="8">
        <f t="shared" si="12"/>
        <v>4.7034889421790821E-2</v>
      </c>
      <c r="P17" s="8">
        <f t="shared" si="13"/>
        <v>5.4930031574734271E-2</v>
      </c>
    </row>
    <row r="18" spans="2:16" x14ac:dyDescent="0.3">
      <c r="B18" s="8" t="s">
        <v>55</v>
      </c>
      <c r="C18" s="9">
        <f t="shared" si="2"/>
        <v>3.9515344505551525E-2</v>
      </c>
      <c r="D18" s="9">
        <f t="shared" si="3"/>
        <v>8.9862566727773735E-2</v>
      </c>
      <c r="E18" s="9">
        <f t="shared" si="4"/>
        <v>-1.9152108324637152E-2</v>
      </c>
      <c r="F18" s="9">
        <f t="shared" si="5"/>
        <v>5.5713789883101439E-3</v>
      </c>
      <c r="G18" s="9">
        <f t="shared" si="6"/>
        <v>-3.1442224301787919E-2</v>
      </c>
      <c r="H18" s="9">
        <f t="shared" si="7"/>
        <v>4.6211773076980101E-2</v>
      </c>
      <c r="J18" s="8" t="s">
        <v>55</v>
      </c>
      <c r="K18" s="8">
        <f t="shared" si="8"/>
        <v>0.13029153587734768</v>
      </c>
      <c r="L18" s="8">
        <f t="shared" si="9"/>
        <v>0.1470662838827205</v>
      </c>
      <c r="M18" s="8">
        <f t="shared" si="10"/>
        <v>0.11987289554214199</v>
      </c>
      <c r="N18" s="8">
        <f t="shared" si="11"/>
        <v>0.11562452663882854</v>
      </c>
      <c r="O18" s="8">
        <f t="shared" si="12"/>
        <v>0.1032162451103497</v>
      </c>
      <c r="P18" s="8">
        <f t="shared" si="13"/>
        <v>0.11817826383432896</v>
      </c>
    </row>
    <row r="19" spans="2:16" x14ac:dyDescent="0.3">
      <c r="B19" s="8" t="s">
        <v>56</v>
      </c>
      <c r="C19" s="9">
        <f t="shared" si="2"/>
        <v>-0.14055625453979459</v>
      </c>
      <c r="D19" s="9">
        <f t="shared" si="3"/>
        <v>-0.22909792120646127</v>
      </c>
      <c r="E19" s="9">
        <f t="shared" si="4"/>
        <v>-7.1865216803945531E-2</v>
      </c>
      <c r="F19" s="9">
        <f t="shared" si="5"/>
        <v>-6.8178380976576192E-2</v>
      </c>
      <c r="G19" s="9">
        <f t="shared" si="6"/>
        <v>-2.7982270168588341E-3</v>
      </c>
      <c r="H19" s="9">
        <f t="shared" si="7"/>
        <v>-9.8145540254080288E-2</v>
      </c>
      <c r="J19" s="8" t="s">
        <v>56</v>
      </c>
      <c r="K19" s="8">
        <f t="shared" si="8"/>
        <v>0.88758682357061336</v>
      </c>
      <c r="L19" s="8">
        <f t="shared" si="9"/>
        <v>0.93738542423299087</v>
      </c>
      <c r="M19" s="8">
        <f t="shared" si="10"/>
        <v>0.84895283704119939</v>
      </c>
      <c r="N19" s="8">
        <f t="shared" si="11"/>
        <v>0.84687924534152981</v>
      </c>
      <c r="O19" s="8">
        <f t="shared" si="12"/>
        <v>0.81010740332796105</v>
      </c>
      <c r="P19" s="8">
        <f t="shared" si="13"/>
        <v>0.86373371232897023</v>
      </c>
    </row>
    <row r="20" spans="2:16" x14ac:dyDescent="0.3">
      <c r="J20" s="12" t="s">
        <v>47</v>
      </c>
      <c r="K20" s="12">
        <f>SUM(K12:K19)</f>
        <v>1.1339166428867906</v>
      </c>
      <c r="L20" s="12">
        <f t="shared" ref="L20:P20" si="14">SUM(L12:L19)</f>
        <v>1.2158010341363725</v>
      </c>
      <c r="M20" s="12">
        <f t="shared" si="14"/>
        <v>1.073919112853174</v>
      </c>
      <c r="N20" s="12">
        <f t="shared" si="14"/>
        <v>1.0815016119625152</v>
      </c>
      <c r="O20" s="12">
        <f t="shared" si="14"/>
        <v>1.0199708596359787</v>
      </c>
      <c r="P20" s="12">
        <f t="shared" si="14"/>
        <v>1.1425927229872959</v>
      </c>
    </row>
    <row r="21" spans="2:16" x14ac:dyDescent="0.3">
      <c r="J21" s="15" t="s">
        <v>48</v>
      </c>
      <c r="K21" s="15">
        <f>1-K20</f>
        <v>-0.13391664288679062</v>
      </c>
      <c r="L21" s="15">
        <f t="shared" ref="L21:P21" si="15">1-L20</f>
        <v>-0.21580103413637253</v>
      </c>
      <c r="M21" s="15">
        <f t="shared" si="15"/>
        <v>-7.3919112853173985E-2</v>
      </c>
      <c r="N21" s="15">
        <f t="shared" si="15"/>
        <v>-8.1501611962515152E-2</v>
      </c>
      <c r="O21" s="15">
        <f t="shared" si="15"/>
        <v>-1.9970859635978666E-2</v>
      </c>
      <c r="P21" s="15">
        <f t="shared" si="15"/>
        <v>-0.14259272298729586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BEE0-F157-4CDC-83B5-218C4AE9FC5E}">
  <dimension ref="A1:P28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9</v>
      </c>
      <c r="B2" s="9">
        <v>1.6874632485825415E-2</v>
      </c>
      <c r="C2" s="9">
        <v>1.6949152542372881E-2</v>
      </c>
      <c r="D2" s="9">
        <v>4.1666666666666664E-2</v>
      </c>
      <c r="E2" s="9">
        <v>0</v>
      </c>
      <c r="F2" s="9">
        <v>0</v>
      </c>
      <c r="G2" s="9">
        <v>0</v>
      </c>
      <c r="H2" s="9">
        <v>7.6923076923076927E-2</v>
      </c>
      <c r="I2" s="9">
        <v>1.6874632485825415E-2</v>
      </c>
      <c r="J2" s="9">
        <v>1.6874632485825415E-2</v>
      </c>
      <c r="K2" s="9">
        <v>1.6949152542372881E-2</v>
      </c>
      <c r="L2" s="9">
        <v>4.1666666666666664E-2</v>
      </c>
      <c r="M2" s="9">
        <v>0</v>
      </c>
      <c r="N2" s="9">
        <v>0</v>
      </c>
      <c r="O2" s="9">
        <v>0</v>
      </c>
      <c r="P2" s="9">
        <v>7.6923076923076927E-2</v>
      </c>
    </row>
    <row r="3" spans="1:16" x14ac:dyDescent="0.3">
      <c r="A3" s="9" t="s">
        <v>18</v>
      </c>
      <c r="B3" s="9">
        <v>2.3008410342725511E-2</v>
      </c>
      <c r="C3" s="9">
        <v>4.2372881355932202E-2</v>
      </c>
      <c r="D3" s="9">
        <v>2.0833333333333332E-2</v>
      </c>
      <c r="E3" s="9">
        <v>2.3809523809523808E-2</v>
      </c>
      <c r="F3" s="9">
        <v>2.6315789473684209E-2</v>
      </c>
      <c r="G3" s="9">
        <v>0</v>
      </c>
      <c r="H3" s="9">
        <v>0</v>
      </c>
      <c r="I3" s="9">
        <v>3.988304282855093E-2</v>
      </c>
      <c r="J3" s="9">
        <f>J2+B3</f>
        <v>3.988304282855093E-2</v>
      </c>
      <c r="K3" s="9">
        <f>K2+C3</f>
        <v>5.9322033898305079E-2</v>
      </c>
      <c r="L3" s="9">
        <f t="shared" ref="L3:P12" si="0">L2+D3</f>
        <v>6.25E-2</v>
      </c>
      <c r="M3" s="9">
        <f t="shared" si="0"/>
        <v>2.3809523809523808E-2</v>
      </c>
      <c r="N3" s="9">
        <f t="shared" si="0"/>
        <v>2.6315789473684209E-2</v>
      </c>
      <c r="O3" s="9">
        <f t="shared" si="0"/>
        <v>0</v>
      </c>
      <c r="P3" s="9">
        <f t="shared" si="0"/>
        <v>7.6923076923076927E-2</v>
      </c>
    </row>
    <row r="4" spans="1:16" x14ac:dyDescent="0.3">
      <c r="A4" s="9" t="s">
        <v>17</v>
      </c>
      <c r="B4" s="9">
        <v>3.4035184256097362E-2</v>
      </c>
      <c r="C4" s="9">
        <v>2.5423728813559324E-2</v>
      </c>
      <c r="D4" s="9">
        <v>0</v>
      </c>
      <c r="E4" s="9">
        <v>2.3809523809523808E-2</v>
      </c>
      <c r="F4" s="9">
        <v>1.3157894736842105E-2</v>
      </c>
      <c r="G4" s="9">
        <v>0</v>
      </c>
      <c r="H4" s="9">
        <v>0</v>
      </c>
      <c r="I4" s="9">
        <v>7.3918227084648291E-2</v>
      </c>
      <c r="J4" s="9">
        <f t="shared" ref="J4:K12" si="1">J3+B4</f>
        <v>7.3918227084648291E-2</v>
      </c>
      <c r="K4" s="9">
        <f t="shared" si="1"/>
        <v>8.4745762711864403E-2</v>
      </c>
      <c r="L4" s="9">
        <f t="shared" si="0"/>
        <v>6.25E-2</v>
      </c>
      <c r="M4" s="9">
        <f t="shared" si="0"/>
        <v>4.7619047619047616E-2</v>
      </c>
      <c r="N4" s="9">
        <f t="shared" si="0"/>
        <v>3.9473684210526314E-2</v>
      </c>
      <c r="O4" s="9">
        <f t="shared" si="0"/>
        <v>0</v>
      </c>
      <c r="P4" s="9">
        <f t="shared" si="0"/>
        <v>7.6923076923076927E-2</v>
      </c>
    </row>
    <row r="5" spans="1:16" x14ac:dyDescent="0.3">
      <c r="A5" s="9" t="s">
        <v>15</v>
      </c>
      <c r="B5" s="9">
        <v>3.501702028947979E-2</v>
      </c>
      <c r="C5" s="9">
        <v>4.2372881355932202E-2</v>
      </c>
      <c r="D5" s="9">
        <v>2.0833333333333332E-2</v>
      </c>
      <c r="E5" s="9">
        <v>9.5238095238095233E-2</v>
      </c>
      <c r="F5" s="9">
        <v>5.2631578947368418E-2</v>
      </c>
      <c r="G5" s="9">
        <v>4.3478260869565216E-2</v>
      </c>
      <c r="H5" s="9">
        <v>0</v>
      </c>
      <c r="I5" s="9">
        <v>0.10893524737412807</v>
      </c>
      <c r="J5" s="9">
        <f t="shared" si="1"/>
        <v>0.10893524737412807</v>
      </c>
      <c r="K5" s="9">
        <f t="shared" si="1"/>
        <v>0.1271186440677966</v>
      </c>
      <c r="L5" s="9">
        <f t="shared" si="0"/>
        <v>8.3333333333333329E-2</v>
      </c>
      <c r="M5" s="9">
        <f t="shared" si="0"/>
        <v>0.14285714285714285</v>
      </c>
      <c r="N5" s="9">
        <f t="shared" si="0"/>
        <v>9.2105263157894732E-2</v>
      </c>
      <c r="O5" s="9">
        <f t="shared" si="0"/>
        <v>4.3478260869565216E-2</v>
      </c>
      <c r="P5" s="9">
        <f t="shared" si="0"/>
        <v>7.6923076923076927E-2</v>
      </c>
    </row>
    <row r="6" spans="1:16" x14ac:dyDescent="0.3">
      <c r="A6" s="9" t="s">
        <v>14</v>
      </c>
      <c r="B6" s="9">
        <v>4.121553458814136E-2</v>
      </c>
      <c r="C6" s="9">
        <v>2.5423728813559324E-2</v>
      </c>
      <c r="D6" s="9">
        <v>8.3333333333333329E-2</v>
      </c>
      <c r="E6" s="9">
        <v>4.7619047619047616E-2</v>
      </c>
      <c r="F6" s="9">
        <v>0.18421052631578946</v>
      </c>
      <c r="G6" s="9">
        <v>0.11594202898550725</v>
      </c>
      <c r="H6" s="9">
        <v>0</v>
      </c>
      <c r="I6" s="9">
        <v>0.15015078196226944</v>
      </c>
      <c r="J6" s="9">
        <f t="shared" si="1"/>
        <v>0.15015078196226944</v>
      </c>
      <c r="K6" s="9">
        <f t="shared" si="1"/>
        <v>0.15254237288135591</v>
      </c>
      <c r="L6" s="9">
        <f t="shared" si="0"/>
        <v>0.16666666666666666</v>
      </c>
      <c r="M6" s="9">
        <f t="shared" si="0"/>
        <v>0.19047619047619047</v>
      </c>
      <c r="N6" s="9">
        <f t="shared" si="0"/>
        <v>0.27631578947368418</v>
      </c>
      <c r="O6" s="9">
        <f t="shared" si="0"/>
        <v>0.15942028985507245</v>
      </c>
      <c r="P6" s="9">
        <f t="shared" si="0"/>
        <v>7.6923076923076927E-2</v>
      </c>
    </row>
    <row r="7" spans="1:16" x14ac:dyDescent="0.3">
      <c r="A7" s="9" t="s">
        <v>8</v>
      </c>
      <c r="B7" s="9">
        <v>5.4502689259684843E-2</v>
      </c>
      <c r="C7" s="9">
        <v>5.9322033898305086E-2</v>
      </c>
      <c r="D7" s="9">
        <v>4.1666666666666664E-2</v>
      </c>
      <c r="E7" s="9">
        <v>2.3809523809523808E-2</v>
      </c>
      <c r="F7" s="9">
        <v>9.2105263157894732E-2</v>
      </c>
      <c r="G7" s="9">
        <v>0.11594202898550725</v>
      </c>
      <c r="H7" s="9">
        <v>7.6923076923076927E-2</v>
      </c>
      <c r="I7" s="9">
        <v>0.20465347122195429</v>
      </c>
      <c r="J7" s="9">
        <f t="shared" si="1"/>
        <v>0.20465347122195429</v>
      </c>
      <c r="K7" s="9">
        <f t="shared" si="1"/>
        <v>0.21186440677966101</v>
      </c>
      <c r="L7" s="9">
        <f t="shared" si="0"/>
        <v>0.20833333333333331</v>
      </c>
      <c r="M7" s="9">
        <f t="shared" si="0"/>
        <v>0.21428571428571427</v>
      </c>
      <c r="N7" s="9">
        <f t="shared" si="0"/>
        <v>0.36842105263157893</v>
      </c>
      <c r="O7" s="9">
        <f t="shared" si="0"/>
        <v>0.27536231884057971</v>
      </c>
      <c r="P7" s="9">
        <f t="shared" si="0"/>
        <v>0.15384615384615385</v>
      </c>
    </row>
    <row r="8" spans="1:16" x14ac:dyDescent="0.3">
      <c r="A8" s="9" t="s">
        <v>16</v>
      </c>
      <c r="B8" s="9">
        <v>6.7137084810133404E-2</v>
      </c>
      <c r="C8" s="9">
        <v>3.3898305084745763E-2</v>
      </c>
      <c r="D8" s="9">
        <v>2.0833333333333332E-2</v>
      </c>
      <c r="E8" s="9">
        <v>2.3809523809523808E-2</v>
      </c>
      <c r="F8" s="9">
        <v>5.2631578947368418E-2</v>
      </c>
      <c r="G8" s="9">
        <v>2.8985507246376812E-2</v>
      </c>
      <c r="H8" s="9">
        <v>0</v>
      </c>
      <c r="I8" s="9">
        <v>0.27179055603208768</v>
      </c>
      <c r="J8" s="9">
        <f t="shared" si="1"/>
        <v>0.27179055603208768</v>
      </c>
      <c r="K8" s="9">
        <f t="shared" si="1"/>
        <v>0.24576271186440676</v>
      </c>
      <c r="L8" s="9">
        <f t="shared" si="0"/>
        <v>0.22916666666666666</v>
      </c>
      <c r="M8" s="9">
        <f t="shared" si="0"/>
        <v>0.23809523809523808</v>
      </c>
      <c r="N8" s="9">
        <f t="shared" si="0"/>
        <v>0.42105263157894735</v>
      </c>
      <c r="O8" s="9">
        <f t="shared" si="0"/>
        <v>0.30434782608695654</v>
      </c>
      <c r="P8" s="9">
        <f t="shared" si="0"/>
        <v>0.15384615384615385</v>
      </c>
    </row>
    <row r="9" spans="1:16" x14ac:dyDescent="0.3">
      <c r="A9" s="9" t="s">
        <v>12</v>
      </c>
      <c r="B9" s="9">
        <v>8.3677245680191192E-2</v>
      </c>
      <c r="C9" s="9">
        <v>9.3220338983050849E-2</v>
      </c>
      <c r="D9" s="9">
        <v>4.1666666666666664E-2</v>
      </c>
      <c r="E9" s="9">
        <v>2.3809523809523808E-2</v>
      </c>
      <c r="F9" s="9">
        <v>3.9473684210526314E-2</v>
      </c>
      <c r="G9" s="9">
        <v>7.2463768115942032E-2</v>
      </c>
      <c r="H9" s="9">
        <v>0.15384615384615385</v>
      </c>
      <c r="I9" s="9">
        <v>0.35546780171227887</v>
      </c>
      <c r="J9" s="9">
        <f t="shared" si="1"/>
        <v>0.35546780171227887</v>
      </c>
      <c r="K9" s="9">
        <f t="shared" si="1"/>
        <v>0.33898305084745761</v>
      </c>
      <c r="L9" s="9">
        <f t="shared" si="0"/>
        <v>0.27083333333333331</v>
      </c>
      <c r="M9" s="9">
        <f t="shared" si="0"/>
        <v>0.26190476190476186</v>
      </c>
      <c r="N9" s="9">
        <f t="shared" si="0"/>
        <v>0.46052631578947367</v>
      </c>
      <c r="O9" s="9">
        <f t="shared" si="0"/>
        <v>0.37681159420289856</v>
      </c>
      <c r="P9" s="9">
        <f t="shared" si="0"/>
        <v>0.30769230769230771</v>
      </c>
    </row>
    <row r="10" spans="1:16" x14ac:dyDescent="0.3">
      <c r="A10" s="9" t="s">
        <v>10</v>
      </c>
      <c r="B10" s="9">
        <v>0.10177647585600458</v>
      </c>
      <c r="C10" s="9">
        <v>5.0847457627118647E-2</v>
      </c>
      <c r="D10" s="9">
        <v>4.1666666666666664E-2</v>
      </c>
      <c r="E10" s="9">
        <v>4.7619047619047616E-2</v>
      </c>
      <c r="F10" s="9">
        <v>2.6315789473684209E-2</v>
      </c>
      <c r="G10" s="9">
        <v>2.8985507246376812E-2</v>
      </c>
      <c r="H10" s="9">
        <v>0</v>
      </c>
      <c r="I10" s="9">
        <v>0.45724427756828345</v>
      </c>
      <c r="J10" s="9">
        <f t="shared" si="1"/>
        <v>0.45724427756828345</v>
      </c>
      <c r="K10" s="9">
        <f t="shared" si="1"/>
        <v>0.38983050847457623</v>
      </c>
      <c r="L10" s="9">
        <f t="shared" si="0"/>
        <v>0.3125</v>
      </c>
      <c r="M10" s="9">
        <f t="shared" si="0"/>
        <v>0.30952380952380948</v>
      </c>
      <c r="N10" s="9">
        <f t="shared" si="0"/>
        <v>0.48684210526315785</v>
      </c>
      <c r="O10" s="9">
        <f t="shared" si="0"/>
        <v>0.40579710144927539</v>
      </c>
      <c r="P10" s="9">
        <f t="shared" si="0"/>
        <v>0.30769230769230771</v>
      </c>
    </row>
    <row r="11" spans="1:16" x14ac:dyDescent="0.3">
      <c r="A11" s="9" t="s">
        <v>13</v>
      </c>
      <c r="B11" s="9">
        <v>0.21633300425642105</v>
      </c>
      <c r="C11" s="9">
        <v>0.2288135593220339</v>
      </c>
      <c r="D11" s="9">
        <v>0.39583333333333331</v>
      </c>
      <c r="E11" s="9">
        <v>0.30952380952380953</v>
      </c>
      <c r="F11" s="9">
        <v>0.39473684210526316</v>
      </c>
      <c r="G11" s="9">
        <v>0.39130434782608697</v>
      </c>
      <c r="H11" s="9">
        <v>0.30769230769230771</v>
      </c>
      <c r="I11" s="9">
        <v>0.67357728182470455</v>
      </c>
      <c r="J11" s="9">
        <f t="shared" si="1"/>
        <v>0.67357728182470455</v>
      </c>
      <c r="K11" s="9">
        <f t="shared" si="1"/>
        <v>0.61864406779661008</v>
      </c>
      <c r="L11" s="9">
        <f t="shared" si="0"/>
        <v>0.70833333333333326</v>
      </c>
      <c r="M11" s="9">
        <f t="shared" si="0"/>
        <v>0.61904761904761907</v>
      </c>
      <c r="N11" s="9">
        <f t="shared" si="0"/>
        <v>0.88157894736842102</v>
      </c>
      <c r="O11" s="9">
        <f t="shared" si="0"/>
        <v>0.79710144927536231</v>
      </c>
      <c r="P11" s="9">
        <f t="shared" si="0"/>
        <v>0.61538461538461542</v>
      </c>
    </row>
    <row r="12" spans="1:16" x14ac:dyDescent="0.3">
      <c r="A12" s="9" t="s">
        <v>11</v>
      </c>
      <c r="B12" s="9">
        <v>0.3264227181752955</v>
      </c>
      <c r="C12" s="9">
        <v>0.38135593220338981</v>
      </c>
      <c r="D12" s="9">
        <v>0.29166666666666669</v>
      </c>
      <c r="E12" s="9">
        <v>0.38095238095238093</v>
      </c>
      <c r="F12" s="9">
        <v>0.11842105263157894</v>
      </c>
      <c r="G12" s="9">
        <v>0.20289855072463769</v>
      </c>
      <c r="H12" s="9">
        <v>0.38461538461538464</v>
      </c>
      <c r="I12" s="9">
        <v>1</v>
      </c>
      <c r="J12" s="9">
        <f t="shared" si="1"/>
        <v>1</v>
      </c>
      <c r="K12" s="9">
        <f t="shared" si="1"/>
        <v>0.99999999999999989</v>
      </c>
      <c r="L12" s="9">
        <f t="shared" si="0"/>
        <v>1</v>
      </c>
      <c r="M12" s="9">
        <f t="shared" si="0"/>
        <v>1</v>
      </c>
      <c r="N12" s="9">
        <f t="shared" si="0"/>
        <v>1</v>
      </c>
      <c r="O12" s="9">
        <f t="shared" si="0"/>
        <v>1</v>
      </c>
      <c r="P12" s="9">
        <f t="shared" si="0"/>
        <v>1</v>
      </c>
    </row>
    <row r="15" spans="1:16" ht="28.8" x14ac:dyDescent="0.3">
      <c r="B15" s="10" t="s">
        <v>27</v>
      </c>
      <c r="C15" s="11" t="s">
        <v>35</v>
      </c>
      <c r="D15" s="11" t="s">
        <v>36</v>
      </c>
      <c r="E15" s="11" t="s">
        <v>37</v>
      </c>
      <c r="F15" s="11" t="s">
        <v>38</v>
      </c>
      <c r="G15" s="11" t="s">
        <v>39</v>
      </c>
      <c r="H15" s="11" t="s">
        <v>40</v>
      </c>
      <c r="J15" s="8"/>
      <c r="K15" s="12" t="s">
        <v>41</v>
      </c>
      <c r="L15" s="12" t="s">
        <v>42</v>
      </c>
      <c r="M15" s="12" t="s">
        <v>43</v>
      </c>
      <c r="N15" s="12" t="s">
        <v>44</v>
      </c>
      <c r="O15" s="12" t="s">
        <v>45</v>
      </c>
      <c r="P15" s="12" t="s">
        <v>46</v>
      </c>
    </row>
    <row r="16" spans="1:16" x14ac:dyDescent="0.3">
      <c r="B16" s="9" t="s">
        <v>9</v>
      </c>
      <c r="C16" s="9">
        <f>C2-B2</f>
        <v>7.4520056547466157E-5</v>
      </c>
      <c r="D16" s="9">
        <f>D2-B2</f>
        <v>2.4792034180841249E-2</v>
      </c>
      <c r="E16" s="9">
        <f>E2-B2</f>
        <v>-1.6874632485825415E-2</v>
      </c>
      <c r="F16" s="9">
        <f>F2-B2</f>
        <v>-1.6874632485825415E-2</v>
      </c>
      <c r="G16" s="9">
        <f>G2-B2</f>
        <v>-1.6874632485825415E-2</v>
      </c>
      <c r="H16" s="9">
        <f>H2-B2</f>
        <v>6.0048444437251512E-2</v>
      </c>
      <c r="J16" s="9" t="s">
        <v>9</v>
      </c>
      <c r="K16" s="8">
        <f>(J2-0) * ((K2+0))</f>
        <v>2.8601072009873586E-4</v>
      </c>
      <c r="L16" s="8">
        <f>(J2-0) * ((L2+0))</f>
        <v>7.0310968690939226E-4</v>
      </c>
      <c r="M16" s="8">
        <f>(J2-0) * ((M2+0))</f>
        <v>0</v>
      </c>
      <c r="N16" s="8">
        <f>(J2-0) * ((N2+0))</f>
        <v>0</v>
      </c>
      <c r="O16" s="8">
        <f>(J2-0) * ((O2+0))</f>
        <v>0</v>
      </c>
      <c r="P16" s="8">
        <f>(J2-0) * ((P2+0))</f>
        <v>1.2980486527558012E-3</v>
      </c>
    </row>
    <row r="17" spans="2:16" x14ac:dyDescent="0.3">
      <c r="B17" s="9" t="s">
        <v>18</v>
      </c>
      <c r="C17" s="9">
        <f t="shared" ref="C17:C26" si="2">C3-B3</f>
        <v>1.936447101320669E-2</v>
      </c>
      <c r="D17" s="9">
        <f t="shared" ref="D17:D26" si="3">D3-B3</f>
        <v>-2.175077009392179E-3</v>
      </c>
      <c r="E17" s="9">
        <f t="shared" ref="E17:E26" si="4">E3-B3</f>
        <v>8.0111346679829706E-4</v>
      </c>
      <c r="F17" s="9">
        <f t="shared" ref="F17:F26" si="5">F3-B3</f>
        <v>3.3073791309586979E-3</v>
      </c>
      <c r="G17" s="9">
        <f t="shared" ref="G17:G26" si="6">G3-B3</f>
        <v>-2.3008410342725511E-2</v>
      </c>
      <c r="H17" s="9">
        <f t="shared" ref="H17:H26" si="7">H3-B3</f>
        <v>-2.3008410342725511E-2</v>
      </c>
      <c r="J17" s="9" t="s">
        <v>18</v>
      </c>
      <c r="K17" s="8">
        <f>(J3-J2) * ((K3+K2))</f>
        <v>1.7548787549536407E-3</v>
      </c>
      <c r="L17" s="8">
        <f>(J3-J2) * ((L3+L2))</f>
        <v>2.3967094107005741E-3</v>
      </c>
      <c r="M17" s="8">
        <f>(J3-J2) * ((M3+M2))</f>
        <v>5.4781929387441694E-4</v>
      </c>
      <c r="N17" s="8">
        <f>(J3-J2) * ((N3+N2))</f>
        <v>6.0548448270330299E-4</v>
      </c>
      <c r="O17" s="8">
        <f>(J3-J2) * ((O3+O2))</f>
        <v>0</v>
      </c>
      <c r="P17" s="8">
        <f>(J3-J2) * ((P3+P2))</f>
        <v>3.539755437342387E-3</v>
      </c>
    </row>
    <row r="18" spans="2:16" x14ac:dyDescent="0.3">
      <c r="B18" s="9" t="s">
        <v>17</v>
      </c>
      <c r="C18" s="9">
        <f t="shared" si="2"/>
        <v>-8.611455442538038E-3</v>
      </c>
      <c r="D18" s="9">
        <f t="shared" si="3"/>
        <v>-3.4035184256097362E-2</v>
      </c>
      <c r="E18" s="9">
        <f t="shared" si="4"/>
        <v>-1.0225660446573553E-2</v>
      </c>
      <c r="F18" s="9">
        <f t="shared" si="5"/>
        <v>-2.0877289519255257E-2</v>
      </c>
      <c r="G18" s="9">
        <f t="shared" si="6"/>
        <v>-3.4035184256097362E-2</v>
      </c>
      <c r="H18" s="9">
        <f t="shared" si="7"/>
        <v>-3.4035184256097362E-2</v>
      </c>
      <c r="J18" s="9" t="s">
        <v>17</v>
      </c>
      <c r="K18" s="8">
        <f t="shared" ref="K18:K26" si="8">(J4-J3) * ((K4+K3))</f>
        <v>4.9033740029970777E-3</v>
      </c>
      <c r="L18" s="8">
        <f t="shared" ref="L18:L26" si="9">(J4-J3) * ((L4+L3))</f>
        <v>4.2543980320121702E-3</v>
      </c>
      <c r="M18" s="8">
        <f t="shared" ref="M18:M26" si="10">(J4-J3) * ((M4+M3))</f>
        <v>2.4310845897212402E-3</v>
      </c>
      <c r="N18" s="8">
        <f t="shared" ref="N18:N26" si="11">(J4-J3) * ((N4+N3))</f>
        <v>2.2391568589537735E-3</v>
      </c>
      <c r="O18" s="8">
        <f t="shared" ref="O18:O26" si="12">(J4-J3) * ((O4+O3))</f>
        <v>0</v>
      </c>
      <c r="P18" s="8">
        <f t="shared" ref="P18:P26" si="13">(J4-J3) * ((P4+P3))</f>
        <v>5.2361821932457482E-3</v>
      </c>
    </row>
    <row r="19" spans="2:16" x14ac:dyDescent="0.3">
      <c r="B19" s="9" t="s">
        <v>15</v>
      </c>
      <c r="C19" s="9">
        <f t="shared" si="2"/>
        <v>7.3558610664524113E-3</v>
      </c>
      <c r="D19" s="9">
        <f t="shared" si="3"/>
        <v>-1.4183686956146458E-2</v>
      </c>
      <c r="E19" s="9">
        <f t="shared" si="4"/>
        <v>6.0221074948615443E-2</v>
      </c>
      <c r="F19" s="9">
        <f t="shared" si="5"/>
        <v>1.7614558657888628E-2</v>
      </c>
      <c r="G19" s="9">
        <f t="shared" si="6"/>
        <v>8.461240580085426E-3</v>
      </c>
      <c r="H19" s="9">
        <f t="shared" si="7"/>
        <v>-3.501702028947979E-2</v>
      </c>
      <c r="J19" s="9" t="s">
        <v>15</v>
      </c>
      <c r="K19" s="8">
        <f t="shared" si="8"/>
        <v>7.4188602308219876E-3</v>
      </c>
      <c r="L19" s="8">
        <f t="shared" si="9"/>
        <v>5.1066487922158009E-3</v>
      </c>
      <c r="M19" s="8">
        <f t="shared" si="10"/>
        <v>6.6699086265675778E-3</v>
      </c>
      <c r="N19" s="8">
        <f t="shared" si="11"/>
        <v>4.6075026696683922E-3</v>
      </c>
      <c r="O19" s="8">
        <f t="shared" si="12"/>
        <v>1.5224791430208601E-3</v>
      </c>
      <c r="P19" s="8">
        <f t="shared" si="13"/>
        <v>5.3872338906891977E-3</v>
      </c>
    </row>
    <row r="20" spans="2:16" x14ac:dyDescent="0.3">
      <c r="B20" s="9" t="s">
        <v>14</v>
      </c>
      <c r="C20" s="9">
        <f t="shared" si="2"/>
        <v>-1.5791805774582036E-2</v>
      </c>
      <c r="D20" s="9">
        <f t="shared" si="3"/>
        <v>4.2117798745191969E-2</v>
      </c>
      <c r="E20" s="9">
        <f t="shared" si="4"/>
        <v>6.4035130309062563E-3</v>
      </c>
      <c r="F20" s="9">
        <f t="shared" si="5"/>
        <v>0.1429949917276481</v>
      </c>
      <c r="G20" s="9">
        <f t="shared" si="6"/>
        <v>7.4726494397365895E-2</v>
      </c>
      <c r="H20" s="9">
        <f t="shared" si="7"/>
        <v>-4.121553458814136E-2</v>
      </c>
      <c r="J20" s="9" t="s">
        <v>14</v>
      </c>
      <c r="K20" s="8">
        <f t="shared" si="8"/>
        <v>1.1526378317022586E-2</v>
      </c>
      <c r="L20" s="8">
        <f t="shared" si="9"/>
        <v>1.0303883647035342E-2</v>
      </c>
      <c r="M20" s="8">
        <f t="shared" si="10"/>
        <v>1.3738511529380455E-2</v>
      </c>
      <c r="N20" s="8">
        <f t="shared" si="11"/>
        <v>1.5184670637736292E-2</v>
      </c>
      <c r="O20" s="8">
        <f t="shared" si="12"/>
        <v>8.3625722352750585E-3</v>
      </c>
      <c r="P20" s="8">
        <f t="shared" si="13"/>
        <v>6.340851475098672E-3</v>
      </c>
    </row>
    <row r="21" spans="2:16" x14ac:dyDescent="0.3">
      <c r="B21" s="9" t="s">
        <v>8</v>
      </c>
      <c r="C21" s="9">
        <f t="shared" si="2"/>
        <v>4.8193446386202432E-3</v>
      </c>
      <c r="D21" s="9">
        <f t="shared" si="3"/>
        <v>-1.2836022593018179E-2</v>
      </c>
      <c r="E21" s="9">
        <f t="shared" si="4"/>
        <v>-3.0693165450161035E-2</v>
      </c>
      <c r="F21" s="9">
        <f t="shared" si="5"/>
        <v>3.7602573898209889E-2</v>
      </c>
      <c r="G21" s="9">
        <f t="shared" si="6"/>
        <v>6.1439339725822405E-2</v>
      </c>
      <c r="H21" s="9">
        <f t="shared" si="7"/>
        <v>2.2420387663392084E-2</v>
      </c>
      <c r="J21" s="9" t="s">
        <v>8</v>
      </c>
      <c r="K21" s="8">
        <f t="shared" si="8"/>
        <v>1.9861149475986852E-2</v>
      </c>
      <c r="L21" s="8">
        <f t="shared" si="9"/>
        <v>2.0438508472381819E-2</v>
      </c>
      <c r="M21" s="8">
        <f t="shared" si="10"/>
        <v>2.2060612319396249E-2</v>
      </c>
      <c r="N21" s="8">
        <f t="shared" si="11"/>
        <v>3.5139891759533651E-2</v>
      </c>
      <c r="O21" s="8">
        <f t="shared" si="12"/>
        <v>2.3696821417254283E-2</v>
      </c>
      <c r="P21" s="8">
        <f t="shared" si="13"/>
        <v>1.257754367531189E-2</v>
      </c>
    </row>
    <row r="22" spans="2:16" x14ac:dyDescent="0.3">
      <c r="B22" s="9" t="s">
        <v>16</v>
      </c>
      <c r="C22" s="9">
        <f t="shared" si="2"/>
        <v>-3.3238779725387642E-2</v>
      </c>
      <c r="D22" s="9">
        <f t="shared" si="3"/>
        <v>-4.6303751476800076E-2</v>
      </c>
      <c r="E22" s="9">
        <f t="shared" si="4"/>
        <v>-4.3327561000609596E-2</v>
      </c>
      <c r="F22" s="9">
        <f t="shared" si="5"/>
        <v>-1.4505505862764986E-2</v>
      </c>
      <c r="G22" s="9">
        <f t="shared" si="6"/>
        <v>-3.8151577563756589E-2</v>
      </c>
      <c r="H22" s="9">
        <f t="shared" si="7"/>
        <v>-6.7137084810133404E-2</v>
      </c>
      <c r="J22" s="9" t="s">
        <v>16</v>
      </c>
      <c r="K22" s="8">
        <f t="shared" si="8"/>
        <v>3.0723750675823756E-2</v>
      </c>
      <c r="L22" s="8">
        <f t="shared" si="9"/>
        <v>2.937247460443336E-2</v>
      </c>
      <c r="M22" s="8">
        <f t="shared" si="10"/>
        <v>3.0371538366488912E-2</v>
      </c>
      <c r="N22" s="8">
        <f t="shared" si="11"/>
        <v>5.3002961692210575E-2</v>
      </c>
      <c r="O22" s="8">
        <f t="shared" si="12"/>
        <v>3.8920049165294721E-2</v>
      </c>
      <c r="P22" s="8">
        <f t="shared" si="13"/>
        <v>2.065756455696412E-2</v>
      </c>
    </row>
    <row r="23" spans="2:16" x14ac:dyDescent="0.3">
      <c r="B23" s="9" t="s">
        <v>12</v>
      </c>
      <c r="C23" s="9">
        <f t="shared" si="2"/>
        <v>9.5430933028596565E-3</v>
      </c>
      <c r="D23" s="9">
        <f t="shared" si="3"/>
        <v>-4.2010579013524528E-2</v>
      </c>
      <c r="E23" s="9">
        <f t="shared" si="4"/>
        <v>-5.9867721870667384E-2</v>
      </c>
      <c r="F23" s="9">
        <f t="shared" si="5"/>
        <v>-4.4203561469664879E-2</v>
      </c>
      <c r="G23" s="9">
        <f t="shared" si="6"/>
        <v>-1.1213477564249161E-2</v>
      </c>
      <c r="H23" s="9">
        <f t="shared" si="7"/>
        <v>7.0168908165962662E-2</v>
      </c>
      <c r="J23" s="9" t="s">
        <v>12</v>
      </c>
      <c r="K23" s="8">
        <f t="shared" si="8"/>
        <v>4.8929914846891458E-2</v>
      </c>
      <c r="L23" s="8">
        <f t="shared" si="9"/>
        <v>4.1838622840095596E-2</v>
      </c>
      <c r="M23" s="8">
        <f t="shared" si="10"/>
        <v>4.1838622840095589E-2</v>
      </c>
      <c r="N23" s="8">
        <f t="shared" si="11"/>
        <v>7.37680981654317E-2</v>
      </c>
      <c r="O23" s="8">
        <f t="shared" si="12"/>
        <v>5.6997544158970813E-2</v>
      </c>
      <c r="P23" s="8">
        <f t="shared" si="13"/>
        <v>3.862026723701132E-2</v>
      </c>
    </row>
    <row r="24" spans="2:16" x14ac:dyDescent="0.3">
      <c r="B24" s="9" t="s">
        <v>10</v>
      </c>
      <c r="C24" s="9">
        <f t="shared" si="2"/>
        <v>-5.0929018228885931E-2</v>
      </c>
      <c r="D24" s="9">
        <f t="shared" si="3"/>
        <v>-6.0109809189337914E-2</v>
      </c>
      <c r="E24" s="9">
        <f t="shared" si="4"/>
        <v>-5.4157428236956962E-2</v>
      </c>
      <c r="F24" s="9">
        <f t="shared" si="5"/>
        <v>-7.5460686382320369E-2</v>
      </c>
      <c r="G24" s="9">
        <f t="shared" si="6"/>
        <v>-7.2790968609627762E-2</v>
      </c>
      <c r="H24" s="9">
        <f t="shared" si="7"/>
        <v>-0.10177647585600458</v>
      </c>
      <c r="J24" s="9" t="s">
        <v>10</v>
      </c>
      <c r="K24" s="8">
        <f t="shared" si="8"/>
        <v>7.4176075623867743E-2</v>
      </c>
      <c r="L24" s="8">
        <f t="shared" si="9"/>
        <v>5.9369610916002666E-2</v>
      </c>
      <c r="M24" s="8">
        <f t="shared" si="10"/>
        <v>5.8157986203431183E-2</v>
      </c>
      <c r="N24" s="8">
        <f t="shared" si="11"/>
        <v>9.6419819232004336E-2</v>
      </c>
      <c r="O24" s="8">
        <f t="shared" si="12"/>
        <v>7.9651155017742711E-2</v>
      </c>
      <c r="P24" s="8">
        <f t="shared" si="13"/>
        <v>6.2631677449848974E-2</v>
      </c>
    </row>
    <row r="25" spans="2:16" x14ac:dyDescent="0.3">
      <c r="B25" s="9" t="s">
        <v>13</v>
      </c>
      <c r="C25" s="9">
        <f t="shared" si="2"/>
        <v>1.2480555065612853E-2</v>
      </c>
      <c r="D25" s="9">
        <f t="shared" si="3"/>
        <v>0.17950032907691227</v>
      </c>
      <c r="E25" s="9">
        <f t="shared" si="4"/>
        <v>9.3190805267388488E-2</v>
      </c>
      <c r="F25" s="9">
        <f t="shared" si="5"/>
        <v>0.17840383784884212</v>
      </c>
      <c r="G25" s="9">
        <f t="shared" si="6"/>
        <v>0.17497134356966593</v>
      </c>
      <c r="H25" s="9">
        <f t="shared" si="7"/>
        <v>9.1359303435886663E-2</v>
      </c>
      <c r="J25" s="9" t="s">
        <v>13</v>
      </c>
      <c r="K25" s="8">
        <f t="shared" si="8"/>
        <v>0.21816633480096703</v>
      </c>
      <c r="L25" s="8">
        <f t="shared" si="9"/>
        <v>0.22083994184509653</v>
      </c>
      <c r="M25" s="8">
        <f t="shared" si="10"/>
        <v>0.20088064680953388</v>
      </c>
      <c r="N25" s="8">
        <f t="shared" si="11"/>
        <v>0.29603463740352359</v>
      </c>
      <c r="O25" s="8">
        <f t="shared" si="12"/>
        <v>0.26022665729395583</v>
      </c>
      <c r="P25" s="8">
        <f t="shared" si="13"/>
        <v>0.1996920039290041</v>
      </c>
    </row>
    <row r="26" spans="2:16" x14ac:dyDescent="0.3">
      <c r="B26" s="9" t="s">
        <v>11</v>
      </c>
      <c r="C26" s="9">
        <f t="shared" si="2"/>
        <v>5.4933214028094313E-2</v>
      </c>
      <c r="D26" s="9">
        <f t="shared" si="3"/>
        <v>-3.4756051508628816E-2</v>
      </c>
      <c r="E26" s="9">
        <f t="shared" si="4"/>
        <v>5.452966277708543E-2</v>
      </c>
      <c r="F26" s="9">
        <f t="shared" si="5"/>
        <v>-0.20800166554371657</v>
      </c>
      <c r="G26" s="9">
        <f t="shared" si="6"/>
        <v>-0.12352416745065781</v>
      </c>
      <c r="H26" s="9">
        <f t="shared" si="7"/>
        <v>5.8192666440089136E-2</v>
      </c>
      <c r="J26" s="9" t="s">
        <v>11</v>
      </c>
      <c r="K26" s="8">
        <f t="shared" si="8"/>
        <v>0.52836219636848658</v>
      </c>
      <c r="L26" s="8">
        <f t="shared" si="9"/>
        <v>0.55763881021612971</v>
      </c>
      <c r="M26" s="8">
        <f t="shared" si="10"/>
        <v>0.52849392466476408</v>
      </c>
      <c r="N26" s="8">
        <f t="shared" si="11"/>
        <v>0.61419011446141114</v>
      </c>
      <c r="O26" s="8">
        <f t="shared" si="12"/>
        <v>0.58661473990922663</v>
      </c>
      <c r="P26" s="8">
        <f t="shared" si="13"/>
        <v>0.52729823705240031</v>
      </c>
    </row>
    <row r="27" spans="2:16" x14ac:dyDescent="0.3">
      <c r="J27" s="13" t="s">
        <v>47</v>
      </c>
      <c r="K27" s="12">
        <f>SUM(K16:K26)</f>
        <v>0.94610892381791745</v>
      </c>
      <c r="L27" s="12">
        <f t="shared" ref="L27:P27" si="14">SUM(L16:L26)</f>
        <v>0.95226271846301302</v>
      </c>
      <c r="M27" s="12">
        <f t="shared" si="14"/>
        <v>0.90519065524325359</v>
      </c>
      <c r="N27" s="12">
        <f t="shared" si="14"/>
        <v>1.1911923373631768</v>
      </c>
      <c r="O27" s="12">
        <f t="shared" si="14"/>
        <v>1.055992018340741</v>
      </c>
      <c r="P27" s="12">
        <f t="shared" si="14"/>
        <v>0.88327936554967246</v>
      </c>
    </row>
    <row r="28" spans="2:16" x14ac:dyDescent="0.3">
      <c r="J28" s="14" t="s">
        <v>48</v>
      </c>
      <c r="K28" s="15">
        <f>1-K27</f>
        <v>5.3891076182082553E-2</v>
      </c>
      <c r="L28" s="15">
        <f t="shared" ref="L28:P28" si="15">1-L27</f>
        <v>4.7737281536986975E-2</v>
      </c>
      <c r="M28" s="15">
        <f t="shared" si="15"/>
        <v>9.4809344756746405E-2</v>
      </c>
      <c r="N28" s="15">
        <f t="shared" si="15"/>
        <v>-0.19119233736317676</v>
      </c>
      <c r="O28" s="15">
        <f t="shared" si="15"/>
        <v>-5.5992018340740968E-2</v>
      </c>
      <c r="P28" s="15">
        <f t="shared" si="15"/>
        <v>0.11672063445032754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ABEB-1DDC-472B-B05A-4B33E5481984}">
  <dimension ref="A1:P21"/>
  <sheetViews>
    <sheetView tabSelected="1" workbookViewId="0">
      <selection activeCell="I17" sqref="I17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20</v>
      </c>
      <c r="B2" s="9">
        <v>4.6394823216100358E-3</v>
      </c>
      <c r="C2" s="9">
        <v>5.2910052910052907E-3</v>
      </c>
      <c r="D2" s="9">
        <v>4.2735042735042739E-3</v>
      </c>
      <c r="E2" s="9">
        <v>0</v>
      </c>
      <c r="F2" s="9">
        <v>1.038961038961039E-2</v>
      </c>
      <c r="G2" s="9">
        <v>3.4364261168384879E-3</v>
      </c>
      <c r="H2" s="9">
        <v>6.2893081761006293E-3</v>
      </c>
      <c r="I2" s="9">
        <v>4.6394823216100358E-3</v>
      </c>
      <c r="J2" s="9">
        <v>4.6394823216100358E-3</v>
      </c>
      <c r="K2" s="9">
        <v>5.2910052910052907E-3</v>
      </c>
      <c r="L2" s="9">
        <v>4.2735042735042739E-3</v>
      </c>
      <c r="M2" s="9">
        <v>0</v>
      </c>
      <c r="N2" s="9">
        <v>1.038961038961039E-2</v>
      </c>
      <c r="O2" s="9">
        <v>3.4364261168384879E-3</v>
      </c>
      <c r="P2" s="9">
        <v>6.2893081761006293E-3</v>
      </c>
    </row>
    <row r="3" spans="1:16" x14ac:dyDescent="0.3">
      <c r="A3" s="9" t="s">
        <v>26</v>
      </c>
      <c r="B3" s="9">
        <v>9.554623713688341E-3</v>
      </c>
      <c r="C3" s="9">
        <v>1.4109347442680775E-2</v>
      </c>
      <c r="D3" s="9">
        <v>0</v>
      </c>
      <c r="E3" s="9">
        <v>1.9047619047619049E-2</v>
      </c>
      <c r="F3" s="9">
        <v>5.1948051948051948E-3</v>
      </c>
      <c r="G3" s="9">
        <v>1.3745704467353952E-2</v>
      </c>
      <c r="H3" s="9">
        <v>1.2578616352201259E-2</v>
      </c>
      <c r="I3" s="9">
        <v>1.4194106035298377E-2</v>
      </c>
      <c r="J3" s="9">
        <f t="shared" ref="J3:P9" si="0">J2+B3</f>
        <v>1.4194106035298377E-2</v>
      </c>
      <c r="K3" s="9">
        <f t="shared" si="0"/>
        <v>1.9400352733686066E-2</v>
      </c>
      <c r="L3" s="16">
        <f t="shared" si="0"/>
        <v>4.2735042735042739E-3</v>
      </c>
      <c r="M3" s="9">
        <f t="shared" si="0"/>
        <v>1.9047619047619049E-2</v>
      </c>
      <c r="N3" s="9">
        <f t="shared" si="0"/>
        <v>1.5584415584415584E-2</v>
      </c>
      <c r="O3" s="9">
        <f t="shared" si="0"/>
        <v>1.7182130584192441E-2</v>
      </c>
      <c r="P3" s="9">
        <f t="shared" si="0"/>
        <v>1.886792452830189E-2</v>
      </c>
    </row>
    <row r="4" spans="1:16" x14ac:dyDescent="0.3">
      <c r="A4" s="9" t="s">
        <v>23</v>
      </c>
      <c r="B4" s="9">
        <v>1.6345648441241402E-2</v>
      </c>
      <c r="C4" s="9">
        <v>7.0546737213403876E-3</v>
      </c>
      <c r="D4" s="9">
        <v>4.2735042735042739E-3</v>
      </c>
      <c r="E4" s="9">
        <v>4.7619047619047623E-3</v>
      </c>
      <c r="F4" s="9">
        <v>7.7922077922077922E-3</v>
      </c>
      <c r="G4" s="9">
        <v>1.0309278350515464E-2</v>
      </c>
      <c r="H4" s="9">
        <v>1.2578616352201259E-2</v>
      </c>
      <c r="I4" s="9">
        <v>3.0539754476539779E-2</v>
      </c>
      <c r="J4" s="9">
        <f t="shared" si="0"/>
        <v>3.0539754476539779E-2</v>
      </c>
      <c r="K4" s="9">
        <f t="shared" si="0"/>
        <v>2.6455026455026454E-2</v>
      </c>
      <c r="L4" s="16">
        <f t="shared" si="0"/>
        <v>8.5470085470085479E-3</v>
      </c>
      <c r="M4" s="9">
        <f t="shared" si="0"/>
        <v>2.3809523809523812E-2</v>
      </c>
      <c r="N4" s="9">
        <f t="shared" si="0"/>
        <v>2.3376623376623377E-2</v>
      </c>
      <c r="O4" s="9">
        <f t="shared" si="0"/>
        <v>2.7491408934707903E-2</v>
      </c>
      <c r="P4" s="9">
        <f t="shared" si="0"/>
        <v>3.1446540880503152E-2</v>
      </c>
    </row>
    <row r="5" spans="1:16" x14ac:dyDescent="0.3">
      <c r="A5" s="9" t="s">
        <v>21</v>
      </c>
      <c r="B5" s="9">
        <v>1.958347447233481E-2</v>
      </c>
      <c r="C5" s="9">
        <v>1.4109347442680775E-2</v>
      </c>
      <c r="D5" s="9">
        <v>8.5470085470085479E-3</v>
      </c>
      <c r="E5" s="9">
        <v>9.5238095238095247E-3</v>
      </c>
      <c r="F5" s="9">
        <v>5.1948051948051948E-3</v>
      </c>
      <c r="G5" s="9">
        <v>0</v>
      </c>
      <c r="H5" s="9">
        <v>6.2893081761006293E-3</v>
      </c>
      <c r="I5" s="9">
        <v>5.0123228948874589E-2</v>
      </c>
      <c r="J5" s="9">
        <f t="shared" si="0"/>
        <v>5.0123228948874589E-2</v>
      </c>
      <c r="K5" s="9">
        <f t="shared" si="0"/>
        <v>4.0564373897707229E-2</v>
      </c>
      <c r="L5" s="16">
        <f t="shared" si="0"/>
        <v>1.7094017094017096E-2</v>
      </c>
      <c r="M5" s="9">
        <f t="shared" si="0"/>
        <v>3.333333333333334E-2</v>
      </c>
      <c r="N5" s="9">
        <f t="shared" si="0"/>
        <v>2.8571428571428574E-2</v>
      </c>
      <c r="O5" s="9">
        <f t="shared" si="0"/>
        <v>2.7491408934707903E-2</v>
      </c>
      <c r="P5" s="9">
        <f t="shared" si="0"/>
        <v>3.7735849056603779E-2</v>
      </c>
    </row>
    <row r="6" spans="1:16" x14ac:dyDescent="0.3">
      <c r="A6" s="9" t="s">
        <v>24</v>
      </c>
      <c r="B6" s="9">
        <v>2.5683015429899664E-2</v>
      </c>
      <c r="C6" s="9">
        <v>1.4109347442680775E-2</v>
      </c>
      <c r="D6" s="9">
        <v>8.5470085470085479E-3</v>
      </c>
      <c r="E6" s="9">
        <v>0</v>
      </c>
      <c r="F6" s="9">
        <v>7.7922077922077922E-3</v>
      </c>
      <c r="G6" s="9">
        <v>6.8728522336769758E-3</v>
      </c>
      <c r="H6" s="9">
        <v>0</v>
      </c>
      <c r="I6" s="9">
        <v>7.5806244378774257E-2</v>
      </c>
      <c r="J6" s="9">
        <f t="shared" si="0"/>
        <v>7.5806244378774257E-2</v>
      </c>
      <c r="K6" s="9">
        <f t="shared" si="0"/>
        <v>5.4673721340388004E-2</v>
      </c>
      <c r="L6" s="16">
        <f t="shared" si="0"/>
        <v>2.5641025641025644E-2</v>
      </c>
      <c r="M6" s="9">
        <f t="shared" si="0"/>
        <v>3.333333333333334E-2</v>
      </c>
      <c r="N6" s="9">
        <f t="shared" si="0"/>
        <v>3.6363636363636369E-2</v>
      </c>
      <c r="O6" s="9">
        <f t="shared" si="0"/>
        <v>3.4364261168384883E-2</v>
      </c>
      <c r="P6" s="9">
        <f t="shared" si="0"/>
        <v>3.7735849056603779E-2</v>
      </c>
    </row>
    <row r="7" spans="1:16" x14ac:dyDescent="0.3">
      <c r="A7" s="9" t="s">
        <v>25</v>
      </c>
      <c r="B7" s="9">
        <v>6.2037307418265915E-2</v>
      </c>
      <c r="C7" s="9">
        <v>0.10758377425044091</v>
      </c>
      <c r="D7" s="9">
        <v>0.1111111111111111</v>
      </c>
      <c r="E7" s="9">
        <v>0.10952380952380952</v>
      </c>
      <c r="F7" s="9">
        <v>0.23896103896103896</v>
      </c>
      <c r="G7" s="9">
        <v>0.29553264604810997</v>
      </c>
      <c r="H7" s="9">
        <v>0.41509433962264153</v>
      </c>
      <c r="I7" s="9">
        <v>0.13784355179704016</v>
      </c>
      <c r="J7" s="9">
        <f t="shared" si="0"/>
        <v>0.13784355179704016</v>
      </c>
      <c r="K7" s="9">
        <f t="shared" si="0"/>
        <v>0.16225749559082892</v>
      </c>
      <c r="L7" s="16">
        <f t="shared" si="0"/>
        <v>0.13675213675213674</v>
      </c>
      <c r="M7" s="9">
        <f t="shared" si="0"/>
        <v>0.14285714285714285</v>
      </c>
      <c r="N7" s="9">
        <f t="shared" si="0"/>
        <v>0.27532467532467531</v>
      </c>
      <c r="O7" s="9">
        <f t="shared" si="0"/>
        <v>0.32989690721649484</v>
      </c>
      <c r="P7" s="9">
        <f t="shared" si="0"/>
        <v>0.45283018867924529</v>
      </c>
    </row>
    <row r="8" spans="1:16" x14ac:dyDescent="0.3">
      <c r="A8" s="9" t="s">
        <v>22</v>
      </c>
      <c r="B8" s="9">
        <v>6.7237452256082603E-2</v>
      </c>
      <c r="C8" s="9">
        <v>5.114638447971781E-2</v>
      </c>
      <c r="D8" s="9">
        <v>0.11965811965811966</v>
      </c>
      <c r="E8" s="9">
        <v>4.2857142857142858E-2</v>
      </c>
      <c r="F8" s="9">
        <v>3.3766233766233764E-2</v>
      </c>
      <c r="G8" s="9">
        <v>4.1237113402061855E-2</v>
      </c>
      <c r="H8" s="9">
        <v>3.1446540880503145E-2</v>
      </c>
      <c r="I8" s="9">
        <v>0.20508100405312277</v>
      </c>
      <c r="J8" s="9">
        <f t="shared" si="0"/>
        <v>0.20508100405312277</v>
      </c>
      <c r="K8" s="9">
        <f t="shared" si="0"/>
        <v>0.21340388007054673</v>
      </c>
      <c r="L8" s="16">
        <f t="shared" si="0"/>
        <v>0.25641025641025639</v>
      </c>
      <c r="M8" s="9">
        <f t="shared" si="0"/>
        <v>0.18571428571428572</v>
      </c>
      <c r="N8" s="9">
        <f t="shared" si="0"/>
        <v>0.30909090909090908</v>
      </c>
      <c r="O8" s="9">
        <f t="shared" si="0"/>
        <v>0.37113402061855671</v>
      </c>
      <c r="P8" s="9">
        <f t="shared" si="0"/>
        <v>0.48427672955974843</v>
      </c>
    </row>
    <row r="9" spans="1:16" x14ac:dyDescent="0.3">
      <c r="A9" s="9" t="s">
        <v>19</v>
      </c>
      <c r="B9" s="9">
        <v>0.7949189959468772</v>
      </c>
      <c r="C9" s="9">
        <v>0.78659611992945322</v>
      </c>
      <c r="D9" s="9">
        <v>0.74358974358974361</v>
      </c>
      <c r="E9" s="9">
        <v>0.81428571428571428</v>
      </c>
      <c r="F9" s="9">
        <v>0.69090909090909092</v>
      </c>
      <c r="G9" s="9">
        <v>0.62886597938144329</v>
      </c>
      <c r="H9" s="9">
        <v>0.51572327044025157</v>
      </c>
      <c r="I9" s="9">
        <v>1</v>
      </c>
      <c r="J9" s="9">
        <f t="shared" si="0"/>
        <v>1</v>
      </c>
      <c r="K9" s="9">
        <f t="shared" si="0"/>
        <v>1</v>
      </c>
      <c r="L9" s="16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0" t="s">
        <v>27</v>
      </c>
      <c r="C11" s="11" t="s">
        <v>35</v>
      </c>
      <c r="D11" s="11" t="s">
        <v>36</v>
      </c>
      <c r="E11" s="11" t="s">
        <v>37</v>
      </c>
      <c r="F11" s="11" t="s">
        <v>38</v>
      </c>
      <c r="G11" s="11" t="s">
        <v>39</v>
      </c>
      <c r="H11" s="11" t="s">
        <v>40</v>
      </c>
      <c r="J11" s="8"/>
      <c r="K11" s="12" t="s">
        <v>41</v>
      </c>
      <c r="L11" s="12" t="s">
        <v>42</v>
      </c>
      <c r="M11" s="12" t="s">
        <v>43</v>
      </c>
      <c r="N11" s="12" t="s">
        <v>44</v>
      </c>
      <c r="O11" s="12" t="s">
        <v>45</v>
      </c>
      <c r="P11" s="12" t="s">
        <v>46</v>
      </c>
    </row>
    <row r="12" spans="1:16" x14ac:dyDescent="0.3">
      <c r="B12" s="8" t="s">
        <v>49</v>
      </c>
      <c r="C12" s="9">
        <f>C2-B2</f>
        <v>6.5152296939525491E-4</v>
      </c>
      <c r="D12" s="9">
        <f>D2-B2</f>
        <v>-3.6597804810576187E-4</v>
      </c>
      <c r="E12" s="9">
        <f>E2-B2</f>
        <v>-4.6394823216100358E-3</v>
      </c>
      <c r="F12" s="9">
        <f>F2-B2</f>
        <v>5.7501280680003538E-3</v>
      </c>
      <c r="G12" s="9">
        <f>G2-B2</f>
        <v>-1.2030562047715479E-3</v>
      </c>
      <c r="H12" s="9">
        <f>H2-B2</f>
        <v>1.6498258544905935E-3</v>
      </c>
      <c r="J12" s="8" t="s">
        <v>49</v>
      </c>
      <c r="K12" s="8">
        <f>(J2-0) * (K2+0)</f>
        <v>2.4547525511164211E-5</v>
      </c>
      <c r="L12" s="8">
        <f t="shared" ref="L12" si="1">(K2-0) * (L2+0)</f>
        <v>2.2611133722244833E-5</v>
      </c>
      <c r="M12" s="8">
        <f>(J2-0) * (M2+0)</f>
        <v>0</v>
      </c>
      <c r="N12" s="8">
        <f>(J2-0) * (N2+0)</f>
        <v>4.8202413731013361E-5</v>
      </c>
      <c r="O12" s="8">
        <f>(J2-0) * (O2+0)</f>
        <v>1.5943238218591188E-5</v>
      </c>
      <c r="P12" s="8">
        <f>(J2-0) * (P2+0)</f>
        <v>2.9179134098176329E-5</v>
      </c>
    </row>
    <row r="13" spans="1:16" x14ac:dyDescent="0.3">
      <c r="B13" s="8" t="s">
        <v>50</v>
      </c>
      <c r="C13" s="9">
        <f t="shared" ref="C13:C19" si="2">C3-B3</f>
        <v>4.5547237289924342E-3</v>
      </c>
      <c r="D13" s="9">
        <f t="shared" ref="D13:D19" si="3">D3-B3</f>
        <v>-9.554623713688341E-3</v>
      </c>
      <c r="E13" s="9">
        <f t="shared" ref="E13:E19" si="4">E3-B3</f>
        <v>9.4929953339307083E-3</v>
      </c>
      <c r="F13" s="9">
        <f t="shared" ref="F13:F19" si="5">F3-B3</f>
        <v>-4.3598185188831462E-3</v>
      </c>
      <c r="G13" s="9">
        <f t="shared" ref="G13:G19" si="6">G3-B3</f>
        <v>4.1910807536656106E-3</v>
      </c>
      <c r="H13" s="9">
        <f t="shared" ref="H13:H19" si="7">H3-B3</f>
        <v>3.0239926385129175E-3</v>
      </c>
      <c r="J13" s="8" t="s">
        <v>50</v>
      </c>
      <c r="K13" s="8">
        <f>(J3-J2) * (K3+K2)</f>
        <v>2.3591663490588494E-4</v>
      </c>
      <c r="L13" s="8">
        <f>(J3-J2) * (L3+L2)</f>
        <v>8.16634505443448E-5</v>
      </c>
      <c r="M13" s="8">
        <f>(J3-J2) * (M3+M2)</f>
        <v>1.819928326416827E-4</v>
      </c>
      <c r="N13" s="8">
        <f>(J3-J2) * (N3+N2)</f>
        <v>2.4817204451138547E-4</v>
      </c>
      <c r="O13" s="8">
        <f>(J3-J2) * (O3+O2)</f>
        <v>1.9700255079769778E-4</v>
      </c>
      <c r="P13" s="8">
        <f>(J3-J2) * (P3+P2)</f>
        <v>2.4036789216826015E-4</v>
      </c>
    </row>
    <row r="14" spans="1:16" x14ac:dyDescent="0.3">
      <c r="B14" s="8" t="s">
        <v>51</v>
      </c>
      <c r="C14" s="9">
        <f t="shared" si="2"/>
        <v>-9.2909747199010143E-3</v>
      </c>
      <c r="D14" s="9">
        <f t="shared" si="3"/>
        <v>-1.2072144167737128E-2</v>
      </c>
      <c r="E14" s="9">
        <f t="shared" si="4"/>
        <v>-1.158374367933664E-2</v>
      </c>
      <c r="F14" s="9">
        <f t="shared" si="5"/>
        <v>-8.5534406490336105E-3</v>
      </c>
      <c r="G14" s="9">
        <f t="shared" si="6"/>
        <v>-6.0363700907259382E-3</v>
      </c>
      <c r="H14" s="9">
        <f t="shared" si="7"/>
        <v>-3.7670320890401433E-3</v>
      </c>
      <c r="J14" s="8" t="s">
        <v>51</v>
      </c>
      <c r="K14" s="8">
        <f t="shared" ref="K14:K19" si="8">(J4-J3) * (K4+K3)</f>
        <v>7.4953590735851218E-4</v>
      </c>
      <c r="L14" s="8">
        <f t="shared" ref="L14:L19" si="9">(J4-J3) * (L4+L3)</f>
        <v>2.095595954005308E-4</v>
      </c>
      <c r="M14" s="8">
        <f t="shared" ref="M14:M19" si="10">(J4-J3) * (M4+M3)</f>
        <v>7.0052779033891719E-4</v>
      </c>
      <c r="N14" s="8">
        <f t="shared" ref="N14:N19" si="11">(J4-J3) * (N4+N3)</f>
        <v>6.3684344576265205E-4</v>
      </c>
      <c r="O14" s="8">
        <f t="shared" ref="O14:O19" si="12">(J4-J3) * (O4+O3)</f>
        <v>7.3021797160184956E-4</v>
      </c>
      <c r="P14" s="8">
        <f t="shared" ref="P14:P19" si="13">(J4-J3) * (P4+P3)</f>
        <v>8.2242256308132859E-4</v>
      </c>
    </row>
    <row r="15" spans="1:16" x14ac:dyDescent="0.3">
      <c r="B15" s="8" t="s">
        <v>52</v>
      </c>
      <c r="C15" s="9">
        <f t="shared" si="2"/>
        <v>-5.4741270296540349E-3</v>
      </c>
      <c r="D15" s="9">
        <f t="shared" si="3"/>
        <v>-1.1036465925326262E-2</v>
      </c>
      <c r="E15" s="9">
        <f t="shared" si="4"/>
        <v>-1.0059664948525286E-2</v>
      </c>
      <c r="F15" s="9">
        <f t="shared" si="5"/>
        <v>-1.4388669277529615E-2</v>
      </c>
      <c r="G15" s="9">
        <f t="shared" si="6"/>
        <v>-1.958347447233481E-2</v>
      </c>
      <c r="H15" s="9">
        <f t="shared" si="7"/>
        <v>-1.3294166296234181E-2</v>
      </c>
      <c r="J15" s="8" t="s">
        <v>52</v>
      </c>
      <c r="K15" s="8">
        <f t="shared" si="8"/>
        <v>1.3124727159589467E-3</v>
      </c>
      <c r="L15" s="8">
        <f t="shared" si="9"/>
        <v>5.0214037108550801E-4</v>
      </c>
      <c r="M15" s="8">
        <f t="shared" si="10"/>
        <v>1.1190556841334178E-3</v>
      </c>
      <c r="N15" s="8">
        <f t="shared" si="11"/>
        <v>1.0173233492121981E-3</v>
      </c>
      <c r="O15" s="8">
        <f t="shared" si="12"/>
        <v>1.0767546101627388E-3</v>
      </c>
      <c r="P15" s="8">
        <f t="shared" si="13"/>
        <v>1.3548315672684463E-3</v>
      </c>
    </row>
    <row r="16" spans="1:16" x14ac:dyDescent="0.3">
      <c r="B16" s="8" t="s">
        <v>53</v>
      </c>
      <c r="C16" s="9">
        <f t="shared" si="2"/>
        <v>-1.1573667987218889E-2</v>
      </c>
      <c r="D16" s="9">
        <f t="shared" si="3"/>
        <v>-1.7136006882891117E-2</v>
      </c>
      <c r="E16" s="9">
        <f t="shared" si="4"/>
        <v>-2.5683015429899664E-2</v>
      </c>
      <c r="F16" s="9">
        <f t="shared" si="5"/>
        <v>-1.7890807637691873E-2</v>
      </c>
      <c r="G16" s="9">
        <f t="shared" si="6"/>
        <v>-1.8810163196222689E-2</v>
      </c>
      <c r="H16" s="9">
        <f t="shared" si="7"/>
        <v>-2.5683015429899664E-2</v>
      </c>
      <c r="J16" s="8" t="s">
        <v>53</v>
      </c>
      <c r="K16" s="8">
        <f t="shared" si="8"/>
        <v>2.446001469514254E-3</v>
      </c>
      <c r="L16" s="8">
        <f t="shared" si="9"/>
        <v>1.0975647619615243E-3</v>
      </c>
      <c r="M16" s="8">
        <f t="shared" si="10"/>
        <v>1.7122010286599783E-3</v>
      </c>
      <c r="N16" s="8">
        <f t="shared" si="11"/>
        <v>1.6677282746688099E-3</v>
      </c>
      <c r="O16" s="8">
        <f t="shared" si="12"/>
        <v>1.5886401296845156E-3</v>
      </c>
      <c r="P16" s="8">
        <f t="shared" si="13"/>
        <v>1.9383407871622395E-3</v>
      </c>
    </row>
    <row r="17" spans="2:16" x14ac:dyDescent="0.3">
      <c r="B17" s="8" t="s">
        <v>54</v>
      </c>
      <c r="C17" s="9">
        <f t="shared" si="2"/>
        <v>4.5546466832174996E-2</v>
      </c>
      <c r="D17" s="9">
        <f t="shared" si="3"/>
        <v>4.907380369284519E-2</v>
      </c>
      <c r="E17" s="9">
        <f t="shared" si="4"/>
        <v>4.7486502105543608E-2</v>
      </c>
      <c r="F17" s="9">
        <f t="shared" si="5"/>
        <v>0.17692373154277305</v>
      </c>
      <c r="G17" s="9">
        <f t="shared" si="6"/>
        <v>0.23349533862984406</v>
      </c>
      <c r="H17" s="9">
        <f t="shared" si="7"/>
        <v>0.35305703220437562</v>
      </c>
      <c r="J17" s="8" t="s">
        <v>54</v>
      </c>
      <c r="K17" s="8">
        <f t="shared" si="8"/>
        <v>1.3457828593380435E-2</v>
      </c>
      <c r="L17" s="8">
        <f t="shared" si="9"/>
        <v>1.0074434538008992E-2</v>
      </c>
      <c r="M17" s="8">
        <f t="shared" si="10"/>
        <v>1.093038273559923E-2</v>
      </c>
      <c r="N17" s="8">
        <f t="shared" si="11"/>
        <v>1.9336303610888075E-2</v>
      </c>
      <c r="O17" s="8">
        <f t="shared" si="12"/>
        <v>2.2597782083629506E-2</v>
      </c>
      <c r="P17" s="8">
        <f t="shared" si="13"/>
        <v>3.0433396091979502E-2</v>
      </c>
    </row>
    <row r="18" spans="2:16" x14ac:dyDescent="0.3">
      <c r="B18" s="8" t="s">
        <v>55</v>
      </c>
      <c r="C18" s="9">
        <f t="shared" si="2"/>
        <v>-1.6091067776364792E-2</v>
      </c>
      <c r="D18" s="9">
        <f t="shared" si="3"/>
        <v>5.2420667402037061E-2</v>
      </c>
      <c r="E18" s="9">
        <f t="shared" si="4"/>
        <v>-2.4380309398939745E-2</v>
      </c>
      <c r="F18" s="9">
        <f t="shared" si="5"/>
        <v>-3.3471218489848839E-2</v>
      </c>
      <c r="G18" s="9">
        <f t="shared" si="6"/>
        <v>-2.6000338854020748E-2</v>
      </c>
      <c r="H18" s="9">
        <f t="shared" si="7"/>
        <v>-3.5790911375579458E-2</v>
      </c>
      <c r="J18" s="8" t="s">
        <v>55</v>
      </c>
      <c r="K18" s="8">
        <f t="shared" si="8"/>
        <v>2.5258513810486057E-2</v>
      </c>
      <c r="L18" s="8">
        <f t="shared" si="9"/>
        <v>2.6435237639143582E-2</v>
      </c>
      <c r="M18" s="8">
        <f t="shared" si="10"/>
        <v>2.2092305741284284E-2</v>
      </c>
      <c r="N18" s="8">
        <f t="shared" si="11"/>
        <v>3.9294614954853466E-2</v>
      </c>
      <c r="O18" s="8">
        <f t="shared" si="12"/>
        <v>4.7135533540346566E-2</v>
      </c>
      <c r="P18" s="8">
        <f t="shared" si="13"/>
        <v>6.300868167393904E-2</v>
      </c>
    </row>
    <row r="19" spans="2:16" x14ac:dyDescent="0.3">
      <c r="B19" s="8" t="s">
        <v>56</v>
      </c>
      <c r="C19" s="9">
        <f t="shared" si="2"/>
        <v>-8.3228760174239858E-3</v>
      </c>
      <c r="D19" s="9">
        <f t="shared" si="3"/>
        <v>-5.1329252357133592E-2</v>
      </c>
      <c r="E19" s="9">
        <f t="shared" si="4"/>
        <v>1.9366718338837074E-2</v>
      </c>
      <c r="F19" s="9">
        <f t="shared" si="5"/>
        <v>-0.10400990503778629</v>
      </c>
      <c r="G19" s="9">
        <f t="shared" si="6"/>
        <v>-0.16605301656543392</v>
      </c>
      <c r="H19" s="9">
        <f t="shared" si="7"/>
        <v>-0.27919572550662564</v>
      </c>
      <c r="J19" s="8" t="s">
        <v>56</v>
      </c>
      <c r="K19" s="8">
        <f t="shared" si="8"/>
        <v>0.96455779402372399</v>
      </c>
      <c r="L19" s="8">
        <f t="shared" si="9"/>
        <v>0.99874437952299955</v>
      </c>
      <c r="M19" s="8">
        <f t="shared" si="10"/>
        <v>0.94254680947986869</v>
      </c>
      <c r="N19" s="8">
        <f t="shared" si="11"/>
        <v>1.0406212310577301</v>
      </c>
      <c r="O19" s="8">
        <f t="shared" si="12"/>
        <v>1.0899404789787079</v>
      </c>
      <c r="P19" s="8">
        <f t="shared" si="13"/>
        <v>1.1798797675689499</v>
      </c>
    </row>
    <row r="20" spans="2:16" x14ac:dyDescent="0.3">
      <c r="J20" s="12" t="s">
        <v>47</v>
      </c>
      <c r="K20" s="12">
        <f>SUM(K12:K19)</f>
        <v>1.0080426106808393</v>
      </c>
      <c r="L20" s="12">
        <f t="shared" ref="L20:P20" si="14">SUM(L12:L19)</f>
        <v>1.0371675910128664</v>
      </c>
      <c r="M20" s="12">
        <f t="shared" si="14"/>
        <v>0.97928327529252623</v>
      </c>
      <c r="N20" s="12">
        <f t="shared" si="14"/>
        <v>1.1028704191513576</v>
      </c>
      <c r="O20" s="12">
        <f t="shared" si="14"/>
        <v>1.1632823531031493</v>
      </c>
      <c r="P20" s="12">
        <f t="shared" si="14"/>
        <v>1.2777069872786468</v>
      </c>
    </row>
    <row r="21" spans="2:16" x14ac:dyDescent="0.3">
      <c r="J21" s="15" t="s">
        <v>48</v>
      </c>
      <c r="K21" s="15">
        <f>1-K20</f>
        <v>-8.0426106808393349E-3</v>
      </c>
      <c r="L21" s="15">
        <f t="shared" ref="L21:P21" si="15">1-L20</f>
        <v>-3.7167591012866374E-2</v>
      </c>
      <c r="M21" s="15">
        <f t="shared" si="15"/>
        <v>2.0716724707473766E-2</v>
      </c>
      <c r="N21" s="15">
        <f t="shared" si="15"/>
        <v>-0.10287041915135764</v>
      </c>
      <c r="O21" s="15">
        <f t="shared" si="15"/>
        <v>-0.16328235310314931</v>
      </c>
      <c r="P21" s="15">
        <f t="shared" si="15"/>
        <v>-0.27770698727864684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ARAXÁ</vt:lpstr>
      <vt:lpstr>FRUTAL-ITURAMA</vt:lpstr>
      <vt:lpstr>UBERABA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2025-04-25T02:06:39Z</dcterms:created>
  <dcterms:modified xsi:type="dcterms:W3CDTF">2025-08-24T20:53:27Z</dcterms:modified>
</cp:coreProperties>
</file>