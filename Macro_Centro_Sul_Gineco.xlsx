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36" documentId="8_{8C85124B-8B0E-4CA8-B085-0CE9DF830CAC}" xr6:coauthVersionLast="47" xr6:coauthVersionMax="47" xr10:uidLastSave="{59F56D8A-5F42-4EA1-A210-4C86857BD12A}"/>
  <bookViews>
    <workbookView xWindow="-108" yWindow="-108" windowWidth="23256" windowHeight="12456" xr2:uid="{4851E0E9-D75A-416B-A583-813930B32A3E}"/>
  </bookViews>
  <sheets>
    <sheet name="BARBACENA" sheetId="1" r:id="rId1"/>
    <sheet name="CONGONHAS" sheetId="2" r:id="rId2"/>
    <sheet name="C. LAFAIETE" sheetId="6" r:id="rId3"/>
    <sheet name="SÃO JOÃO DEL REI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7" l="1"/>
  <c r="O22" i="7"/>
  <c r="N22" i="7"/>
  <c r="M22" i="7"/>
  <c r="L22" i="7"/>
  <c r="K22" i="7"/>
  <c r="P16" i="6"/>
  <c r="O16" i="6"/>
  <c r="N16" i="6"/>
  <c r="M16" i="6"/>
  <c r="L16" i="6"/>
  <c r="K16" i="6"/>
  <c r="P10" i="2"/>
  <c r="O10" i="2"/>
  <c r="N10" i="2"/>
  <c r="M10" i="2"/>
  <c r="L10" i="2"/>
  <c r="K10" i="2"/>
  <c r="P19" i="1"/>
  <c r="O19" i="1"/>
  <c r="N19" i="1"/>
  <c r="M19" i="1"/>
  <c r="L19" i="1"/>
  <c r="K19" i="1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H22" i="7"/>
  <c r="G22" i="7"/>
  <c r="F22" i="7"/>
  <c r="E22" i="7"/>
  <c r="D22" i="7"/>
  <c r="C22" i="7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O3" i="7"/>
  <c r="O4" i="7" s="1"/>
  <c r="O5" i="7" s="1"/>
  <c r="O6" i="7" s="1"/>
  <c r="O7" i="7" s="1"/>
  <c r="O8" i="7" s="1"/>
  <c r="O9" i="7" s="1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L33" i="7" s="1"/>
  <c r="H17" i="6"/>
  <c r="H18" i="6"/>
  <c r="H19" i="6"/>
  <c r="H20" i="6"/>
  <c r="H21" i="6"/>
  <c r="H22" i="6"/>
  <c r="H23" i="6"/>
  <c r="H24" i="6"/>
  <c r="H25" i="6"/>
  <c r="H26" i="6"/>
  <c r="H27" i="6"/>
  <c r="H16" i="6"/>
  <c r="G17" i="6"/>
  <c r="G18" i="6"/>
  <c r="G19" i="6"/>
  <c r="G20" i="6"/>
  <c r="G21" i="6"/>
  <c r="G22" i="6"/>
  <c r="G23" i="6"/>
  <c r="G24" i="6"/>
  <c r="G25" i="6"/>
  <c r="G26" i="6"/>
  <c r="G27" i="6"/>
  <c r="G16" i="6"/>
  <c r="F17" i="6"/>
  <c r="F18" i="6"/>
  <c r="F19" i="6"/>
  <c r="F20" i="6"/>
  <c r="F21" i="6"/>
  <c r="F22" i="6"/>
  <c r="F23" i="6"/>
  <c r="F24" i="6"/>
  <c r="F25" i="6"/>
  <c r="F26" i="6"/>
  <c r="F27" i="6"/>
  <c r="F16" i="6"/>
  <c r="E17" i="6"/>
  <c r="E18" i="6"/>
  <c r="E19" i="6"/>
  <c r="E20" i="6"/>
  <c r="E21" i="6"/>
  <c r="E22" i="6"/>
  <c r="E23" i="6"/>
  <c r="E24" i="6"/>
  <c r="E25" i="6"/>
  <c r="E26" i="6"/>
  <c r="E27" i="6"/>
  <c r="E16" i="6"/>
  <c r="D17" i="6"/>
  <c r="D18" i="6"/>
  <c r="D19" i="6"/>
  <c r="D20" i="6"/>
  <c r="D21" i="6"/>
  <c r="D22" i="6"/>
  <c r="D23" i="6"/>
  <c r="D24" i="6"/>
  <c r="D25" i="6"/>
  <c r="D26" i="6"/>
  <c r="D27" i="6"/>
  <c r="D16" i="6"/>
  <c r="C17" i="6"/>
  <c r="C18" i="6"/>
  <c r="C19" i="6"/>
  <c r="C20" i="6"/>
  <c r="C21" i="6"/>
  <c r="C22" i="6"/>
  <c r="C23" i="6"/>
  <c r="C24" i="6"/>
  <c r="C25" i="6"/>
  <c r="C26" i="6"/>
  <c r="C27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M29" i="7" l="1"/>
  <c r="N29" i="7"/>
  <c r="P26" i="7"/>
  <c r="M25" i="7"/>
  <c r="O29" i="7"/>
  <c r="P29" i="7"/>
  <c r="N25" i="7"/>
  <c r="O25" i="7"/>
  <c r="P30" i="7"/>
  <c r="M33" i="7"/>
  <c r="P25" i="7"/>
  <c r="O26" i="7"/>
  <c r="N33" i="7"/>
  <c r="P33" i="7"/>
  <c r="K28" i="7"/>
  <c r="K32" i="7"/>
  <c r="M24" i="7"/>
  <c r="K27" i="7"/>
  <c r="K31" i="7"/>
  <c r="N24" i="7"/>
  <c r="K26" i="7"/>
  <c r="O28" i="7"/>
  <c r="N23" i="7"/>
  <c r="P24" i="7"/>
  <c r="L26" i="7"/>
  <c r="N27" i="7"/>
  <c r="P28" i="7"/>
  <c r="L30" i="7"/>
  <c r="N31" i="7"/>
  <c r="P32" i="7"/>
  <c r="K24" i="7"/>
  <c r="L24" i="7"/>
  <c r="L32" i="7"/>
  <c r="M28" i="7"/>
  <c r="M32" i="7"/>
  <c r="L23" i="7"/>
  <c r="L27" i="7"/>
  <c r="N32" i="7"/>
  <c r="M23" i="7"/>
  <c r="K30" i="7"/>
  <c r="O23" i="7"/>
  <c r="K25" i="7"/>
  <c r="M26" i="7"/>
  <c r="O27" i="7"/>
  <c r="K29" i="7"/>
  <c r="M30" i="7"/>
  <c r="K33" i="7"/>
  <c r="L28" i="7"/>
  <c r="K23" i="7"/>
  <c r="N28" i="7"/>
  <c r="L31" i="7"/>
  <c r="O24" i="7"/>
  <c r="M27" i="7"/>
  <c r="M31" i="7"/>
  <c r="P23" i="7"/>
  <c r="L25" i="7"/>
  <c r="N26" i="7"/>
  <c r="P27" i="7"/>
  <c r="L29" i="7"/>
  <c r="N30" i="7"/>
  <c r="P31" i="7"/>
  <c r="M21" i="6"/>
  <c r="P27" i="6"/>
  <c r="O21" i="6"/>
  <c r="O22" i="6"/>
  <c r="O26" i="6"/>
  <c r="M17" i="6"/>
  <c r="O17" i="6"/>
  <c r="O18" i="6"/>
  <c r="N17" i="6"/>
  <c r="P18" i="6"/>
  <c r="L20" i="6"/>
  <c r="N21" i="6"/>
  <c r="P22" i="6"/>
  <c r="L24" i="6"/>
  <c r="N25" i="6"/>
  <c r="P26" i="6"/>
  <c r="P17" i="6"/>
  <c r="L19" i="6"/>
  <c r="N20" i="6"/>
  <c r="P21" i="6"/>
  <c r="L23" i="6"/>
  <c r="N24" i="6"/>
  <c r="P25" i="6"/>
  <c r="L27" i="6"/>
  <c r="K20" i="6"/>
  <c r="K23" i="6"/>
  <c r="K18" i="6"/>
  <c r="M19" i="6"/>
  <c r="O20" i="6"/>
  <c r="K22" i="6"/>
  <c r="M23" i="6"/>
  <c r="O24" i="6"/>
  <c r="K26" i="6"/>
  <c r="M27" i="6"/>
  <c r="K24" i="6"/>
  <c r="K19" i="6"/>
  <c r="L18" i="6"/>
  <c r="N19" i="6"/>
  <c r="P20" i="6"/>
  <c r="L22" i="6"/>
  <c r="N23" i="6"/>
  <c r="P24" i="6"/>
  <c r="L26" i="6"/>
  <c r="N27" i="6"/>
  <c r="M25" i="6"/>
  <c r="M24" i="6"/>
  <c r="O25" i="6"/>
  <c r="K27" i="6"/>
  <c r="K17" i="6"/>
  <c r="M18" i="6"/>
  <c r="O19" i="6"/>
  <c r="K21" i="6"/>
  <c r="M22" i="6"/>
  <c r="O23" i="6"/>
  <c r="K25" i="6"/>
  <c r="M26" i="6"/>
  <c r="O27" i="6"/>
  <c r="M20" i="6"/>
  <c r="L17" i="6"/>
  <c r="N18" i="6"/>
  <c r="P19" i="6"/>
  <c r="L21" i="6"/>
  <c r="N22" i="6"/>
  <c r="P23" i="6"/>
  <c r="L25" i="6"/>
  <c r="N26" i="6"/>
  <c r="O10" i="7"/>
  <c r="J14" i="7"/>
  <c r="N34" i="7" l="1"/>
  <c r="K34" i="7"/>
  <c r="M34" i="7"/>
  <c r="P34" i="7"/>
  <c r="L34" i="7"/>
  <c r="O11" i="7"/>
  <c r="O30" i="7"/>
  <c r="P28" i="6"/>
  <c r="P29" i="6" s="1"/>
  <c r="M28" i="6"/>
  <c r="M29" i="6" s="1"/>
  <c r="J15" i="7"/>
  <c r="N28" i="6"/>
  <c r="N29" i="6" s="1"/>
  <c r="O28" i="6"/>
  <c r="O29" i="6" s="1"/>
  <c r="L28" i="6"/>
  <c r="L29" i="6" s="1"/>
  <c r="K28" i="6"/>
  <c r="K29" i="6" s="1"/>
  <c r="H11" i="2"/>
  <c r="H12" i="2"/>
  <c r="H13" i="2"/>
  <c r="H14" i="2"/>
  <c r="H15" i="2"/>
  <c r="H10" i="2"/>
  <c r="G11" i="2"/>
  <c r="G12" i="2"/>
  <c r="G13" i="2"/>
  <c r="G14" i="2"/>
  <c r="G15" i="2"/>
  <c r="G10" i="2"/>
  <c r="F11" i="2"/>
  <c r="F12" i="2"/>
  <c r="F13" i="2"/>
  <c r="F14" i="2"/>
  <c r="F15" i="2"/>
  <c r="F10" i="2"/>
  <c r="E11" i="2"/>
  <c r="E12" i="2"/>
  <c r="E13" i="2"/>
  <c r="E14" i="2"/>
  <c r="E15" i="2"/>
  <c r="E10" i="2"/>
  <c r="D11" i="2"/>
  <c r="D12" i="2"/>
  <c r="D13" i="2"/>
  <c r="D14" i="2"/>
  <c r="D15" i="2"/>
  <c r="D10" i="2"/>
  <c r="C11" i="2"/>
  <c r="C12" i="2"/>
  <c r="C13" i="2"/>
  <c r="C14" i="2"/>
  <c r="C15" i="2"/>
  <c r="C10" i="2"/>
  <c r="P3" i="2"/>
  <c r="P4" i="2" s="1"/>
  <c r="P5" i="2" s="1"/>
  <c r="P6" i="2" s="1"/>
  <c r="P7" i="2" s="1"/>
  <c r="O3" i="2"/>
  <c r="O4" i="2" s="1"/>
  <c r="O5" i="2" s="1"/>
  <c r="O6" i="2" s="1"/>
  <c r="O7" i="2" s="1"/>
  <c r="N3" i="2"/>
  <c r="N4" i="2" s="1"/>
  <c r="N5" i="2" s="1"/>
  <c r="N6" i="2" s="1"/>
  <c r="N7" i="2" s="1"/>
  <c r="M3" i="2"/>
  <c r="M4" i="2" s="1"/>
  <c r="M5" i="2" s="1"/>
  <c r="M6" i="2" s="1"/>
  <c r="M7" i="2" s="1"/>
  <c r="L3" i="2"/>
  <c r="L4" i="2" s="1"/>
  <c r="L5" i="2" s="1"/>
  <c r="L6" i="2" s="1"/>
  <c r="L7" i="2" s="1"/>
  <c r="K3" i="2"/>
  <c r="K4" i="2" s="1"/>
  <c r="K5" i="2" s="1"/>
  <c r="K6" i="2" s="1"/>
  <c r="K7" i="2" s="1"/>
  <c r="J3" i="2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H19" i="1"/>
  <c r="G19" i="1"/>
  <c r="F19" i="1"/>
  <c r="E19" i="1"/>
  <c r="D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J3" i="1"/>
  <c r="O12" i="7" l="1"/>
  <c r="O31" i="7"/>
  <c r="P35" i="7"/>
  <c r="L35" i="7"/>
  <c r="N35" i="7"/>
  <c r="M35" i="7"/>
  <c r="K35" i="7"/>
  <c r="J4" i="2"/>
  <c r="P11" i="2"/>
  <c r="N11" i="2"/>
  <c r="O11" i="2"/>
  <c r="M11" i="2"/>
  <c r="K11" i="2"/>
  <c r="L11" i="2"/>
  <c r="J4" i="1"/>
  <c r="N20" i="1"/>
  <c r="M20" i="1"/>
  <c r="P20" i="1"/>
  <c r="L20" i="1"/>
  <c r="K20" i="1"/>
  <c r="O20" i="1"/>
  <c r="J16" i="7"/>
  <c r="L36" i="7" l="1"/>
  <c r="P36" i="7"/>
  <c r="N36" i="7"/>
  <c r="M36" i="7"/>
  <c r="K36" i="7"/>
  <c r="O13" i="7"/>
  <c r="O32" i="7"/>
  <c r="J5" i="2"/>
  <c r="P12" i="2"/>
  <c r="O12" i="2"/>
  <c r="N12" i="2"/>
  <c r="M12" i="2"/>
  <c r="L12" i="2"/>
  <c r="K12" i="2"/>
  <c r="J5" i="1"/>
  <c r="P21" i="1"/>
  <c r="O21" i="1"/>
  <c r="M21" i="1"/>
  <c r="L21" i="1"/>
  <c r="N21" i="1"/>
  <c r="K21" i="1"/>
  <c r="J17" i="7"/>
  <c r="L37" i="7" l="1"/>
  <c r="N37" i="7"/>
  <c r="K37" i="7"/>
  <c r="P37" i="7"/>
  <c r="M37" i="7"/>
  <c r="O14" i="7"/>
  <c r="O33" i="7"/>
  <c r="J6" i="2"/>
  <c r="L13" i="2"/>
  <c r="K13" i="2"/>
  <c r="P13" i="2"/>
  <c r="O13" i="2"/>
  <c r="N13" i="2"/>
  <c r="M13" i="2"/>
  <c r="J6" i="1"/>
  <c r="M22" i="1"/>
  <c r="P22" i="1"/>
  <c r="L22" i="1"/>
  <c r="K22" i="1"/>
  <c r="O22" i="1"/>
  <c r="N22" i="1"/>
  <c r="J18" i="7"/>
  <c r="N38" i="7" l="1"/>
  <c r="M38" i="7"/>
  <c r="K38" i="7"/>
  <c r="P38" i="7"/>
  <c r="L38" i="7"/>
  <c r="O15" i="7"/>
  <c r="O34" i="7"/>
  <c r="J7" i="2"/>
  <c r="N14" i="2"/>
  <c r="L14" i="2"/>
  <c r="M14" i="2"/>
  <c r="K14" i="2"/>
  <c r="P14" i="2"/>
  <c r="O14" i="2"/>
  <c r="J7" i="1"/>
  <c r="L23" i="1"/>
  <c r="K23" i="1"/>
  <c r="P23" i="1"/>
  <c r="O23" i="1"/>
  <c r="N23" i="1"/>
  <c r="M23" i="1"/>
  <c r="J19" i="7"/>
  <c r="P39" i="7" l="1"/>
  <c r="M39" i="7"/>
  <c r="N39" i="7"/>
  <c r="N40" i="7" s="1"/>
  <c r="N41" i="7" s="1"/>
  <c r="L39" i="7"/>
  <c r="L40" i="7" s="1"/>
  <c r="L41" i="7" s="1"/>
  <c r="K39" i="7"/>
  <c r="O16" i="7"/>
  <c r="O35" i="7"/>
  <c r="P15" i="2"/>
  <c r="P16" i="2" s="1"/>
  <c r="P17" i="2" s="1"/>
  <c r="O15" i="2"/>
  <c r="O16" i="2" s="1"/>
  <c r="O17" i="2" s="1"/>
  <c r="N15" i="2"/>
  <c r="N16" i="2" s="1"/>
  <c r="N17" i="2" s="1"/>
  <c r="M15" i="2"/>
  <c r="M16" i="2" s="1"/>
  <c r="M17" i="2" s="1"/>
  <c r="K15" i="2"/>
  <c r="K16" i="2" s="1"/>
  <c r="K17" i="2" s="1"/>
  <c r="L15" i="2"/>
  <c r="L16" i="2" s="1"/>
  <c r="L17" i="2" s="1"/>
  <c r="J8" i="1"/>
  <c r="N24" i="1"/>
  <c r="K24" i="1"/>
  <c r="M24" i="1"/>
  <c r="L24" i="1"/>
  <c r="P24" i="1"/>
  <c r="O24" i="1"/>
  <c r="P40" i="7"/>
  <c r="P41" i="7" s="1"/>
  <c r="K40" i="7"/>
  <c r="K41" i="7" s="1"/>
  <c r="M40" i="7"/>
  <c r="M41" i="7" s="1"/>
  <c r="O17" i="7" l="1"/>
  <c r="O36" i="7"/>
  <c r="J9" i="1"/>
  <c r="P25" i="1"/>
  <c r="O25" i="1"/>
  <c r="K25" i="1"/>
  <c r="N25" i="1"/>
  <c r="M25" i="1"/>
  <c r="L25" i="1"/>
  <c r="O18" i="7" l="1"/>
  <c r="O37" i="7"/>
  <c r="J10" i="1"/>
  <c r="M26" i="1"/>
  <c r="N26" i="1"/>
  <c r="L26" i="1"/>
  <c r="P26" i="1"/>
  <c r="K26" i="1"/>
  <c r="O26" i="1"/>
  <c r="O19" i="7" l="1"/>
  <c r="O39" i="7" s="1"/>
  <c r="O38" i="7"/>
  <c r="J11" i="1"/>
  <c r="L27" i="1"/>
  <c r="K27" i="1"/>
  <c r="P27" i="1"/>
  <c r="O27" i="1"/>
  <c r="N27" i="1"/>
  <c r="M27" i="1"/>
  <c r="O40" i="7" l="1"/>
  <c r="O41" i="7" s="1"/>
  <c r="J12" i="1"/>
  <c r="N28" i="1"/>
  <c r="P28" i="1"/>
  <c r="M28" i="1"/>
  <c r="L28" i="1"/>
  <c r="O28" i="1"/>
  <c r="K28" i="1"/>
  <c r="J13" i="1" l="1"/>
  <c r="P29" i="1"/>
  <c r="M29" i="1"/>
  <c r="O29" i="1"/>
  <c r="L29" i="1"/>
  <c r="K29" i="1"/>
  <c r="N29" i="1"/>
  <c r="J14" i="1" l="1"/>
  <c r="O30" i="1"/>
  <c r="M30" i="1"/>
  <c r="L30" i="1"/>
  <c r="P30" i="1"/>
  <c r="K30" i="1"/>
  <c r="N30" i="1"/>
  <c r="J15" i="1" l="1"/>
  <c r="L31" i="1"/>
  <c r="K31" i="1"/>
  <c r="P31" i="1"/>
  <c r="O31" i="1"/>
  <c r="N31" i="1"/>
  <c r="M31" i="1"/>
  <c r="J16" i="1" l="1"/>
  <c r="N32" i="1"/>
  <c r="M32" i="1"/>
  <c r="L32" i="1"/>
  <c r="K32" i="1"/>
  <c r="P32" i="1"/>
  <c r="O32" i="1"/>
  <c r="P33" i="1" l="1"/>
  <c r="P34" i="1" s="1"/>
  <c r="P35" i="1" s="1"/>
  <c r="O33" i="1"/>
  <c r="O34" i="1" s="1"/>
  <c r="O35" i="1" s="1"/>
  <c r="K33" i="1"/>
  <c r="K34" i="1" s="1"/>
  <c r="K35" i="1" s="1"/>
  <c r="N33" i="1"/>
  <c r="N34" i="1" s="1"/>
  <c r="N35" i="1" s="1"/>
  <c r="M33" i="1"/>
  <c r="M34" i="1" s="1"/>
  <c r="M35" i="1" s="1"/>
  <c r="L33" i="1"/>
  <c r="L34" i="1" s="1"/>
  <c r="L35" i="1" s="1"/>
</calcChain>
</file>

<file path=xl/sharedStrings.xml><?xml version="1.0" encoding="utf-8"?>
<sst xmlns="http://schemas.openxmlformats.org/spreadsheetml/2006/main" count="278" uniqueCount="73">
  <si>
    <t>BARBACENA</t>
  </si>
  <si>
    <t>ALFREDO VASCONCELOS</t>
  </si>
  <si>
    <t>ALTO RIO DOCE</t>
  </si>
  <si>
    <t>ANTÔNIO CARLOS</t>
  </si>
  <si>
    <t>CAPELA NOVA</t>
  </si>
  <si>
    <t>CARANDAÍ</t>
  </si>
  <si>
    <t>CIPOTÂNEA</t>
  </si>
  <si>
    <t>DESTERRO DO MELO</t>
  </si>
  <si>
    <t>IBERTIOGA</t>
  </si>
  <si>
    <t>PAIVA</t>
  </si>
  <si>
    <t>RESSAQUINHA</t>
  </si>
  <si>
    <t>SANTA BÁRBARA DO TUGÚRIO</t>
  </si>
  <si>
    <t>SANTA RITA DE IBITIPOCA</t>
  </si>
  <si>
    <t>SANTANA DO GARAMBÉU</t>
  </si>
  <si>
    <t>SENHORA DOS REMÉDIOS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</si>
  <si>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</si>
  <si>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</si>
  <si>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</si>
  <si>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</si>
  <si>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</si>
  <si>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</si>
  <si>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</si>
  <si>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</si>
  <si>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</si>
  <si>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</si>
  <si>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</si>
  <si>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</si>
  <si>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</si>
  <si>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</si>
  <si>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</si>
  <si>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</si>
  <si>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</si>
  <si>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</si>
  <si>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</si>
  <si>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</si>
  <si>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</si>
  <si>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</si>
  <si>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CONGONHAS</t>
  </si>
  <si>
    <t>DESTERRO DE ENTRE RIOS</t>
  </si>
  <si>
    <t>ENTRE RIOS DE MINAS</t>
  </si>
  <si>
    <t>JECEABA</t>
  </si>
  <si>
    <t>OURO BRANCO</t>
  </si>
  <si>
    <t>SÃO BRÁS DO SUAÇUÍ</t>
  </si>
  <si>
    <t>CONSELHEIRO LAFAIETE</t>
  </si>
  <si>
    <t>CARANAÍBA</t>
  </si>
  <si>
    <t>CASA GRANDE</t>
  </si>
  <si>
    <t>CATAS ALTAS DA NORUEGA</t>
  </si>
  <si>
    <t>CRISTIANO OTONI</t>
  </si>
  <si>
    <t>ITAVERAVA</t>
  </si>
  <si>
    <t>LAMIM</t>
  </si>
  <si>
    <t>PIRANGA</t>
  </si>
  <si>
    <t>QUELUZITO</t>
  </si>
  <si>
    <t>RIO ESPERA</t>
  </si>
  <si>
    <t>SANTANA DOS MONTES</t>
  </si>
  <si>
    <t>SENHORA DE OLIVEIRA</t>
  </si>
  <si>
    <t>SÃO JOÃO DEL REI</t>
  </si>
  <si>
    <t>BARROSO</t>
  </si>
  <si>
    <t>BOM SUCESSO</t>
  </si>
  <si>
    <t>CONCEIÇÃO DA BARRA DE MINAS</t>
  </si>
  <si>
    <t>CORONEL XAVIER CHAVES</t>
  </si>
  <si>
    <t>DORES DE CAMPOS</t>
  </si>
  <si>
    <t>IBITURUNA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</si>
  <si>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</si>
  <si>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</si>
  <si>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</si>
  <si>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</si>
  <si>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</si>
  <si>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</si>
  <si>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</si>
  <si>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</si>
  <si>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TIAGO</t>
  </si>
  <si>
    <t>SÃO VICENTE DE MINAS</t>
  </si>
  <si>
    <t>TIRADENTES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</si>
</sst>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indent="2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1" fillId="2" borderId="1" xfId="0" applyFont="1" applyFill="1" applyBorder="1" applyAlignment="1">
      <alignment horizontal="left" indent="2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3D-4F6C-A8BD-6F52E8032A91}"/>
            </c:ext>
          </c:extLst>
        </c:ser>
        <c:ser>
          <c:idx val="1"/>
          <c:order val="1"/>
          <c:tx>
            <c:strRef>
              <c:f>BARBACENA!$K$1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BARBACENA!$K$2:$K$16</c:f>
              <c:numCache>
                <c:formatCode>0.00</c:formatCode>
                <c:ptCount val="15"/>
                <c:pt idx="0">
                  <c:v>1.282051282051282E-2</c:v>
                </c:pt>
                <c:pt idx="1">
                  <c:v>2.1367521367521368E-2</c:v>
                </c:pt>
                <c:pt idx="2">
                  <c:v>4.2735042735042736E-2</c:v>
                </c:pt>
                <c:pt idx="3">
                  <c:v>6.4102564102564097E-2</c:v>
                </c:pt>
                <c:pt idx="4">
                  <c:v>6.4102564102564097E-2</c:v>
                </c:pt>
                <c:pt idx="5">
                  <c:v>9.4017094017094016E-2</c:v>
                </c:pt>
                <c:pt idx="6">
                  <c:v>0.12820512820512819</c:v>
                </c:pt>
                <c:pt idx="7">
                  <c:v>0.13675213675213674</c:v>
                </c:pt>
                <c:pt idx="8">
                  <c:v>0.20085470085470084</c:v>
                </c:pt>
                <c:pt idx="9">
                  <c:v>0.23076923076923075</c:v>
                </c:pt>
                <c:pt idx="10">
                  <c:v>0.26068376068376065</c:v>
                </c:pt>
                <c:pt idx="11">
                  <c:v>0.3034188034188034</c:v>
                </c:pt>
                <c:pt idx="12">
                  <c:v>0.32905982905982906</c:v>
                </c:pt>
                <c:pt idx="13">
                  <c:v>0.48717948717948717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3D-4F6C-A8BD-6F52E8032A91}"/>
            </c:ext>
          </c:extLst>
        </c:ser>
        <c:ser>
          <c:idx val="2"/>
          <c:order val="2"/>
          <c:tx>
            <c:strRef>
              <c:f>BARBACENA!$L$1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BARBACENA!$L$2:$L$16</c:f>
              <c:numCache>
                <c:formatCode>0.00</c:formatCode>
                <c:ptCount val="15"/>
                <c:pt idx="0">
                  <c:v>1.3698630136986301E-2</c:v>
                </c:pt>
                <c:pt idx="1">
                  <c:v>1.3698630136986301E-2</c:v>
                </c:pt>
                <c:pt idx="2">
                  <c:v>1.3698630136986301E-2</c:v>
                </c:pt>
                <c:pt idx="3">
                  <c:v>1.3698630136986301E-2</c:v>
                </c:pt>
                <c:pt idx="4">
                  <c:v>1.3698630136986301E-2</c:v>
                </c:pt>
                <c:pt idx="5">
                  <c:v>4.1095890410958902E-2</c:v>
                </c:pt>
                <c:pt idx="6">
                  <c:v>4.1095890410958902E-2</c:v>
                </c:pt>
                <c:pt idx="7">
                  <c:v>8.2191780821917804E-2</c:v>
                </c:pt>
                <c:pt idx="8">
                  <c:v>0.1095890410958904</c:v>
                </c:pt>
                <c:pt idx="9">
                  <c:v>0.13698630136986301</c:v>
                </c:pt>
                <c:pt idx="10">
                  <c:v>0.16438356164383561</c:v>
                </c:pt>
                <c:pt idx="11">
                  <c:v>0.20547945205479451</c:v>
                </c:pt>
                <c:pt idx="12">
                  <c:v>0.21917808219178081</c:v>
                </c:pt>
                <c:pt idx="13">
                  <c:v>0.49315068493150682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3D-4F6C-A8BD-6F52E8032A91}"/>
            </c:ext>
          </c:extLst>
        </c:ser>
        <c:ser>
          <c:idx val="3"/>
          <c:order val="3"/>
          <c:tx>
            <c:strRef>
              <c:f>BARBACENA!$M$1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BARBACENA!$M$2:$M$16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1.7857142857142856E-2</c:v>
                </c:pt>
                <c:pt idx="4">
                  <c:v>1.7857142857142856E-2</c:v>
                </c:pt>
                <c:pt idx="5">
                  <c:v>3.5714285714285712E-2</c:v>
                </c:pt>
                <c:pt idx="6">
                  <c:v>3.5714285714285712E-2</c:v>
                </c:pt>
                <c:pt idx="7">
                  <c:v>5.3571428571428568E-2</c:v>
                </c:pt>
                <c:pt idx="8">
                  <c:v>7.1428571428571425E-2</c:v>
                </c:pt>
                <c:pt idx="9">
                  <c:v>8.9285714285714274E-2</c:v>
                </c:pt>
                <c:pt idx="10">
                  <c:v>0.1607142857142857</c:v>
                </c:pt>
                <c:pt idx="11">
                  <c:v>0.17857142857142855</c:v>
                </c:pt>
                <c:pt idx="12">
                  <c:v>0.17857142857142855</c:v>
                </c:pt>
                <c:pt idx="13">
                  <c:v>0.42857142857142855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3D-4F6C-A8BD-6F52E803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32560"/>
        <c:axId val="893358960"/>
      </c:scatterChart>
      <c:valAx>
        <c:axId val="8933325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8960"/>
        <c:crosses val="autoZero"/>
        <c:crossBetween val="midCat"/>
      </c:valAx>
      <c:valAx>
        <c:axId val="8933589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3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4-474F-8D5C-A1CA5AA71D13}"/>
            </c:ext>
          </c:extLst>
        </c:ser>
        <c:ser>
          <c:idx val="1"/>
          <c:order val="1"/>
          <c:tx>
            <c:strRef>
              <c:f>BARBACENA!$N$1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BARBACENA!$N$2:$N$16</c:f>
              <c:numCache>
                <c:formatCode>0.00</c:formatCode>
                <c:ptCount val="15"/>
                <c:pt idx="0">
                  <c:v>4.7619047619047623E-3</c:v>
                </c:pt>
                <c:pt idx="1">
                  <c:v>2.3809523809523812E-2</c:v>
                </c:pt>
                <c:pt idx="2">
                  <c:v>2.3809523809523812E-2</c:v>
                </c:pt>
                <c:pt idx="3">
                  <c:v>2.3809523809523812E-2</c:v>
                </c:pt>
                <c:pt idx="4">
                  <c:v>5.2380952380952382E-2</c:v>
                </c:pt>
                <c:pt idx="5">
                  <c:v>7.1428571428571425E-2</c:v>
                </c:pt>
                <c:pt idx="6">
                  <c:v>8.0952380952380942E-2</c:v>
                </c:pt>
                <c:pt idx="7">
                  <c:v>8.5714285714285701E-2</c:v>
                </c:pt>
                <c:pt idx="8">
                  <c:v>0.11904761904761904</c:v>
                </c:pt>
                <c:pt idx="9">
                  <c:v>0.11904761904761904</c:v>
                </c:pt>
                <c:pt idx="10">
                  <c:v>0.19523809523809524</c:v>
                </c:pt>
                <c:pt idx="11">
                  <c:v>0.25238095238095237</c:v>
                </c:pt>
                <c:pt idx="12">
                  <c:v>0.26666666666666666</c:v>
                </c:pt>
                <c:pt idx="13">
                  <c:v>0.46666666666666667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E4-474F-8D5C-A1CA5AA71D13}"/>
            </c:ext>
          </c:extLst>
        </c:ser>
        <c:ser>
          <c:idx val="2"/>
          <c:order val="2"/>
          <c:tx>
            <c:strRef>
              <c:f>BARBACENA!$O$1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BARBACENA!$O$2:$O$16</c:f>
              <c:numCache>
                <c:formatCode>0.00</c:formatCode>
                <c:ptCount val="15"/>
                <c:pt idx="0">
                  <c:v>0</c:v>
                </c:pt>
                <c:pt idx="1">
                  <c:v>6.1643835616438353E-2</c:v>
                </c:pt>
                <c:pt idx="2">
                  <c:v>6.1643835616438353E-2</c:v>
                </c:pt>
                <c:pt idx="3">
                  <c:v>6.8493150684931503E-2</c:v>
                </c:pt>
                <c:pt idx="4">
                  <c:v>0.11643835616438356</c:v>
                </c:pt>
                <c:pt idx="5">
                  <c:v>0.14383561643835616</c:v>
                </c:pt>
                <c:pt idx="6">
                  <c:v>0.16438356164383561</c:v>
                </c:pt>
                <c:pt idx="7">
                  <c:v>0.19178082191780821</c:v>
                </c:pt>
                <c:pt idx="8">
                  <c:v>0.21232876712328766</c:v>
                </c:pt>
                <c:pt idx="9">
                  <c:v>0.22602739726027396</c:v>
                </c:pt>
                <c:pt idx="10">
                  <c:v>0.25342465753424659</c:v>
                </c:pt>
                <c:pt idx="11">
                  <c:v>0.27397260273972601</c:v>
                </c:pt>
                <c:pt idx="12">
                  <c:v>0.28767123287671231</c:v>
                </c:pt>
                <c:pt idx="13">
                  <c:v>0.4452054794520548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E4-474F-8D5C-A1CA5AA71D13}"/>
            </c:ext>
          </c:extLst>
        </c:ser>
        <c:ser>
          <c:idx val="3"/>
          <c:order val="3"/>
          <c:tx>
            <c:strRef>
              <c:f>BARBACENA!$P$1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BARBACENA!$P$2:$P$16</c:f>
              <c:numCache>
                <c:formatCode>0.00</c:formatCode>
                <c:ptCount val="15"/>
                <c:pt idx="0">
                  <c:v>3.3333333333333333E-2</c:v>
                </c:pt>
                <c:pt idx="1">
                  <c:v>3.3333333333333333E-2</c:v>
                </c:pt>
                <c:pt idx="2">
                  <c:v>3.3333333333333333E-2</c:v>
                </c:pt>
                <c:pt idx="3">
                  <c:v>3.3333333333333333E-2</c:v>
                </c:pt>
                <c:pt idx="4">
                  <c:v>6.6666666666666666E-2</c:v>
                </c:pt>
                <c:pt idx="5">
                  <c:v>0.23333333333333334</c:v>
                </c:pt>
                <c:pt idx="6">
                  <c:v>0.23333333333333334</c:v>
                </c:pt>
                <c:pt idx="7">
                  <c:v>0.23333333333333334</c:v>
                </c:pt>
                <c:pt idx="8">
                  <c:v>0.23333333333333334</c:v>
                </c:pt>
                <c:pt idx="9">
                  <c:v>0.23333333333333334</c:v>
                </c:pt>
                <c:pt idx="10">
                  <c:v>0.3</c:v>
                </c:pt>
                <c:pt idx="11">
                  <c:v>0.4</c:v>
                </c:pt>
                <c:pt idx="12">
                  <c:v>0.4</c:v>
                </c:pt>
                <c:pt idx="13">
                  <c:v>0.6333333333333333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E4-474F-8D5C-A1CA5AA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6256"/>
        <c:axId val="415006736"/>
      </c:scatterChart>
      <c:valAx>
        <c:axId val="415006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6736"/>
        <c:crosses val="autoZero"/>
        <c:crossBetween val="midCat"/>
      </c:valAx>
      <c:valAx>
        <c:axId val="415006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6-4E17-9D13-4D83C5D2DD0B}"/>
            </c:ext>
          </c:extLst>
        </c:ser>
        <c:ser>
          <c:idx val="1"/>
          <c:order val="1"/>
          <c:tx>
            <c:strRef>
              <c:f>CONGONHAS!$K$1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CONGONHAS!$K$2:$K$7</c:f>
              <c:numCache>
                <c:formatCode>0.00</c:formatCode>
                <c:ptCount val="6"/>
                <c:pt idx="0">
                  <c:v>9.4043887147335428E-3</c:v>
                </c:pt>
                <c:pt idx="1">
                  <c:v>3.1347962382445138E-2</c:v>
                </c:pt>
                <c:pt idx="2">
                  <c:v>5.329153605015674E-2</c:v>
                </c:pt>
                <c:pt idx="3">
                  <c:v>0.17241379310344829</c:v>
                </c:pt>
                <c:pt idx="4">
                  <c:v>0.39811912225705332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6-4E17-9D13-4D83C5D2DD0B}"/>
            </c:ext>
          </c:extLst>
        </c:ser>
        <c:ser>
          <c:idx val="2"/>
          <c:order val="2"/>
          <c:tx>
            <c:strRef>
              <c:f>CONGONHAS!$L$1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CONGONHAS!$L$2:$L$7</c:f>
              <c:numCache>
                <c:formatCode>0.00</c:formatCode>
                <c:ptCount val="6"/>
                <c:pt idx="0">
                  <c:v>1.3422818791946308E-2</c:v>
                </c:pt>
                <c:pt idx="1">
                  <c:v>3.3557046979865772E-2</c:v>
                </c:pt>
                <c:pt idx="2">
                  <c:v>4.6979865771812082E-2</c:v>
                </c:pt>
                <c:pt idx="3">
                  <c:v>0.18791946308724833</c:v>
                </c:pt>
                <c:pt idx="4">
                  <c:v>0.40939597315436244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6-4E17-9D13-4D83C5D2DD0B}"/>
            </c:ext>
          </c:extLst>
        </c:ser>
        <c:ser>
          <c:idx val="3"/>
          <c:order val="3"/>
          <c:tx>
            <c:strRef>
              <c:f>CONGONHAS!$M$1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CONGONHAS!$M$2:$M$7</c:f>
              <c:numCache>
                <c:formatCode>0.00</c:formatCode>
                <c:ptCount val="6"/>
                <c:pt idx="0">
                  <c:v>1.2422360248447204E-2</c:v>
                </c:pt>
                <c:pt idx="1">
                  <c:v>1.2422360248447204E-2</c:v>
                </c:pt>
                <c:pt idx="2">
                  <c:v>3.7267080745341616E-2</c:v>
                </c:pt>
                <c:pt idx="3">
                  <c:v>0.12422360248447205</c:v>
                </c:pt>
                <c:pt idx="4">
                  <c:v>0.48447204968944102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6-4E17-9D13-4D83C5D2D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13488"/>
        <c:axId val="144621648"/>
      </c:scatterChart>
      <c:valAx>
        <c:axId val="144613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21648"/>
        <c:crosses val="autoZero"/>
        <c:crossBetween val="midCat"/>
      </c:valAx>
      <c:valAx>
        <c:axId val="14462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1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0-44F0-BA65-26372300051C}"/>
            </c:ext>
          </c:extLst>
        </c:ser>
        <c:ser>
          <c:idx val="1"/>
          <c:order val="1"/>
          <c:tx>
            <c:strRef>
              <c:f>CONGONHAS!$N$1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CONGONHAS!$N$2:$N$7</c:f>
              <c:numCache>
                <c:formatCode>0.00</c:formatCode>
                <c:ptCount val="6"/>
                <c:pt idx="0">
                  <c:v>2.616279069767442E-2</c:v>
                </c:pt>
                <c:pt idx="1">
                  <c:v>9.0116279069767449E-2</c:v>
                </c:pt>
                <c:pt idx="2">
                  <c:v>0.12790697674418605</c:v>
                </c:pt>
                <c:pt idx="3">
                  <c:v>0.25</c:v>
                </c:pt>
                <c:pt idx="4">
                  <c:v>0.59011627906976738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00-44F0-BA65-26372300051C}"/>
            </c:ext>
          </c:extLst>
        </c:ser>
        <c:ser>
          <c:idx val="2"/>
          <c:order val="2"/>
          <c:tx>
            <c:strRef>
              <c:f>CONGONHAS!$O$1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CONGONHAS!$O$2:$O$7</c:f>
              <c:numCache>
                <c:formatCode>0.00</c:formatCode>
                <c:ptCount val="6"/>
                <c:pt idx="0">
                  <c:v>3.3175355450236969E-2</c:v>
                </c:pt>
                <c:pt idx="1">
                  <c:v>6.1611374407582936E-2</c:v>
                </c:pt>
                <c:pt idx="2">
                  <c:v>0.14218009478672985</c:v>
                </c:pt>
                <c:pt idx="3">
                  <c:v>0.24644549763033174</c:v>
                </c:pt>
                <c:pt idx="4">
                  <c:v>0.62559241706161139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00-44F0-BA65-26372300051C}"/>
            </c:ext>
          </c:extLst>
        </c:ser>
        <c:ser>
          <c:idx val="3"/>
          <c:order val="3"/>
          <c:tx>
            <c:strRef>
              <c:f>CONGONHAS!$P$1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CONGONHAS!$P$2:$P$7</c:f>
              <c:numCache>
                <c:formatCode>0.00</c:formatCode>
                <c:ptCount val="6"/>
                <c:pt idx="0">
                  <c:v>3.0303030303030304E-2</c:v>
                </c:pt>
                <c:pt idx="1">
                  <c:v>8.0808080808080801E-2</c:v>
                </c:pt>
                <c:pt idx="2">
                  <c:v>0.15151515151515149</c:v>
                </c:pt>
                <c:pt idx="3">
                  <c:v>0.25252525252525249</c:v>
                </c:pt>
                <c:pt idx="4">
                  <c:v>0.58585858585858586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00-44F0-BA65-26372300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32096"/>
        <c:axId val="512125856"/>
      </c:scatterChart>
      <c:valAx>
        <c:axId val="5121320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2125856"/>
        <c:crosses val="autoZero"/>
        <c:crossBetween val="midCat"/>
      </c:valAx>
      <c:valAx>
        <c:axId val="512125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213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0B-4E63-B13D-4D24014C3AE0}"/>
            </c:ext>
          </c:extLst>
        </c:ser>
        <c:ser>
          <c:idx val="1"/>
          <c:order val="1"/>
          <c:tx>
            <c:strRef>
              <c:f>'C. LAFAIETE'!$K$1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LAFAIETE'!$K$2:$K$13</c:f>
              <c:numCache>
                <c:formatCode>0.00</c:formatCode>
                <c:ptCount val="12"/>
                <c:pt idx="0">
                  <c:v>0</c:v>
                </c:pt>
                <c:pt idx="1">
                  <c:v>2.6845637583892617E-2</c:v>
                </c:pt>
                <c:pt idx="2">
                  <c:v>3.3557046979865772E-2</c:v>
                </c:pt>
                <c:pt idx="3">
                  <c:v>5.3691275167785234E-2</c:v>
                </c:pt>
                <c:pt idx="4">
                  <c:v>5.3691275167785234E-2</c:v>
                </c:pt>
                <c:pt idx="5">
                  <c:v>7.3825503355704702E-2</c:v>
                </c:pt>
                <c:pt idx="6">
                  <c:v>9.3959731543624164E-2</c:v>
                </c:pt>
                <c:pt idx="7">
                  <c:v>0.12751677852348994</c:v>
                </c:pt>
                <c:pt idx="8">
                  <c:v>0.1476510067114094</c:v>
                </c:pt>
                <c:pt idx="9">
                  <c:v>0.17449664429530201</c:v>
                </c:pt>
                <c:pt idx="10">
                  <c:v>0.25503355704697983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0B-4E63-B13D-4D24014C3AE0}"/>
            </c:ext>
          </c:extLst>
        </c:ser>
        <c:ser>
          <c:idx val="2"/>
          <c:order val="2"/>
          <c:tx>
            <c:strRef>
              <c:f>'C. LAFAIETE'!$L$1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LAFAIETE'!$L$2:$L$13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1.2048192771084338E-2</c:v>
                </c:pt>
                <c:pt idx="4">
                  <c:v>1.2048192771084338E-2</c:v>
                </c:pt>
                <c:pt idx="5">
                  <c:v>3.6144578313253017E-2</c:v>
                </c:pt>
                <c:pt idx="6">
                  <c:v>3.6144578313253017E-2</c:v>
                </c:pt>
                <c:pt idx="7">
                  <c:v>3.6144578313253017E-2</c:v>
                </c:pt>
                <c:pt idx="8">
                  <c:v>4.8192771084337352E-2</c:v>
                </c:pt>
                <c:pt idx="9">
                  <c:v>4.8192771084337352E-2</c:v>
                </c:pt>
                <c:pt idx="10">
                  <c:v>7.2289156626506035E-2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0B-4E63-B13D-4D24014C3AE0}"/>
            </c:ext>
          </c:extLst>
        </c:ser>
        <c:ser>
          <c:idx val="3"/>
          <c:order val="3"/>
          <c:tx>
            <c:strRef>
              <c:f>'C. LAFAIETE'!$M$1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LAFAIETE'!$M$2:$M$13</c:f>
              <c:numCache>
                <c:formatCode>0.00</c:formatCode>
                <c:ptCount val="12"/>
                <c:pt idx="0">
                  <c:v>8.1967213114754103E-3</c:v>
                </c:pt>
                <c:pt idx="1">
                  <c:v>1.6393442622950821E-2</c:v>
                </c:pt>
                <c:pt idx="2">
                  <c:v>6.5573770491803282E-2</c:v>
                </c:pt>
                <c:pt idx="3">
                  <c:v>6.5573770491803282E-2</c:v>
                </c:pt>
                <c:pt idx="4">
                  <c:v>9.0163934426229511E-2</c:v>
                </c:pt>
                <c:pt idx="5">
                  <c:v>9.0163934426229511E-2</c:v>
                </c:pt>
                <c:pt idx="6">
                  <c:v>0.10655737704918034</c:v>
                </c:pt>
                <c:pt idx="7">
                  <c:v>0.15573770491803279</c:v>
                </c:pt>
                <c:pt idx="8">
                  <c:v>0.1721311475409836</c:v>
                </c:pt>
                <c:pt idx="9">
                  <c:v>0.18032786885245902</c:v>
                </c:pt>
                <c:pt idx="10">
                  <c:v>0.20491803278688525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0B-4E63-B13D-4D24014C3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38928"/>
        <c:axId val="144639408"/>
      </c:scatterChart>
      <c:valAx>
        <c:axId val="144638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39408"/>
        <c:crosses val="autoZero"/>
        <c:crossBetween val="midCat"/>
      </c:valAx>
      <c:valAx>
        <c:axId val="1446394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3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A-4500-8A4E-A8179F7A2773}"/>
            </c:ext>
          </c:extLst>
        </c:ser>
        <c:ser>
          <c:idx val="1"/>
          <c:order val="1"/>
          <c:tx>
            <c:strRef>
              <c:f>'C. LAFAIETE'!$N$1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LAFAIETE'!$N$2:$N$13</c:f>
              <c:numCache>
                <c:formatCode>0.00</c:formatCode>
                <c:ptCount val="12"/>
                <c:pt idx="0">
                  <c:v>1.2195121951219513E-2</c:v>
                </c:pt>
                <c:pt idx="1">
                  <c:v>2.4390243902439025E-2</c:v>
                </c:pt>
                <c:pt idx="2">
                  <c:v>4.573170731707317E-2</c:v>
                </c:pt>
                <c:pt idx="3">
                  <c:v>8.8414634146341459E-2</c:v>
                </c:pt>
                <c:pt idx="4">
                  <c:v>9.7560975609756087E-2</c:v>
                </c:pt>
                <c:pt idx="5">
                  <c:v>0.10670731707317072</c:v>
                </c:pt>
                <c:pt idx="6">
                  <c:v>0.11280487804878048</c:v>
                </c:pt>
                <c:pt idx="7">
                  <c:v>0.12804878048780488</c:v>
                </c:pt>
                <c:pt idx="8">
                  <c:v>0.14329268292682928</c:v>
                </c:pt>
                <c:pt idx="9">
                  <c:v>0.17378048780487806</c:v>
                </c:pt>
                <c:pt idx="10">
                  <c:v>0.26219512195121952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A-4500-8A4E-A8179F7A2773}"/>
            </c:ext>
          </c:extLst>
        </c:ser>
        <c:ser>
          <c:idx val="2"/>
          <c:order val="2"/>
          <c:tx>
            <c:strRef>
              <c:f>'C. LAFAIETE'!$O$1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LAFAIETE'!$O$2:$O$13</c:f>
              <c:numCache>
                <c:formatCode>0.00</c:formatCode>
                <c:ptCount val="12"/>
                <c:pt idx="0">
                  <c:v>2.2727272727272728E-2</c:v>
                </c:pt>
                <c:pt idx="1">
                  <c:v>3.787878787878788E-2</c:v>
                </c:pt>
                <c:pt idx="2">
                  <c:v>4.5454545454545456E-2</c:v>
                </c:pt>
                <c:pt idx="3">
                  <c:v>5.3030303030303032E-2</c:v>
                </c:pt>
                <c:pt idx="4">
                  <c:v>5.3030303030303032E-2</c:v>
                </c:pt>
                <c:pt idx="5">
                  <c:v>5.3030303030303032E-2</c:v>
                </c:pt>
                <c:pt idx="6">
                  <c:v>7.575757575757576E-2</c:v>
                </c:pt>
                <c:pt idx="7">
                  <c:v>8.3333333333333343E-2</c:v>
                </c:pt>
                <c:pt idx="8">
                  <c:v>9.8484848484848495E-2</c:v>
                </c:pt>
                <c:pt idx="9">
                  <c:v>0.14393939393939395</c:v>
                </c:pt>
                <c:pt idx="10">
                  <c:v>0.25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A-4500-8A4E-A8179F7A2773}"/>
            </c:ext>
          </c:extLst>
        </c:ser>
        <c:ser>
          <c:idx val="3"/>
          <c:order val="3"/>
          <c:tx>
            <c:strRef>
              <c:f>'C. LAFAIETE'!$P$1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LAFAIETE'!$P$2:$P$13</c:f>
              <c:numCache>
                <c:formatCode>0.00</c:formatCode>
                <c:ptCount val="12"/>
                <c:pt idx="0">
                  <c:v>1.3513513513513514E-2</c:v>
                </c:pt>
                <c:pt idx="1">
                  <c:v>2.7027027027027029E-2</c:v>
                </c:pt>
                <c:pt idx="2">
                  <c:v>2.7027027027027029E-2</c:v>
                </c:pt>
                <c:pt idx="3">
                  <c:v>5.4054054054054057E-2</c:v>
                </c:pt>
                <c:pt idx="4">
                  <c:v>5.4054054054054057E-2</c:v>
                </c:pt>
                <c:pt idx="5">
                  <c:v>5.4054054054054057E-2</c:v>
                </c:pt>
                <c:pt idx="6">
                  <c:v>8.1081081081081086E-2</c:v>
                </c:pt>
                <c:pt idx="7">
                  <c:v>0.10810810810810811</c:v>
                </c:pt>
                <c:pt idx="8">
                  <c:v>0.10810810810810811</c:v>
                </c:pt>
                <c:pt idx="9">
                  <c:v>0.10810810810810811</c:v>
                </c:pt>
                <c:pt idx="10">
                  <c:v>0.28378378378378377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DA-4500-8A4E-A8179F7A2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49392"/>
        <c:axId val="764542192"/>
      </c:scatterChart>
      <c:valAx>
        <c:axId val="764549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42192"/>
        <c:crosses val="autoZero"/>
        <c:crossBetween val="midCat"/>
      </c:valAx>
      <c:valAx>
        <c:axId val="764542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4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4-4898-A789-1EE31A07E269}"/>
            </c:ext>
          </c:extLst>
        </c:ser>
        <c:ser>
          <c:idx val="1"/>
          <c:order val="1"/>
          <c:tx>
            <c:strRef>
              <c:f>'SÃO JOÃO DEL REI'!$K$1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REI'!$K$2:$K$19</c:f>
              <c:numCache>
                <c:formatCode>0.00</c:formatCode>
                <c:ptCount val="18"/>
                <c:pt idx="0">
                  <c:v>1.2658227848101266E-2</c:v>
                </c:pt>
                <c:pt idx="1">
                  <c:v>2.5316455696202531E-2</c:v>
                </c:pt>
                <c:pt idx="2">
                  <c:v>4.2194092827004218E-2</c:v>
                </c:pt>
                <c:pt idx="3">
                  <c:v>4.2194092827004218E-2</c:v>
                </c:pt>
                <c:pt idx="4">
                  <c:v>7.5949367088607583E-2</c:v>
                </c:pt>
                <c:pt idx="5">
                  <c:v>8.4388185654008421E-2</c:v>
                </c:pt>
                <c:pt idx="6">
                  <c:v>0.14767932489451474</c:v>
                </c:pt>
                <c:pt idx="7">
                  <c:v>0.18565400843881855</c:v>
                </c:pt>
                <c:pt idx="8">
                  <c:v>0.1940928270042194</c:v>
                </c:pt>
                <c:pt idx="9">
                  <c:v>0.24050632911392406</c:v>
                </c:pt>
                <c:pt idx="10">
                  <c:v>0.28691983122362869</c:v>
                </c:pt>
                <c:pt idx="11">
                  <c:v>0.33333333333333331</c:v>
                </c:pt>
                <c:pt idx="12">
                  <c:v>0.34599156118143459</c:v>
                </c:pt>
                <c:pt idx="13">
                  <c:v>0.43881856540084385</c:v>
                </c:pt>
                <c:pt idx="14">
                  <c:v>0.48523206751054848</c:v>
                </c:pt>
                <c:pt idx="15">
                  <c:v>0.54852320675105481</c:v>
                </c:pt>
                <c:pt idx="16">
                  <c:v>0.64556962025316456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84-4898-A789-1EE31A07E269}"/>
            </c:ext>
          </c:extLst>
        </c:ser>
        <c:ser>
          <c:idx val="2"/>
          <c:order val="2"/>
          <c:tx>
            <c:strRef>
              <c:f>'SÃO JOÃO DEL REI'!$L$1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REI'!$L$2:$L$19</c:f>
              <c:numCache>
                <c:formatCode>0.00</c:formatCode>
                <c:ptCount val="18"/>
                <c:pt idx="0">
                  <c:v>1.2903225806451613E-2</c:v>
                </c:pt>
                <c:pt idx="1">
                  <c:v>3.870967741935484E-2</c:v>
                </c:pt>
                <c:pt idx="2">
                  <c:v>4.5161290322580649E-2</c:v>
                </c:pt>
                <c:pt idx="3">
                  <c:v>6.4516129032258063E-2</c:v>
                </c:pt>
                <c:pt idx="4">
                  <c:v>9.6774193548387094E-2</c:v>
                </c:pt>
                <c:pt idx="5">
                  <c:v>0.1032258064516129</c:v>
                </c:pt>
                <c:pt idx="6">
                  <c:v>0.2</c:v>
                </c:pt>
                <c:pt idx="7">
                  <c:v>0.21935483870967742</c:v>
                </c:pt>
                <c:pt idx="8">
                  <c:v>0.22580645161290322</c:v>
                </c:pt>
                <c:pt idx="9">
                  <c:v>0.24516129032258063</c:v>
                </c:pt>
                <c:pt idx="10">
                  <c:v>0.27741935483870966</c:v>
                </c:pt>
                <c:pt idx="11">
                  <c:v>0.3032258064516129</c:v>
                </c:pt>
                <c:pt idx="12">
                  <c:v>0.31612903225806449</c:v>
                </c:pt>
                <c:pt idx="13">
                  <c:v>0.41935483870967738</c:v>
                </c:pt>
                <c:pt idx="14">
                  <c:v>0.47741935483870962</c:v>
                </c:pt>
                <c:pt idx="15">
                  <c:v>0.56774193548387086</c:v>
                </c:pt>
                <c:pt idx="16">
                  <c:v>0.69677419354838699</c:v>
                </c:pt>
                <c:pt idx="1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84-4898-A789-1EE31A07E269}"/>
            </c:ext>
          </c:extLst>
        </c:ser>
        <c:ser>
          <c:idx val="3"/>
          <c:order val="3"/>
          <c:tx>
            <c:strRef>
              <c:f>'SÃO JOÃO DEL REI'!$M$1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REI'!$M$2:$M$19</c:f>
              <c:numCache>
                <c:formatCode>0.00</c:formatCode>
                <c:ptCount val="18"/>
                <c:pt idx="0">
                  <c:v>2.0134228187919462E-2</c:v>
                </c:pt>
                <c:pt idx="1">
                  <c:v>4.6979865771812082E-2</c:v>
                </c:pt>
                <c:pt idx="2">
                  <c:v>6.0402684563758392E-2</c:v>
                </c:pt>
                <c:pt idx="3">
                  <c:v>6.0402684563758392E-2</c:v>
                </c:pt>
                <c:pt idx="4">
                  <c:v>8.0536912751677847E-2</c:v>
                </c:pt>
                <c:pt idx="5">
                  <c:v>0.12751677852348992</c:v>
                </c:pt>
                <c:pt idx="6">
                  <c:v>0.20134228187919462</c:v>
                </c:pt>
                <c:pt idx="7">
                  <c:v>0.24832214765100669</c:v>
                </c:pt>
                <c:pt idx="8">
                  <c:v>0.25503355704697983</c:v>
                </c:pt>
                <c:pt idx="9">
                  <c:v>0.32214765100671139</c:v>
                </c:pt>
                <c:pt idx="10">
                  <c:v>0.38926174496644295</c:v>
                </c:pt>
                <c:pt idx="11">
                  <c:v>0.41610738255033558</c:v>
                </c:pt>
                <c:pt idx="12">
                  <c:v>0.43624161073825507</c:v>
                </c:pt>
                <c:pt idx="13">
                  <c:v>0.49664429530201348</c:v>
                </c:pt>
                <c:pt idx="14">
                  <c:v>0.52348993288590606</c:v>
                </c:pt>
                <c:pt idx="15">
                  <c:v>0.55033557046979864</c:v>
                </c:pt>
                <c:pt idx="16">
                  <c:v>0.65100671140939592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84-4898-A789-1EE31A07E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49520"/>
        <c:axId val="893253840"/>
      </c:scatterChart>
      <c:valAx>
        <c:axId val="893249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53840"/>
        <c:crosses val="autoZero"/>
        <c:crossBetween val="midCat"/>
      </c:valAx>
      <c:valAx>
        <c:axId val="8932538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49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8-4E4C-B167-B9830279D0A5}"/>
            </c:ext>
          </c:extLst>
        </c:ser>
        <c:ser>
          <c:idx val="1"/>
          <c:order val="1"/>
          <c:tx>
            <c:strRef>
              <c:f>'SÃO JOÃO DEL REI'!$N$1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REI'!$N$2:$N$19</c:f>
              <c:numCache>
                <c:formatCode>0.00</c:formatCode>
                <c:ptCount val="18"/>
                <c:pt idx="0">
                  <c:v>2.5974025974025976E-2</c:v>
                </c:pt>
                <c:pt idx="1">
                  <c:v>4.7619047619047616E-2</c:v>
                </c:pt>
                <c:pt idx="2">
                  <c:v>6.0606060606060608E-2</c:v>
                </c:pt>
                <c:pt idx="3">
                  <c:v>8.658008658008659E-2</c:v>
                </c:pt>
                <c:pt idx="4">
                  <c:v>0.11688311688311689</c:v>
                </c:pt>
                <c:pt idx="5">
                  <c:v>0.13419913419913421</c:v>
                </c:pt>
                <c:pt idx="6">
                  <c:v>0.17316017316017318</c:v>
                </c:pt>
                <c:pt idx="7">
                  <c:v>0.1774891774891775</c:v>
                </c:pt>
                <c:pt idx="8">
                  <c:v>0.18181818181818182</c:v>
                </c:pt>
                <c:pt idx="9">
                  <c:v>0.27272727272727271</c:v>
                </c:pt>
                <c:pt idx="10">
                  <c:v>0.32467532467532467</c:v>
                </c:pt>
                <c:pt idx="11">
                  <c:v>0.37662337662337664</c:v>
                </c:pt>
                <c:pt idx="12">
                  <c:v>0.41558441558441561</c:v>
                </c:pt>
                <c:pt idx="13">
                  <c:v>0.48051948051948057</c:v>
                </c:pt>
                <c:pt idx="14">
                  <c:v>0.54112554112554112</c:v>
                </c:pt>
                <c:pt idx="15">
                  <c:v>0.58874458874458879</c:v>
                </c:pt>
                <c:pt idx="16">
                  <c:v>0.71861471861471871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8-4E4C-B167-B9830279D0A5}"/>
            </c:ext>
          </c:extLst>
        </c:ser>
        <c:ser>
          <c:idx val="2"/>
          <c:order val="2"/>
          <c:tx>
            <c:strRef>
              <c:f>'SÃO JOÃO DEL REI'!$O$1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REI'!$O$2:$O$19</c:f>
              <c:numCache>
                <c:formatCode>0.00</c:formatCode>
                <c:ptCount val="18"/>
                <c:pt idx="0">
                  <c:v>2.1052631578947368E-2</c:v>
                </c:pt>
                <c:pt idx="1">
                  <c:v>4.2105263157894736E-2</c:v>
                </c:pt>
                <c:pt idx="2">
                  <c:v>6.3157894736842107E-2</c:v>
                </c:pt>
                <c:pt idx="3">
                  <c:v>7.3684210526315796E-2</c:v>
                </c:pt>
                <c:pt idx="4">
                  <c:v>0.1</c:v>
                </c:pt>
                <c:pt idx="5">
                  <c:v>0.10526315789473685</c:v>
                </c:pt>
                <c:pt idx="6">
                  <c:v>0.14210526315789473</c:v>
                </c:pt>
                <c:pt idx="7">
                  <c:v>0.15789473684210525</c:v>
                </c:pt>
                <c:pt idx="8">
                  <c:v>0.16315789473684209</c:v>
                </c:pt>
                <c:pt idx="9">
                  <c:v>0.18947368421052629</c:v>
                </c:pt>
                <c:pt idx="10">
                  <c:v>0.22105263157894733</c:v>
                </c:pt>
                <c:pt idx="11">
                  <c:v>0.24736842105263154</c:v>
                </c:pt>
                <c:pt idx="12">
                  <c:v>0.28421052631578941</c:v>
                </c:pt>
                <c:pt idx="13">
                  <c:v>0.36842105263157887</c:v>
                </c:pt>
                <c:pt idx="14">
                  <c:v>0.42631578947368415</c:v>
                </c:pt>
                <c:pt idx="15">
                  <c:v>0.48947368421052628</c:v>
                </c:pt>
                <c:pt idx="16">
                  <c:v>0.67894736842105263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98-4E4C-B167-B9830279D0A5}"/>
            </c:ext>
          </c:extLst>
        </c:ser>
        <c:ser>
          <c:idx val="3"/>
          <c:order val="3"/>
          <c:tx>
            <c:strRef>
              <c:f>'SÃO JOÃO DEL REI'!$P$1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REI'!$P$2:$P$19</c:f>
              <c:numCache>
                <c:formatCode>0.00</c:formatCode>
                <c:ptCount val="18"/>
                <c:pt idx="0">
                  <c:v>2.9126213592233011E-2</c:v>
                </c:pt>
                <c:pt idx="1">
                  <c:v>5.8252427184466021E-2</c:v>
                </c:pt>
                <c:pt idx="2">
                  <c:v>8.7378640776699032E-2</c:v>
                </c:pt>
                <c:pt idx="3">
                  <c:v>9.7087378640776698E-2</c:v>
                </c:pt>
                <c:pt idx="4">
                  <c:v>0.12621359223300971</c:v>
                </c:pt>
                <c:pt idx="5">
                  <c:v>0.14563106796116504</c:v>
                </c:pt>
                <c:pt idx="6">
                  <c:v>0.1941747572815534</c:v>
                </c:pt>
                <c:pt idx="7">
                  <c:v>0.21359223300970873</c:v>
                </c:pt>
                <c:pt idx="8">
                  <c:v>0.21359223300970873</c:v>
                </c:pt>
                <c:pt idx="9">
                  <c:v>0.23300970873786406</c:v>
                </c:pt>
                <c:pt idx="10">
                  <c:v>0.29126213592233008</c:v>
                </c:pt>
                <c:pt idx="11">
                  <c:v>0.33980582524271841</c:v>
                </c:pt>
                <c:pt idx="12">
                  <c:v>0.38834951456310673</c:v>
                </c:pt>
                <c:pt idx="13">
                  <c:v>0.43689320388349506</c:v>
                </c:pt>
                <c:pt idx="14">
                  <c:v>0.48543689320388339</c:v>
                </c:pt>
                <c:pt idx="15">
                  <c:v>0.60194174757281549</c:v>
                </c:pt>
                <c:pt idx="16">
                  <c:v>0.67961165048543681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98-4E4C-B167-B9830279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25952"/>
        <c:axId val="618426912"/>
      </c:scatterChart>
      <c:valAx>
        <c:axId val="6184259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26912"/>
        <c:crosses val="autoZero"/>
        <c:crossBetween val="midCat"/>
      </c:valAx>
      <c:valAx>
        <c:axId val="6184269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2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72390</xdr:rowOff>
    </xdr:from>
    <xdr:to>
      <xdr:col>23</xdr:col>
      <xdr:colOff>396240</xdr:colOff>
      <xdr:row>14</xdr:row>
      <xdr:rowOff>110490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CEFCE75-7FF7-C3E6-9424-DD4CC136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140970</xdr:rowOff>
    </xdr:from>
    <xdr:to>
      <xdr:col>23</xdr:col>
      <xdr:colOff>396240</xdr:colOff>
      <xdr:row>29</xdr:row>
      <xdr:rowOff>140970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7079750-0BCA-4140-93AF-C023B11D2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0</xdr:row>
      <xdr:rowOff>26670</xdr:rowOff>
    </xdr:from>
    <xdr:to>
      <xdr:col>23</xdr:col>
      <xdr:colOff>342900</xdr:colOff>
      <xdr:row>14</xdr:row>
      <xdr:rowOff>64770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BEAC3CE-987C-8B9E-A93F-31EE18CA4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14</xdr:row>
      <xdr:rowOff>118110</xdr:rowOff>
    </xdr:from>
    <xdr:to>
      <xdr:col>23</xdr:col>
      <xdr:colOff>350520</xdr:colOff>
      <xdr:row>29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CE321A-1570-A6C0-79EC-7A3CBF3ED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95250</xdr:rowOff>
    </xdr:from>
    <xdr:to>
      <xdr:col>23</xdr:col>
      <xdr:colOff>396240</xdr:colOff>
      <xdr:row>13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193A613-BCB2-B1A7-CC7F-2F17E269A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34290</xdr:rowOff>
    </xdr:from>
    <xdr:to>
      <xdr:col>23</xdr:col>
      <xdr:colOff>403860</xdr:colOff>
      <xdr:row>28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D9D668-4055-3348-6278-AD38CD47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49530</xdr:rowOff>
    </xdr:from>
    <xdr:to>
      <xdr:col>23</xdr:col>
      <xdr:colOff>373380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355D4C-1EAC-6765-B533-EEE2A22C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171450</xdr:rowOff>
    </xdr:from>
    <xdr:to>
      <xdr:col>23</xdr:col>
      <xdr:colOff>396240</xdr:colOff>
      <xdr:row>27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253E586-256A-DF5B-11D0-062670CE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D3A1-19CF-4738-8583-70DD9B489537}">
  <dimension ref="A1:P35"/>
  <sheetViews>
    <sheetView tabSelected="1" workbookViewId="0">
      <selection activeCell="J2" sqref="J2:P2"/>
    </sheetView>
  </sheetViews>
  <sheetFormatPr defaultRowHeight="14.4" x14ac:dyDescent="0.3"/>
  <cols>
    <col min="3" max="3" width="13.33203125" customWidth="1"/>
    <col min="4" max="4" width="14.44140625" customWidth="1"/>
    <col min="5" max="8" width="14" customWidth="1"/>
    <col min="11" max="13" width="9.6640625" customWidth="1"/>
  </cols>
  <sheetData>
    <row r="1" spans="1:16" ht="25.95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9</v>
      </c>
      <c r="B2" s="17">
        <v>6.3075087211598834E-3</v>
      </c>
      <c r="C2" s="17">
        <v>1.282051282051282E-2</v>
      </c>
      <c r="D2" s="17">
        <v>1.3698630136986301E-2</v>
      </c>
      <c r="E2" s="17">
        <v>0</v>
      </c>
      <c r="F2" s="17">
        <v>4.7619047619047623E-3</v>
      </c>
      <c r="G2" s="17">
        <v>0</v>
      </c>
      <c r="H2" s="17">
        <v>3.3333333333333333E-2</v>
      </c>
      <c r="I2" s="9">
        <v>6.3075087211598834E-3</v>
      </c>
      <c r="J2" s="18">
        <v>6.3075087211598834E-3</v>
      </c>
      <c r="K2" s="18">
        <v>1.282051282051282E-2</v>
      </c>
      <c r="L2" s="18">
        <v>1.3698630136986301E-2</v>
      </c>
      <c r="M2" s="18">
        <v>0</v>
      </c>
      <c r="N2" s="18">
        <v>4.7619047619047623E-3</v>
      </c>
      <c r="O2" s="18">
        <v>0</v>
      </c>
      <c r="P2" s="18">
        <v>3.3333333333333333E-2</v>
      </c>
    </row>
    <row r="3" spans="1:16" x14ac:dyDescent="0.3">
      <c r="A3" s="8" t="s">
        <v>13</v>
      </c>
      <c r="B3" s="17">
        <v>1.0369760547510052E-2</v>
      </c>
      <c r="C3" s="17">
        <v>8.5470085470085479E-3</v>
      </c>
      <c r="D3" s="17">
        <v>0</v>
      </c>
      <c r="E3" s="17">
        <v>0</v>
      </c>
      <c r="F3" s="17">
        <v>1.9047619047619049E-2</v>
      </c>
      <c r="G3" s="17">
        <v>6.1643835616438353E-2</v>
      </c>
      <c r="H3" s="17">
        <v>0</v>
      </c>
      <c r="I3" s="9">
        <v>1.6677269268669935E-2</v>
      </c>
      <c r="J3" s="9">
        <f>J2+B3</f>
        <v>1.6677269268669935E-2</v>
      </c>
      <c r="K3" s="9">
        <f t="shared" ref="K3:P16" si="0">K2+C3</f>
        <v>2.1367521367521368E-2</v>
      </c>
      <c r="L3" s="9">
        <f t="shared" si="0"/>
        <v>1.3698630136986301E-2</v>
      </c>
      <c r="M3" s="9">
        <f t="shared" si="0"/>
        <v>0</v>
      </c>
      <c r="N3" s="9">
        <f t="shared" si="0"/>
        <v>2.3809523809523812E-2</v>
      </c>
      <c r="O3" s="9">
        <f t="shared" si="0"/>
        <v>6.1643835616438353E-2</v>
      </c>
      <c r="P3" s="9">
        <f t="shared" si="0"/>
        <v>3.3333333333333333E-2</v>
      </c>
    </row>
    <row r="4" spans="1:16" x14ac:dyDescent="0.3">
      <c r="A4" s="8" t="s">
        <v>7</v>
      </c>
      <c r="B4" s="17">
        <v>1.1920650958184169E-2</v>
      </c>
      <c r="C4" s="17">
        <v>2.1367521367521368E-2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9">
        <v>2.8597920226854104E-2</v>
      </c>
      <c r="J4" s="9">
        <f t="shared" ref="J4:J16" si="1">J3+B4</f>
        <v>2.8597920226854104E-2</v>
      </c>
      <c r="K4" s="9">
        <f t="shared" si="0"/>
        <v>4.2735042735042736E-2</v>
      </c>
      <c r="L4" s="9">
        <f t="shared" si="0"/>
        <v>1.3698630136986301E-2</v>
      </c>
      <c r="M4" s="9">
        <f t="shared" si="0"/>
        <v>0</v>
      </c>
      <c r="N4" s="9">
        <f t="shared" si="0"/>
        <v>2.3809523809523812E-2</v>
      </c>
      <c r="O4" s="9">
        <f t="shared" si="0"/>
        <v>6.1643835616438353E-2</v>
      </c>
      <c r="P4" s="9">
        <f t="shared" si="0"/>
        <v>3.3333333333333333E-2</v>
      </c>
    </row>
    <row r="5" spans="1:16" x14ac:dyDescent="0.3">
      <c r="A5" s="8" t="s">
        <v>12</v>
      </c>
      <c r="B5" s="17">
        <v>1.4053645008253398E-2</v>
      </c>
      <c r="C5" s="17">
        <v>2.1367521367521368E-2</v>
      </c>
      <c r="D5" s="17">
        <v>0</v>
      </c>
      <c r="E5" s="17">
        <v>1.7857142857142856E-2</v>
      </c>
      <c r="F5" s="17">
        <v>0</v>
      </c>
      <c r="G5" s="17">
        <v>6.8493150684931503E-3</v>
      </c>
      <c r="H5" s="17">
        <v>0</v>
      </c>
      <c r="I5" s="9">
        <v>4.2651565235107505E-2</v>
      </c>
      <c r="J5" s="9">
        <f t="shared" si="1"/>
        <v>4.2651565235107505E-2</v>
      </c>
      <c r="K5" s="9">
        <f t="shared" si="0"/>
        <v>6.4102564102564097E-2</v>
      </c>
      <c r="L5" s="9">
        <f t="shared" si="0"/>
        <v>1.3698630136986301E-2</v>
      </c>
      <c r="M5" s="9">
        <f t="shared" si="0"/>
        <v>1.7857142857142856E-2</v>
      </c>
      <c r="N5" s="9">
        <f t="shared" si="0"/>
        <v>2.3809523809523812E-2</v>
      </c>
      <c r="O5" s="9">
        <f t="shared" si="0"/>
        <v>6.8493150684931503E-2</v>
      </c>
      <c r="P5" s="9">
        <f t="shared" si="0"/>
        <v>3.3333333333333333E-2</v>
      </c>
    </row>
    <row r="6" spans="1:16" x14ac:dyDescent="0.3">
      <c r="A6" s="8" t="s">
        <v>11</v>
      </c>
      <c r="B6" s="17">
        <v>1.823231756248259E-2</v>
      </c>
      <c r="C6" s="17">
        <v>0</v>
      </c>
      <c r="D6" s="17">
        <v>0</v>
      </c>
      <c r="E6" s="17">
        <v>0</v>
      </c>
      <c r="F6" s="17">
        <v>2.8571428571428571E-2</v>
      </c>
      <c r="G6" s="17">
        <v>4.7945205479452052E-2</v>
      </c>
      <c r="H6" s="17">
        <v>3.3333333333333333E-2</v>
      </c>
      <c r="I6" s="9">
        <v>6.0883882797590091E-2</v>
      </c>
      <c r="J6" s="9">
        <f t="shared" si="1"/>
        <v>6.0883882797590091E-2</v>
      </c>
      <c r="K6" s="9">
        <f t="shared" si="0"/>
        <v>6.4102564102564097E-2</v>
      </c>
      <c r="L6" s="9">
        <f t="shared" si="0"/>
        <v>1.3698630136986301E-2</v>
      </c>
      <c r="M6" s="9">
        <f t="shared" si="0"/>
        <v>1.7857142857142856E-2</v>
      </c>
      <c r="N6" s="9">
        <f t="shared" si="0"/>
        <v>5.2380952380952382E-2</v>
      </c>
      <c r="O6" s="9">
        <f t="shared" si="0"/>
        <v>0.11643835616438356</v>
      </c>
      <c r="P6" s="9">
        <f t="shared" si="0"/>
        <v>6.6666666666666666E-2</v>
      </c>
    </row>
    <row r="7" spans="1:16" x14ac:dyDescent="0.3">
      <c r="A7" s="8" t="s">
        <v>4</v>
      </c>
      <c r="B7" s="17">
        <v>1.9192788567484523E-2</v>
      </c>
      <c r="C7" s="17">
        <v>2.9914529914529916E-2</v>
      </c>
      <c r="D7" s="17">
        <v>2.7397260273972601E-2</v>
      </c>
      <c r="E7" s="17">
        <v>1.7857142857142856E-2</v>
      </c>
      <c r="F7" s="17">
        <v>1.9047619047619049E-2</v>
      </c>
      <c r="G7" s="17">
        <v>2.7397260273972601E-2</v>
      </c>
      <c r="H7" s="17">
        <v>0.16666666666666666</v>
      </c>
      <c r="I7" s="9">
        <v>8.0076671365074611E-2</v>
      </c>
      <c r="J7" s="9">
        <f t="shared" si="1"/>
        <v>8.0076671365074611E-2</v>
      </c>
      <c r="K7" s="9">
        <f t="shared" si="0"/>
        <v>9.4017094017094016E-2</v>
      </c>
      <c r="L7" s="9">
        <f t="shared" si="0"/>
        <v>4.1095890410958902E-2</v>
      </c>
      <c r="M7" s="9">
        <f t="shared" si="0"/>
        <v>3.5714285714285712E-2</v>
      </c>
      <c r="N7" s="9">
        <f t="shared" si="0"/>
        <v>7.1428571428571425E-2</v>
      </c>
      <c r="O7" s="9">
        <f t="shared" si="0"/>
        <v>0.14383561643835616</v>
      </c>
      <c r="P7" s="9">
        <f t="shared" si="0"/>
        <v>0.23333333333333334</v>
      </c>
    </row>
    <row r="8" spans="1:16" x14ac:dyDescent="0.3">
      <c r="A8" s="8" t="s">
        <v>10</v>
      </c>
      <c r="B8" s="17">
        <v>2.0065944026577191E-2</v>
      </c>
      <c r="C8" s="17">
        <v>3.4188034188034191E-2</v>
      </c>
      <c r="D8" s="17">
        <v>0</v>
      </c>
      <c r="E8" s="17">
        <v>0</v>
      </c>
      <c r="F8" s="17">
        <v>9.5238095238095247E-3</v>
      </c>
      <c r="G8" s="17">
        <v>2.0547945205479451E-2</v>
      </c>
      <c r="H8" s="17">
        <v>0</v>
      </c>
      <c r="I8" s="9">
        <v>0.1001426153916518</v>
      </c>
      <c r="J8" s="9">
        <f t="shared" si="1"/>
        <v>0.1001426153916518</v>
      </c>
      <c r="K8" s="9">
        <f t="shared" si="0"/>
        <v>0.12820512820512819</v>
      </c>
      <c r="L8" s="9">
        <f t="shared" si="0"/>
        <v>4.1095890410958902E-2</v>
      </c>
      <c r="M8" s="9">
        <f t="shared" si="0"/>
        <v>3.5714285714285712E-2</v>
      </c>
      <c r="N8" s="9">
        <f t="shared" si="0"/>
        <v>8.0952380952380942E-2</v>
      </c>
      <c r="O8" s="9">
        <f t="shared" si="0"/>
        <v>0.16438356164383561</v>
      </c>
      <c r="P8" s="9">
        <f t="shared" si="0"/>
        <v>0.23333333333333334</v>
      </c>
    </row>
    <row r="9" spans="1:16" x14ac:dyDescent="0.3">
      <c r="A9" s="8" t="s">
        <v>8</v>
      </c>
      <c r="B9" s="17">
        <v>2.0785257809544006E-2</v>
      </c>
      <c r="C9" s="17">
        <v>8.5470085470085479E-3</v>
      </c>
      <c r="D9" s="17">
        <v>4.1095890410958902E-2</v>
      </c>
      <c r="E9" s="17">
        <v>1.7857142857142856E-2</v>
      </c>
      <c r="F9" s="17">
        <v>4.7619047619047623E-3</v>
      </c>
      <c r="G9" s="17">
        <v>2.7397260273972601E-2</v>
      </c>
      <c r="H9" s="17">
        <v>0</v>
      </c>
      <c r="I9" s="9">
        <v>0.1209278732011958</v>
      </c>
      <c r="J9" s="9">
        <f t="shared" si="1"/>
        <v>0.1209278732011958</v>
      </c>
      <c r="K9" s="9">
        <f t="shared" si="0"/>
        <v>0.13675213675213674</v>
      </c>
      <c r="L9" s="9">
        <f t="shared" si="0"/>
        <v>8.2191780821917804E-2</v>
      </c>
      <c r="M9" s="9">
        <f t="shared" si="0"/>
        <v>5.3571428571428568E-2</v>
      </c>
      <c r="N9" s="9">
        <f t="shared" si="0"/>
        <v>8.5714285714285701E-2</v>
      </c>
      <c r="O9" s="9">
        <f t="shared" si="0"/>
        <v>0.19178082191780821</v>
      </c>
      <c r="P9" s="9">
        <f t="shared" si="0"/>
        <v>0.23333333333333334</v>
      </c>
    </row>
    <row r="10" spans="1:16" x14ac:dyDescent="0.3">
      <c r="A10" s="8" t="s">
        <v>6</v>
      </c>
      <c r="B10" s="17">
        <v>2.8319342056572158E-2</v>
      </c>
      <c r="C10" s="17">
        <v>6.4102564102564097E-2</v>
      </c>
      <c r="D10" s="17">
        <v>2.7397260273972601E-2</v>
      </c>
      <c r="E10" s="17">
        <v>1.7857142857142856E-2</v>
      </c>
      <c r="F10" s="17">
        <v>3.3333333333333333E-2</v>
      </c>
      <c r="G10" s="17">
        <v>2.0547945205479451E-2</v>
      </c>
      <c r="H10" s="17">
        <v>0</v>
      </c>
      <c r="I10" s="9">
        <v>0.14924721525776796</v>
      </c>
      <c r="J10" s="9">
        <f t="shared" si="1"/>
        <v>0.14924721525776796</v>
      </c>
      <c r="K10" s="9">
        <f t="shared" si="0"/>
        <v>0.20085470085470084</v>
      </c>
      <c r="L10" s="9">
        <f t="shared" si="0"/>
        <v>0.1095890410958904</v>
      </c>
      <c r="M10" s="9">
        <f t="shared" si="0"/>
        <v>7.1428571428571425E-2</v>
      </c>
      <c r="N10" s="9">
        <f t="shared" si="0"/>
        <v>0.11904761904761904</v>
      </c>
      <c r="O10" s="9">
        <f t="shared" si="0"/>
        <v>0.21232876712328766</v>
      </c>
      <c r="P10" s="9">
        <f t="shared" si="0"/>
        <v>0.23333333333333334</v>
      </c>
    </row>
    <row r="11" spans="1:16" x14ac:dyDescent="0.3">
      <c r="A11" s="8" t="s">
        <v>1</v>
      </c>
      <c r="B11" s="17">
        <v>2.9321391892959455E-2</v>
      </c>
      <c r="C11" s="17">
        <v>2.9914529914529916E-2</v>
      </c>
      <c r="D11" s="17">
        <v>2.7397260273972601E-2</v>
      </c>
      <c r="E11" s="17">
        <v>1.7857142857142856E-2</v>
      </c>
      <c r="F11" s="17">
        <v>0</v>
      </c>
      <c r="G11" s="17">
        <v>1.3698630136986301E-2</v>
      </c>
      <c r="H11" s="17">
        <v>0</v>
      </c>
      <c r="I11" s="9">
        <v>0.17856860715072742</v>
      </c>
      <c r="J11" s="9">
        <f t="shared" si="1"/>
        <v>0.17856860715072742</v>
      </c>
      <c r="K11" s="9">
        <f t="shared" si="0"/>
        <v>0.23076923076923075</v>
      </c>
      <c r="L11" s="9">
        <f t="shared" si="0"/>
        <v>0.13698630136986301</v>
      </c>
      <c r="M11" s="9">
        <f t="shared" si="0"/>
        <v>8.9285714285714274E-2</v>
      </c>
      <c r="N11" s="9">
        <f t="shared" si="0"/>
        <v>0.11904761904761904</v>
      </c>
      <c r="O11" s="9">
        <f t="shared" si="0"/>
        <v>0.22602739726027396</v>
      </c>
      <c r="P11" s="9">
        <f t="shared" si="0"/>
        <v>0.23333333333333334</v>
      </c>
    </row>
    <row r="12" spans="1:16" x14ac:dyDescent="0.3">
      <c r="A12" s="8" t="s">
        <v>14</v>
      </c>
      <c r="B12" s="17">
        <v>4.3549667993031387E-2</v>
      </c>
      <c r="C12" s="17">
        <v>2.9914529914529916E-2</v>
      </c>
      <c r="D12" s="17">
        <v>2.7397260273972601E-2</v>
      </c>
      <c r="E12" s="17">
        <v>7.1428571428571425E-2</v>
      </c>
      <c r="F12" s="17">
        <v>7.6190476190476197E-2</v>
      </c>
      <c r="G12" s="17">
        <v>2.7397260273972601E-2</v>
      </c>
      <c r="H12" s="17">
        <v>6.6666666666666666E-2</v>
      </c>
      <c r="I12" s="9">
        <v>0.22211827514375881</v>
      </c>
      <c r="J12" s="9">
        <f t="shared" si="1"/>
        <v>0.22211827514375881</v>
      </c>
      <c r="K12" s="9">
        <f t="shared" si="0"/>
        <v>0.26068376068376065</v>
      </c>
      <c r="L12" s="9">
        <f t="shared" si="0"/>
        <v>0.16438356164383561</v>
      </c>
      <c r="M12" s="9">
        <f t="shared" si="0"/>
        <v>0.1607142857142857</v>
      </c>
      <c r="N12" s="9">
        <f t="shared" si="0"/>
        <v>0.19523809523809524</v>
      </c>
      <c r="O12" s="9">
        <f t="shared" si="0"/>
        <v>0.25342465753424659</v>
      </c>
      <c r="P12" s="9">
        <f t="shared" si="0"/>
        <v>0.3</v>
      </c>
    </row>
    <row r="13" spans="1:16" x14ac:dyDescent="0.3">
      <c r="A13" s="8" t="s">
        <v>2</v>
      </c>
      <c r="B13" s="17">
        <v>4.4584980894526977E-2</v>
      </c>
      <c r="C13" s="17">
        <v>4.2735042735042736E-2</v>
      </c>
      <c r="D13" s="17">
        <v>4.1095890410958902E-2</v>
      </c>
      <c r="E13" s="17">
        <v>1.7857142857142856E-2</v>
      </c>
      <c r="F13" s="17">
        <v>5.7142857142857141E-2</v>
      </c>
      <c r="G13" s="17">
        <v>2.0547945205479451E-2</v>
      </c>
      <c r="H13" s="17">
        <v>0.1</v>
      </c>
      <c r="I13" s="9">
        <v>0.26670325603828582</v>
      </c>
      <c r="J13" s="9">
        <f t="shared" si="1"/>
        <v>0.26670325603828582</v>
      </c>
      <c r="K13" s="9">
        <f t="shared" si="0"/>
        <v>0.3034188034188034</v>
      </c>
      <c r="L13" s="9">
        <f t="shared" si="0"/>
        <v>0.20547945205479451</v>
      </c>
      <c r="M13" s="9">
        <f t="shared" si="0"/>
        <v>0.17857142857142855</v>
      </c>
      <c r="N13" s="9">
        <f t="shared" si="0"/>
        <v>0.25238095238095237</v>
      </c>
      <c r="O13" s="9">
        <f t="shared" si="0"/>
        <v>0.27397260273972601</v>
      </c>
      <c r="P13" s="9">
        <f t="shared" si="0"/>
        <v>0.4</v>
      </c>
    </row>
    <row r="14" spans="1:16" x14ac:dyDescent="0.3">
      <c r="A14" s="8" t="s">
        <v>3</v>
      </c>
      <c r="B14" s="17">
        <v>4.7695077482152286E-2</v>
      </c>
      <c r="C14" s="17">
        <v>2.564102564102564E-2</v>
      </c>
      <c r="D14" s="17">
        <v>1.3698630136986301E-2</v>
      </c>
      <c r="E14" s="17">
        <v>0</v>
      </c>
      <c r="F14" s="17">
        <v>1.4285714285714285E-2</v>
      </c>
      <c r="G14" s="17">
        <v>1.3698630136986301E-2</v>
      </c>
      <c r="H14" s="17">
        <v>0</v>
      </c>
      <c r="I14" s="9">
        <v>0.31439833352043811</v>
      </c>
      <c r="J14" s="9">
        <f t="shared" si="1"/>
        <v>0.31439833352043811</v>
      </c>
      <c r="K14" s="9">
        <f t="shared" si="0"/>
        <v>0.32905982905982906</v>
      </c>
      <c r="L14" s="9">
        <f t="shared" si="0"/>
        <v>0.21917808219178081</v>
      </c>
      <c r="M14" s="9">
        <f t="shared" si="0"/>
        <v>0.17857142857142855</v>
      </c>
      <c r="N14" s="9">
        <f t="shared" si="0"/>
        <v>0.26666666666666666</v>
      </c>
      <c r="O14" s="9">
        <f t="shared" si="0"/>
        <v>0.28767123287671231</v>
      </c>
      <c r="P14" s="9">
        <f t="shared" si="0"/>
        <v>0.4</v>
      </c>
    </row>
    <row r="15" spans="1:16" x14ac:dyDescent="0.3">
      <c r="A15" s="8" t="s">
        <v>5</v>
      </c>
      <c r="B15" s="17">
        <v>0.10740227935153654</v>
      </c>
      <c r="C15" s="17">
        <v>0.15811965811965811</v>
      </c>
      <c r="D15" s="17">
        <v>0.27397260273972601</v>
      </c>
      <c r="E15" s="17">
        <v>0.25</v>
      </c>
      <c r="F15" s="17">
        <v>0.2</v>
      </c>
      <c r="G15" s="17">
        <v>0.15753424657534246</v>
      </c>
      <c r="H15" s="17">
        <v>0.23333333333333334</v>
      </c>
      <c r="I15" s="9">
        <v>0.42180061287197468</v>
      </c>
      <c r="J15" s="9">
        <f t="shared" si="1"/>
        <v>0.42180061287197468</v>
      </c>
      <c r="K15" s="9">
        <f t="shared" si="0"/>
        <v>0.48717948717948717</v>
      </c>
      <c r="L15" s="9">
        <f t="shared" si="0"/>
        <v>0.49315068493150682</v>
      </c>
      <c r="M15" s="9">
        <f t="shared" si="0"/>
        <v>0.42857142857142855</v>
      </c>
      <c r="N15" s="9">
        <f t="shared" si="0"/>
        <v>0.46666666666666667</v>
      </c>
      <c r="O15" s="9">
        <f t="shared" si="0"/>
        <v>0.4452054794520548</v>
      </c>
      <c r="P15" s="9">
        <f t="shared" si="0"/>
        <v>0.6333333333333333</v>
      </c>
    </row>
    <row r="16" spans="1:16" x14ac:dyDescent="0.3">
      <c r="A16" s="8" t="s">
        <v>0</v>
      </c>
      <c r="B16" s="17">
        <v>0.57819938712802543</v>
      </c>
      <c r="C16" s="17">
        <v>0.51282051282051277</v>
      </c>
      <c r="D16" s="17">
        <v>0.50684931506849318</v>
      </c>
      <c r="E16" s="17">
        <v>0.5714285714285714</v>
      </c>
      <c r="F16" s="17">
        <v>0.53333333333333333</v>
      </c>
      <c r="G16" s="17">
        <v>0.5547945205479452</v>
      </c>
      <c r="H16" s="17">
        <v>0.36666666666666664</v>
      </c>
      <c r="I16" s="9">
        <v>1</v>
      </c>
      <c r="J16" s="9">
        <f t="shared" si="1"/>
        <v>1</v>
      </c>
      <c r="K16" s="9">
        <f t="shared" si="0"/>
        <v>1</v>
      </c>
      <c r="L16" s="9">
        <f t="shared" si="0"/>
        <v>1</v>
      </c>
      <c r="M16" s="9">
        <f t="shared" si="0"/>
        <v>1</v>
      </c>
      <c r="N16" s="9">
        <f t="shared" si="0"/>
        <v>1</v>
      </c>
      <c r="O16" s="9">
        <f t="shared" si="0"/>
        <v>1</v>
      </c>
      <c r="P16" s="9">
        <f t="shared" si="0"/>
        <v>1</v>
      </c>
    </row>
    <row r="18" spans="2:16" x14ac:dyDescent="0.3">
      <c r="B18" s="2" t="s">
        <v>15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J18" s="8"/>
      <c r="K18" s="10" t="s">
        <v>29</v>
      </c>
      <c r="L18" s="10" t="s">
        <v>30</v>
      </c>
      <c r="M18" s="10" t="s">
        <v>31</v>
      </c>
      <c r="N18" s="10" t="s">
        <v>32</v>
      </c>
      <c r="O18" s="10" t="s">
        <v>33</v>
      </c>
      <c r="P18" s="10" t="s">
        <v>34</v>
      </c>
    </row>
    <row r="19" spans="2:16" x14ac:dyDescent="0.3">
      <c r="B19" s="14" t="s">
        <v>9</v>
      </c>
      <c r="C19" s="9">
        <f>C2-B2</f>
        <v>6.5130040993529367E-3</v>
      </c>
      <c r="D19" s="9">
        <f>D2-B2</f>
        <v>7.3911214158264172E-3</v>
      </c>
      <c r="E19" s="9">
        <f>E2-B2</f>
        <v>-6.3075087211598834E-3</v>
      </c>
      <c r="F19" s="9">
        <f>F2-B2</f>
        <v>-1.5456039592551211E-3</v>
      </c>
      <c r="G19" s="9">
        <f>G2-B2</f>
        <v>-6.3075087211598834E-3</v>
      </c>
      <c r="H19" s="9">
        <f>H2-B2</f>
        <v>2.7025824612173448E-2</v>
      </c>
      <c r="J19" s="14" t="s">
        <v>9</v>
      </c>
      <c r="K19" s="8">
        <f>(J2-0) * ((K2+0))</f>
        <v>8.0865496425126706E-5</v>
      </c>
      <c r="L19" s="8">
        <f>(J2-0) * ((L2+0))</f>
        <v>8.6404229056984705E-5</v>
      </c>
      <c r="M19" s="8">
        <f>(J2-0) * ((M2+0))</f>
        <v>0</v>
      </c>
      <c r="N19" s="8">
        <f>(J2-0) * ((N2+0))</f>
        <v>3.0035755815047067E-5</v>
      </c>
      <c r="O19" s="8">
        <f>(J2-0) * ((O2+0))</f>
        <v>0</v>
      </c>
      <c r="P19" s="8">
        <f>(J2-0) * ((P2+0))</f>
        <v>2.1025029070532945E-4</v>
      </c>
    </row>
    <row r="20" spans="2:16" x14ac:dyDescent="0.3">
      <c r="B20" s="14" t="s">
        <v>13</v>
      </c>
      <c r="C20" s="9">
        <f t="shared" ref="C20:C33" si="2">C3-B3</f>
        <v>-1.8227520005015038E-3</v>
      </c>
      <c r="D20" s="9">
        <f t="shared" ref="D20:D33" si="3">D3-B3</f>
        <v>-1.0369760547510052E-2</v>
      </c>
      <c r="E20" s="9">
        <f t="shared" ref="E20:E32" si="4">E3-B3</f>
        <v>-1.0369760547510052E-2</v>
      </c>
      <c r="F20" s="9">
        <f t="shared" ref="F20:F33" si="5">F3-B3</f>
        <v>8.6778585001089977E-3</v>
      </c>
      <c r="G20" s="9">
        <f t="shared" ref="G20:G33" si="6">G3-B3</f>
        <v>5.1274075068928303E-2</v>
      </c>
      <c r="H20" s="9">
        <f t="shared" ref="H20:H33" si="7">H3-B3</f>
        <v>-1.0369760547510052E-2</v>
      </c>
      <c r="J20" s="14" t="s">
        <v>13</v>
      </c>
      <c r="K20" s="8">
        <f>(J3-J2) * ((K3+K2))</f>
        <v>3.5452172812000179E-4</v>
      </c>
      <c r="L20" s="8">
        <f>(J3-J2) * ((L3+L2))</f>
        <v>2.8410302869890552E-4</v>
      </c>
      <c r="M20" s="8">
        <f>(J3-J2) * ((M3+M2))</f>
        <v>0</v>
      </c>
      <c r="N20" s="8">
        <f>(J3-J2) * ((N3+N2))</f>
        <v>2.9627887278600148E-4</v>
      </c>
      <c r="O20" s="8">
        <f>(J3-J2) * ((O3+O2))</f>
        <v>6.3923181457253744E-4</v>
      </c>
      <c r="P20" s="8">
        <f>(J3-J2) * ((P3+P2))</f>
        <v>6.9131736983400348E-4</v>
      </c>
    </row>
    <row r="21" spans="2:16" x14ac:dyDescent="0.3">
      <c r="B21" s="14" t="s">
        <v>7</v>
      </c>
      <c r="C21" s="9">
        <f t="shared" si="2"/>
        <v>9.4468704093371991E-3</v>
      </c>
      <c r="D21" s="9">
        <f t="shared" si="3"/>
        <v>-1.1920650958184169E-2</v>
      </c>
      <c r="E21" s="9">
        <f t="shared" si="4"/>
        <v>-1.1920650958184169E-2</v>
      </c>
      <c r="F21" s="9">
        <f t="shared" si="5"/>
        <v>-1.1920650958184169E-2</v>
      </c>
      <c r="G21" s="9">
        <f t="shared" si="6"/>
        <v>-1.1920650958184169E-2</v>
      </c>
      <c r="H21" s="9">
        <f t="shared" si="7"/>
        <v>-1.1920650958184169E-2</v>
      </c>
      <c r="J21" s="14" t="s">
        <v>7</v>
      </c>
      <c r="K21" s="8">
        <f t="shared" ref="K21:K33" si="8">(J4-J3) * ((K4+K3))</f>
        <v>7.6414429219129278E-4</v>
      </c>
      <c r="L21" s="8">
        <f t="shared" ref="L21:L33" si="9">(J4-J3) * ((L4+L3))</f>
        <v>3.2659317693655256E-4</v>
      </c>
      <c r="M21" s="8">
        <f t="shared" ref="M21:M33" si="10">(J4-J3) * ((M4+M3))</f>
        <v>0</v>
      </c>
      <c r="N21" s="8">
        <f t="shared" ref="N21:N33" si="11">(J4-J3) * ((N4+N3))</f>
        <v>5.6765004562781766E-4</v>
      </c>
      <c r="O21" s="8">
        <f t="shared" ref="O21:O33" si="12">(J4-J3) * ((O4+O3))</f>
        <v>1.4696692962144866E-3</v>
      </c>
      <c r="P21" s="8">
        <f t="shared" ref="P21:P33" si="13">(J4-J3) * ((P4+P3))</f>
        <v>7.9471006387894457E-4</v>
      </c>
    </row>
    <row r="22" spans="2:16" x14ac:dyDescent="0.3">
      <c r="B22" s="14" t="s">
        <v>12</v>
      </c>
      <c r="C22" s="9">
        <f t="shared" si="2"/>
        <v>7.3138763592679699E-3</v>
      </c>
      <c r="D22" s="9">
        <f t="shared" si="3"/>
        <v>-1.4053645008253398E-2</v>
      </c>
      <c r="E22" s="9">
        <f t="shared" si="4"/>
        <v>3.8034978488894582E-3</v>
      </c>
      <c r="F22" s="9">
        <f t="shared" si="5"/>
        <v>-1.4053645008253398E-2</v>
      </c>
      <c r="G22" s="9">
        <f t="shared" si="6"/>
        <v>-7.2043299397602477E-3</v>
      </c>
      <c r="H22" s="9">
        <f t="shared" si="7"/>
        <v>-1.4053645008253398E-2</v>
      </c>
      <c r="J22" s="14" t="s">
        <v>12</v>
      </c>
      <c r="K22" s="8">
        <f t="shared" si="8"/>
        <v>1.5014578000270727E-3</v>
      </c>
      <c r="L22" s="8">
        <f t="shared" si="9"/>
        <v>3.8503137008913429E-4</v>
      </c>
      <c r="M22" s="8">
        <f t="shared" si="10"/>
        <v>2.5095794657595358E-4</v>
      </c>
      <c r="N22" s="8">
        <f t="shared" si="11"/>
        <v>6.6922119086920966E-4</v>
      </c>
      <c r="O22" s="8">
        <f t="shared" si="12"/>
        <v>1.8288990079233878E-3</v>
      </c>
      <c r="P22" s="8">
        <f t="shared" si="13"/>
        <v>9.3690966721689337E-4</v>
      </c>
    </row>
    <row r="23" spans="2:16" x14ac:dyDescent="0.3">
      <c r="B23" s="14" t="s">
        <v>11</v>
      </c>
      <c r="C23" s="9">
        <f t="shared" si="2"/>
        <v>-1.823231756248259E-2</v>
      </c>
      <c r="D23" s="9">
        <f t="shared" si="3"/>
        <v>-1.823231756248259E-2</v>
      </c>
      <c r="E23" s="9">
        <f t="shared" si="4"/>
        <v>-1.823231756248259E-2</v>
      </c>
      <c r="F23" s="9">
        <f t="shared" si="5"/>
        <v>1.0339111008945981E-2</v>
      </c>
      <c r="G23" s="9">
        <f t="shared" si="6"/>
        <v>2.9712887916969462E-2</v>
      </c>
      <c r="H23" s="9">
        <f t="shared" si="7"/>
        <v>1.5101015770850743E-2</v>
      </c>
      <c r="J23" s="14" t="s">
        <v>11</v>
      </c>
      <c r="K23" s="8">
        <f t="shared" si="8"/>
        <v>2.3374766105746904E-3</v>
      </c>
      <c r="L23" s="8">
        <f t="shared" si="9"/>
        <v>4.9951554965705714E-4</v>
      </c>
      <c r="M23" s="8">
        <f t="shared" si="10"/>
        <v>6.5115419866009232E-4</v>
      </c>
      <c r="N23" s="8">
        <f t="shared" si="11"/>
        <v>1.3891289571415304E-3</v>
      </c>
      <c r="O23" s="8">
        <f t="shared" si="12"/>
        <v>3.3717299601851358E-3</v>
      </c>
      <c r="P23" s="8">
        <f t="shared" si="13"/>
        <v>1.8232317562482587E-3</v>
      </c>
    </row>
    <row r="24" spans="2:16" x14ac:dyDescent="0.3">
      <c r="B24" s="14" t="s">
        <v>4</v>
      </c>
      <c r="C24" s="9">
        <f t="shared" si="2"/>
        <v>1.0721741347045392E-2</v>
      </c>
      <c r="D24" s="9">
        <f t="shared" si="3"/>
        <v>8.2044717064880777E-3</v>
      </c>
      <c r="E24" s="9">
        <f t="shared" si="4"/>
        <v>-1.3356457103416673E-3</v>
      </c>
      <c r="F24" s="9">
        <f t="shared" si="5"/>
        <v>-1.4516951986547413E-4</v>
      </c>
      <c r="G24" s="9">
        <f t="shared" si="6"/>
        <v>8.2044717064880777E-3</v>
      </c>
      <c r="H24" s="9">
        <f t="shared" si="7"/>
        <v>0.14747387809918214</v>
      </c>
      <c r="J24" s="14" t="s">
        <v>4</v>
      </c>
      <c r="K24" s="8">
        <f t="shared" si="8"/>
        <v>3.0347571666535351E-3</v>
      </c>
      <c r="L24" s="8">
        <f t="shared" si="9"/>
        <v>1.0516596475333984E-3</v>
      </c>
      <c r="M24" s="8">
        <f t="shared" si="10"/>
        <v>1.0281851018295277E-3</v>
      </c>
      <c r="N24" s="8">
        <f t="shared" si="11"/>
        <v>2.376250013117131E-3</v>
      </c>
      <c r="O24" s="8">
        <f t="shared" si="12"/>
        <v>4.9953833257836422E-3</v>
      </c>
      <c r="P24" s="8">
        <f t="shared" si="13"/>
        <v>5.7578365702453558E-3</v>
      </c>
    </row>
    <row r="25" spans="2:16" x14ac:dyDescent="0.3">
      <c r="B25" s="14" t="s">
        <v>10</v>
      </c>
      <c r="C25" s="9">
        <f t="shared" si="2"/>
        <v>1.4122090161457001E-2</v>
      </c>
      <c r="D25" s="9">
        <f t="shared" si="3"/>
        <v>-2.0065944026577191E-2</v>
      </c>
      <c r="E25" s="9">
        <f t="shared" si="4"/>
        <v>-2.0065944026577191E-2</v>
      </c>
      <c r="F25" s="9">
        <f t="shared" si="5"/>
        <v>-1.0542134502767666E-2</v>
      </c>
      <c r="G25" s="9">
        <f t="shared" si="6"/>
        <v>4.8200117890226032E-4</v>
      </c>
      <c r="H25" s="9">
        <f t="shared" si="7"/>
        <v>-2.0065944026577191E-2</v>
      </c>
      <c r="J25" s="14" t="s">
        <v>10</v>
      </c>
      <c r="K25" s="8">
        <f t="shared" si="8"/>
        <v>4.4590986725727083E-3</v>
      </c>
      <c r="L25" s="8">
        <f t="shared" si="9"/>
        <v>1.6492556734173029E-3</v>
      </c>
      <c r="M25" s="8">
        <f t="shared" si="10"/>
        <v>1.4332817161840847E-3</v>
      </c>
      <c r="N25" s="8">
        <f t="shared" si="11"/>
        <v>3.0576676611927139E-3</v>
      </c>
      <c r="O25" s="8">
        <f t="shared" si="12"/>
        <v>6.1847087753148866E-3</v>
      </c>
      <c r="P25" s="8">
        <f t="shared" si="13"/>
        <v>9.3641072124026874E-3</v>
      </c>
    </row>
    <row r="26" spans="2:16" x14ac:dyDescent="0.3">
      <c r="B26" s="14" t="s">
        <v>8</v>
      </c>
      <c r="C26" s="9">
        <f t="shared" si="2"/>
        <v>-1.2238249262535458E-2</v>
      </c>
      <c r="D26" s="9">
        <f t="shared" si="3"/>
        <v>2.0310632601414896E-2</v>
      </c>
      <c r="E26" s="9">
        <f t="shared" si="4"/>
        <v>-2.92811495240115E-3</v>
      </c>
      <c r="F26" s="9">
        <f t="shared" si="5"/>
        <v>-1.6023353047639244E-2</v>
      </c>
      <c r="G26" s="9">
        <f t="shared" si="6"/>
        <v>6.612002464428595E-3</v>
      </c>
      <c r="H26" s="9">
        <f t="shared" si="7"/>
        <v>-2.0785257809544006E-2</v>
      </c>
      <c r="J26" s="14" t="s">
        <v>8</v>
      </c>
      <c r="K26" s="8">
        <f t="shared" si="8"/>
        <v>5.5072050606484102E-3</v>
      </c>
      <c r="L26" s="8">
        <f t="shared" si="9"/>
        <v>2.562566031313644E-3</v>
      </c>
      <c r="M26" s="8">
        <f t="shared" si="10"/>
        <v>1.8558265901378571E-3</v>
      </c>
      <c r="N26" s="8">
        <f t="shared" si="11"/>
        <v>3.4642096349239999E-3</v>
      </c>
      <c r="O26" s="8">
        <f t="shared" si="12"/>
        <v>7.4029685349060823E-3</v>
      </c>
      <c r="P26" s="8">
        <f t="shared" si="13"/>
        <v>9.6997869777872021E-3</v>
      </c>
    </row>
    <row r="27" spans="2:16" x14ac:dyDescent="0.3">
      <c r="B27" s="14" t="s">
        <v>6</v>
      </c>
      <c r="C27" s="9">
        <f t="shared" si="2"/>
        <v>3.5783222045991936E-2</v>
      </c>
      <c r="D27" s="9">
        <f t="shared" si="3"/>
        <v>-9.2208178259955628E-4</v>
      </c>
      <c r="E27" s="9">
        <f t="shared" si="4"/>
        <v>-1.0462199199429301E-2</v>
      </c>
      <c r="F27" s="9">
        <f t="shared" si="5"/>
        <v>5.0139912767611754E-3</v>
      </c>
      <c r="G27" s="9">
        <f t="shared" si="6"/>
        <v>-7.7713968510927066E-3</v>
      </c>
      <c r="H27" s="9">
        <f t="shared" si="7"/>
        <v>-2.8319342056572158E-2</v>
      </c>
      <c r="J27" s="14" t="s">
        <v>6</v>
      </c>
      <c r="K27" s="8">
        <f t="shared" si="8"/>
        <v>9.5608035148256436E-3</v>
      </c>
      <c r="L27" s="8">
        <f t="shared" si="9"/>
        <v>5.4311066957809621E-3</v>
      </c>
      <c r="M27" s="8">
        <f t="shared" si="10"/>
        <v>3.5399177570715201E-3</v>
      </c>
      <c r="N27" s="8">
        <f t="shared" si="11"/>
        <v>5.7987224211076332E-3</v>
      </c>
      <c r="O27" s="8">
        <f t="shared" si="12"/>
        <v>1.1444117680395598E-2</v>
      </c>
      <c r="P27" s="8">
        <f t="shared" si="13"/>
        <v>1.3215692959733676E-2</v>
      </c>
    </row>
    <row r="28" spans="2:16" x14ac:dyDescent="0.3">
      <c r="B28" s="14" t="s">
        <v>1</v>
      </c>
      <c r="C28" s="9">
        <f t="shared" si="2"/>
        <v>5.9313802157046069E-4</v>
      </c>
      <c r="D28" s="9">
        <f t="shared" si="3"/>
        <v>-1.9241316189868539E-3</v>
      </c>
      <c r="E28" s="9">
        <f t="shared" si="4"/>
        <v>-1.1464249035816599E-2</v>
      </c>
      <c r="F28" s="9">
        <f t="shared" si="5"/>
        <v>-2.9321391892959455E-2</v>
      </c>
      <c r="G28" s="9">
        <f t="shared" si="6"/>
        <v>-1.5622761755973155E-2</v>
      </c>
      <c r="H28" s="9">
        <f t="shared" si="7"/>
        <v>-2.9321391892959455E-2</v>
      </c>
      <c r="J28" s="14" t="s">
        <v>1</v>
      </c>
      <c r="K28" s="8">
        <f t="shared" si="8"/>
        <v>1.2655814449525236E-2</v>
      </c>
      <c r="L28" s="8">
        <f t="shared" si="9"/>
        <v>7.2299322475790437E-3</v>
      </c>
      <c r="M28" s="8">
        <f t="shared" si="10"/>
        <v>4.7123665542256271E-3</v>
      </c>
      <c r="N28" s="8">
        <f t="shared" si="11"/>
        <v>6.9812837840379661E-3</v>
      </c>
      <c r="O28" s="8">
        <f t="shared" si="12"/>
        <v>1.2853212884584967E-2</v>
      </c>
      <c r="P28" s="8">
        <f t="shared" si="13"/>
        <v>1.3683316216714415E-2</v>
      </c>
    </row>
    <row r="29" spans="2:16" x14ac:dyDescent="0.3">
      <c r="B29" s="14" t="s">
        <v>14</v>
      </c>
      <c r="C29" s="9">
        <f t="shared" si="2"/>
        <v>-1.3635138078501471E-2</v>
      </c>
      <c r="D29" s="9">
        <f t="shared" si="3"/>
        <v>-1.6152407719058785E-2</v>
      </c>
      <c r="E29" s="9">
        <f t="shared" si="4"/>
        <v>2.7878903435540038E-2</v>
      </c>
      <c r="F29" s="9">
        <f t="shared" si="5"/>
        <v>3.2640808197444811E-2</v>
      </c>
      <c r="G29" s="9">
        <f t="shared" si="6"/>
        <v>-1.6152407719058785E-2</v>
      </c>
      <c r="H29" s="9">
        <f t="shared" si="7"/>
        <v>2.3116998673635279E-2</v>
      </c>
      <c r="J29" s="14" t="s">
        <v>14</v>
      </c>
      <c r="K29" s="8">
        <f t="shared" si="8"/>
        <v>2.1402614611959869E-2</v>
      </c>
      <c r="L29" s="8">
        <f t="shared" si="9"/>
        <v>1.3124557477351926E-2</v>
      </c>
      <c r="M29" s="8">
        <f t="shared" si="10"/>
        <v>1.0887416998257847E-2</v>
      </c>
      <c r="N29" s="8">
        <f t="shared" si="11"/>
        <v>1.368703851209558E-2</v>
      </c>
      <c r="O29" s="8">
        <f t="shared" si="12"/>
        <v>2.0879977804878068E-2</v>
      </c>
      <c r="P29" s="8">
        <f t="shared" si="13"/>
        <v>2.3226489596283411E-2</v>
      </c>
    </row>
    <row r="30" spans="2:16" x14ac:dyDescent="0.3">
      <c r="B30" s="14" t="s">
        <v>2</v>
      </c>
      <c r="C30" s="9">
        <f t="shared" si="2"/>
        <v>-1.8499381594842407E-3</v>
      </c>
      <c r="D30" s="9">
        <f t="shared" si="3"/>
        <v>-3.4890904835680747E-3</v>
      </c>
      <c r="E30" s="9">
        <f t="shared" si="4"/>
        <v>-2.672783803738412E-2</v>
      </c>
      <c r="F30" s="9">
        <f t="shared" si="5"/>
        <v>1.2557876248330165E-2</v>
      </c>
      <c r="G30" s="9">
        <f t="shared" si="6"/>
        <v>-2.4037035689047526E-2</v>
      </c>
      <c r="H30" s="9">
        <f t="shared" si="7"/>
        <v>5.5415019105473029E-2</v>
      </c>
      <c r="J30" s="14" t="s">
        <v>2</v>
      </c>
      <c r="K30" s="8">
        <f t="shared" si="8"/>
        <v>2.5150502043066514E-2</v>
      </c>
      <c r="L30" s="8">
        <f t="shared" si="9"/>
        <v>1.6490335399345604E-2</v>
      </c>
      <c r="M30" s="8">
        <f t="shared" si="10"/>
        <v>1.5127047089214517E-2</v>
      </c>
      <c r="N30" s="8">
        <f t="shared" si="11"/>
        <v>1.995708668612161E-2</v>
      </c>
      <c r="O30" s="8">
        <f t="shared" si="12"/>
        <v>2.3513996773140953E-2</v>
      </c>
      <c r="P30" s="8">
        <f t="shared" si="13"/>
        <v>3.12094866261689E-2</v>
      </c>
    </row>
    <row r="31" spans="2:16" x14ac:dyDescent="0.3">
      <c r="B31" s="14" t="s">
        <v>3</v>
      </c>
      <c r="C31" s="9">
        <f t="shared" si="2"/>
        <v>-2.2054051841126646E-2</v>
      </c>
      <c r="D31" s="9">
        <f t="shared" si="3"/>
        <v>-3.3996447345165985E-2</v>
      </c>
      <c r="E31" s="9">
        <f t="shared" si="4"/>
        <v>-4.7695077482152286E-2</v>
      </c>
      <c r="F31" s="9">
        <f t="shared" si="5"/>
        <v>-3.3409363196438002E-2</v>
      </c>
      <c r="G31" s="9">
        <f t="shared" si="6"/>
        <v>-3.3996447345165985E-2</v>
      </c>
      <c r="H31" s="9">
        <f t="shared" si="7"/>
        <v>-4.7695077482152286E-2</v>
      </c>
      <c r="J31" s="14" t="s">
        <v>3</v>
      </c>
      <c r="K31" s="8">
        <f t="shared" si="8"/>
        <v>3.0166117381874098E-2</v>
      </c>
      <c r="L31" s="8">
        <f t="shared" si="9"/>
        <v>2.025407399927015E-2</v>
      </c>
      <c r="M31" s="8">
        <f t="shared" si="10"/>
        <v>1.7033956243625817E-2</v>
      </c>
      <c r="N31" s="8">
        <f t="shared" si="11"/>
        <v>2.4756016407402853E-2</v>
      </c>
      <c r="O31" s="8">
        <f t="shared" si="12"/>
        <v>2.6787646257099233E-2</v>
      </c>
      <c r="P31" s="8">
        <f t="shared" si="13"/>
        <v>3.8156061985721836E-2</v>
      </c>
    </row>
    <row r="32" spans="2:16" x14ac:dyDescent="0.3">
      <c r="B32" s="14" t="s">
        <v>5</v>
      </c>
      <c r="C32" s="9">
        <f t="shared" si="2"/>
        <v>5.0717378768121574E-2</v>
      </c>
      <c r="D32" s="9">
        <f t="shared" si="3"/>
        <v>0.16657032338818947</v>
      </c>
      <c r="E32" s="9">
        <f t="shared" si="4"/>
        <v>0.14259772064846346</v>
      </c>
      <c r="F32" s="9">
        <f t="shared" si="5"/>
        <v>9.2597720648463472E-2</v>
      </c>
      <c r="G32" s="9">
        <f t="shared" si="6"/>
        <v>5.0131967223805918E-2</v>
      </c>
      <c r="H32" s="9">
        <f t="shared" si="7"/>
        <v>0.1259310539817968</v>
      </c>
      <c r="J32" s="14" t="s">
        <v>5</v>
      </c>
      <c r="K32" s="8">
        <f t="shared" si="8"/>
        <v>8.7665963060442234E-2</v>
      </c>
      <c r="L32" s="8">
        <f t="shared" si="9"/>
        <v>7.6505733236710977E-2</v>
      </c>
      <c r="M32" s="8">
        <f t="shared" si="10"/>
        <v>6.5208526749147191E-2</v>
      </c>
      <c r="N32" s="8">
        <f t="shared" si="11"/>
        <v>7.8761671524460161E-2</v>
      </c>
      <c r="O32" s="8">
        <f t="shared" si="12"/>
        <v>7.8712629387769961E-2</v>
      </c>
      <c r="P32" s="8">
        <f t="shared" si="13"/>
        <v>0.11098235532992111</v>
      </c>
    </row>
    <row r="33" spans="2:16" x14ac:dyDescent="0.3">
      <c r="B33" s="14" t="s">
        <v>0</v>
      </c>
      <c r="C33" s="9">
        <f t="shared" si="2"/>
        <v>-6.5378874307512658E-2</v>
      </c>
      <c r="D33" s="9">
        <f t="shared" si="3"/>
        <v>-7.1350072059532255E-2</v>
      </c>
      <c r="E33" s="9">
        <f t="shared" ref="E33" si="14">E16-B16</f>
        <v>-6.7708156994540358E-3</v>
      </c>
      <c r="F33" s="9">
        <f t="shared" si="5"/>
        <v>-4.4866053794692107E-2</v>
      </c>
      <c r="G33" s="9">
        <f t="shared" si="6"/>
        <v>-2.340486658008023E-2</v>
      </c>
      <c r="H33" s="9">
        <f t="shared" si="7"/>
        <v>-0.21153272046135879</v>
      </c>
      <c r="J33" s="14" t="s">
        <v>0</v>
      </c>
      <c r="K33" s="8">
        <f t="shared" si="8"/>
        <v>0.85988626803655055</v>
      </c>
      <c r="L33" s="8">
        <f t="shared" si="9"/>
        <v>0.86333881091718845</v>
      </c>
      <c r="M33" s="8">
        <f t="shared" si="10"/>
        <v>0.82599912446860757</v>
      </c>
      <c r="N33" s="8">
        <f t="shared" si="11"/>
        <v>0.8480257677877705</v>
      </c>
      <c r="O33" s="8">
        <f t="shared" si="12"/>
        <v>0.83561692249324204</v>
      </c>
      <c r="P33" s="8">
        <f t="shared" si="13"/>
        <v>0.94439233230910802</v>
      </c>
    </row>
    <row r="34" spans="2:16" x14ac:dyDescent="0.3">
      <c r="J34" s="11" t="s">
        <v>35</v>
      </c>
      <c r="K34" s="10">
        <f>SUM(K19:K33)</f>
        <v>1.064527609925457</v>
      </c>
      <c r="L34" s="10">
        <f t="shared" ref="L34:P34" si="15">SUM(L19:L33)</f>
        <v>1.0092196786799301</v>
      </c>
      <c r="M34" s="10">
        <f t="shared" si="15"/>
        <v>0.94772776141353754</v>
      </c>
      <c r="N34" s="10">
        <f t="shared" si="15"/>
        <v>1.0098180292544698</v>
      </c>
      <c r="O34" s="10">
        <f t="shared" si="15"/>
        <v>1.035701093996011</v>
      </c>
      <c r="P34" s="10">
        <f t="shared" si="15"/>
        <v>1.2041438849319701</v>
      </c>
    </row>
    <row r="35" spans="2:16" x14ac:dyDescent="0.3">
      <c r="J35" s="12" t="s">
        <v>36</v>
      </c>
      <c r="K35" s="13">
        <f>1-K34</f>
        <v>-6.452760992545703E-2</v>
      </c>
      <c r="L35" s="13">
        <f t="shared" ref="L35:P35" si="16">1-L34</f>
        <v>-9.2196786799301211E-3</v>
      </c>
      <c r="M35" s="13">
        <f t="shared" si="16"/>
        <v>5.2272238586462461E-2</v>
      </c>
      <c r="N35" s="13">
        <f t="shared" si="16"/>
        <v>-9.81802925446984E-3</v>
      </c>
      <c r="O35" s="13">
        <f t="shared" si="16"/>
        <v>-3.5701093996010957E-2</v>
      </c>
      <c r="P35" s="13">
        <f t="shared" si="16"/>
        <v>-0.20414388493197011</v>
      </c>
    </row>
  </sheetData>
  <sortState xmlns:xlrd2="http://schemas.microsoft.com/office/spreadsheetml/2017/richdata2" ref="A2:P18">
    <sortCondition ref="B1:B1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30C5-3635-4656-B7D1-8A43D0DBA5A6}">
  <dimension ref="A1:P17"/>
  <sheetViews>
    <sheetView workbookViewId="0">
      <selection activeCell="J2" sqref="J2:P2"/>
    </sheetView>
  </sheetViews>
  <sheetFormatPr defaultRowHeight="14.4" x14ac:dyDescent="0.3"/>
  <cols>
    <col min="1" max="8" width="11.5546875" customWidth="1"/>
  </cols>
  <sheetData>
    <row r="1" spans="1:16" ht="25.95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42</v>
      </c>
      <c r="B2" s="17">
        <v>2.9604617377988928E-2</v>
      </c>
      <c r="C2" s="17">
        <v>9.4043887147335428E-3</v>
      </c>
      <c r="D2" s="17">
        <v>1.3422818791946308E-2</v>
      </c>
      <c r="E2" s="17">
        <v>1.2422360248447204E-2</v>
      </c>
      <c r="F2" s="17">
        <v>2.616279069767442E-2</v>
      </c>
      <c r="G2" s="17">
        <v>3.3175355450236969E-2</v>
      </c>
      <c r="H2" s="17">
        <v>3.0303030303030304E-2</v>
      </c>
      <c r="I2" s="9">
        <v>2.9604617377988928E-2</v>
      </c>
      <c r="J2" s="18">
        <v>2.9604617377988928E-2</v>
      </c>
      <c r="K2" s="18">
        <v>9.4043887147335428E-3</v>
      </c>
      <c r="L2" s="18">
        <v>1.3422818791946308E-2</v>
      </c>
      <c r="M2" s="18">
        <v>1.2422360248447204E-2</v>
      </c>
      <c r="N2" s="18">
        <v>2.616279069767442E-2</v>
      </c>
      <c r="O2" s="18">
        <v>3.3175355450236969E-2</v>
      </c>
      <c r="P2" s="18">
        <v>3.0303030303030304E-2</v>
      </c>
    </row>
    <row r="3" spans="1:16" x14ac:dyDescent="0.3">
      <c r="A3" s="8" t="s">
        <v>40</v>
      </c>
      <c r="B3" s="17">
        <v>3.7653618123993877E-2</v>
      </c>
      <c r="C3" s="17">
        <v>2.1943573667711599E-2</v>
      </c>
      <c r="D3" s="17">
        <v>2.0134228187919462E-2</v>
      </c>
      <c r="E3" s="17">
        <v>0</v>
      </c>
      <c r="F3" s="17">
        <v>6.3953488372093026E-2</v>
      </c>
      <c r="G3" s="17">
        <v>2.843601895734597E-2</v>
      </c>
      <c r="H3" s="17">
        <v>5.0505050505050504E-2</v>
      </c>
      <c r="I3" s="9">
        <v>6.7258235501982802E-2</v>
      </c>
      <c r="J3" s="9">
        <f>J2+B3</f>
        <v>6.7258235501982802E-2</v>
      </c>
      <c r="K3" s="9">
        <f t="shared" ref="K3:P7" si="0">K2+C3</f>
        <v>3.1347962382445138E-2</v>
      </c>
      <c r="L3" s="9">
        <f t="shared" si="0"/>
        <v>3.3557046979865772E-2</v>
      </c>
      <c r="M3" s="9">
        <f t="shared" si="0"/>
        <v>1.2422360248447204E-2</v>
      </c>
      <c r="N3" s="9">
        <f t="shared" si="0"/>
        <v>9.0116279069767449E-2</v>
      </c>
      <c r="O3" s="9">
        <f t="shared" si="0"/>
        <v>6.1611374407582936E-2</v>
      </c>
      <c r="P3" s="9">
        <f t="shared" si="0"/>
        <v>8.0808080808080801E-2</v>
      </c>
    </row>
    <row r="4" spans="1:16" x14ac:dyDescent="0.3">
      <c r="A4" s="8" t="s">
        <v>38</v>
      </c>
      <c r="B4" s="17">
        <v>5.7057599434606775E-2</v>
      </c>
      <c r="C4" s="17">
        <v>2.1943573667711599E-2</v>
      </c>
      <c r="D4" s="17">
        <v>1.3422818791946308E-2</v>
      </c>
      <c r="E4" s="17">
        <v>2.4844720496894408E-2</v>
      </c>
      <c r="F4" s="17">
        <v>3.7790697674418602E-2</v>
      </c>
      <c r="G4" s="17">
        <v>8.0568720379146919E-2</v>
      </c>
      <c r="H4" s="17">
        <v>7.0707070707070704E-2</v>
      </c>
      <c r="I4" s="9">
        <v>0.12431583493658957</v>
      </c>
      <c r="J4" s="9">
        <f t="shared" ref="J4:J7" si="1">J3+B4</f>
        <v>0.12431583493658957</v>
      </c>
      <c r="K4" s="9">
        <f t="shared" si="0"/>
        <v>5.329153605015674E-2</v>
      </c>
      <c r="L4" s="9">
        <f t="shared" si="0"/>
        <v>4.6979865771812082E-2</v>
      </c>
      <c r="M4" s="9">
        <f t="shared" si="0"/>
        <v>3.7267080745341616E-2</v>
      </c>
      <c r="N4" s="9">
        <f t="shared" si="0"/>
        <v>0.12790697674418605</v>
      </c>
      <c r="O4" s="9">
        <f t="shared" si="0"/>
        <v>0.14218009478672985</v>
      </c>
      <c r="P4" s="9">
        <f t="shared" si="0"/>
        <v>0.15151515151515149</v>
      </c>
    </row>
    <row r="5" spans="1:16" x14ac:dyDescent="0.3">
      <c r="A5" s="8" t="s">
        <v>39</v>
      </c>
      <c r="B5" s="17">
        <v>0.12138678393340924</v>
      </c>
      <c r="C5" s="17">
        <v>0.11912225705329153</v>
      </c>
      <c r="D5" s="17">
        <v>0.14093959731543623</v>
      </c>
      <c r="E5" s="17">
        <v>8.6956521739130432E-2</v>
      </c>
      <c r="F5" s="17">
        <v>0.12209302325581395</v>
      </c>
      <c r="G5" s="17">
        <v>0.10426540284360189</v>
      </c>
      <c r="H5" s="17">
        <v>0.10101010101010101</v>
      </c>
      <c r="I5" s="9">
        <v>0.24570261886999881</v>
      </c>
      <c r="J5" s="9">
        <f t="shared" si="1"/>
        <v>0.24570261886999881</v>
      </c>
      <c r="K5" s="9">
        <f t="shared" si="0"/>
        <v>0.17241379310344829</v>
      </c>
      <c r="L5" s="9">
        <f t="shared" si="0"/>
        <v>0.18791946308724833</v>
      </c>
      <c r="M5" s="9">
        <f t="shared" si="0"/>
        <v>0.12422360248447205</v>
      </c>
      <c r="N5" s="9">
        <f t="shared" si="0"/>
        <v>0.25</v>
      </c>
      <c r="O5" s="9">
        <f t="shared" si="0"/>
        <v>0.24644549763033174</v>
      </c>
      <c r="P5" s="9">
        <f t="shared" si="0"/>
        <v>0.25252525252525249</v>
      </c>
    </row>
    <row r="6" spans="1:16" x14ac:dyDescent="0.3">
      <c r="A6" s="8" t="s">
        <v>41</v>
      </c>
      <c r="B6" s="17">
        <v>0.31583493658957951</v>
      </c>
      <c r="C6" s="17">
        <v>0.22570532915360503</v>
      </c>
      <c r="D6" s="17">
        <v>0.22147651006711411</v>
      </c>
      <c r="E6" s="17">
        <v>0.36024844720496896</v>
      </c>
      <c r="F6" s="17">
        <v>0.34011627906976744</v>
      </c>
      <c r="G6" s="17">
        <v>0.37914691943127959</v>
      </c>
      <c r="H6" s="17">
        <v>0.33333333333333331</v>
      </c>
      <c r="I6" s="9">
        <v>0.56153755545957829</v>
      </c>
      <c r="J6" s="9">
        <f t="shared" si="1"/>
        <v>0.56153755545957829</v>
      </c>
      <c r="K6" s="9">
        <f t="shared" si="0"/>
        <v>0.39811912225705332</v>
      </c>
      <c r="L6" s="9">
        <f t="shared" si="0"/>
        <v>0.40939597315436244</v>
      </c>
      <c r="M6" s="9">
        <f t="shared" si="0"/>
        <v>0.48447204968944102</v>
      </c>
      <c r="N6" s="9">
        <f t="shared" si="0"/>
        <v>0.59011627906976738</v>
      </c>
      <c r="O6" s="9">
        <f t="shared" si="0"/>
        <v>0.62559241706161139</v>
      </c>
      <c r="P6" s="9">
        <f t="shared" si="0"/>
        <v>0.58585858585858586</v>
      </c>
    </row>
    <row r="7" spans="1:16" x14ac:dyDescent="0.3">
      <c r="A7" s="8" t="s">
        <v>37</v>
      </c>
      <c r="B7" s="17">
        <v>0.43846244454042171</v>
      </c>
      <c r="C7" s="17">
        <v>0.60188087774294674</v>
      </c>
      <c r="D7" s="17">
        <v>0.59060402684563762</v>
      </c>
      <c r="E7" s="17">
        <v>0.51552795031055898</v>
      </c>
      <c r="F7" s="17">
        <v>0.40988372093023256</v>
      </c>
      <c r="G7" s="17">
        <v>0.37440758293838861</v>
      </c>
      <c r="H7" s="17">
        <v>0.41414141414141414</v>
      </c>
      <c r="I7" s="9">
        <v>1</v>
      </c>
      <c r="J7" s="9">
        <f t="shared" si="1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x14ac:dyDescent="0.3">
      <c r="B9" s="2" t="s">
        <v>15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J9" s="8"/>
      <c r="K9" s="10" t="s">
        <v>29</v>
      </c>
      <c r="L9" s="10" t="s">
        <v>30</v>
      </c>
      <c r="M9" s="10" t="s">
        <v>31</v>
      </c>
      <c r="N9" s="10" t="s">
        <v>32</v>
      </c>
      <c r="O9" s="10" t="s">
        <v>33</v>
      </c>
      <c r="P9" s="10" t="s">
        <v>34</v>
      </c>
    </row>
    <row r="10" spans="1:16" x14ac:dyDescent="0.3">
      <c r="B10" s="14" t="s">
        <v>42</v>
      </c>
      <c r="C10" s="9">
        <f>C2-B2</f>
        <v>-2.0200228663255385E-2</v>
      </c>
      <c r="D10" s="9">
        <f>D2-B2</f>
        <v>-1.6181798586042621E-2</v>
      </c>
      <c r="E10" s="9">
        <f>E2-B2</f>
        <v>-1.7182257129541724E-2</v>
      </c>
      <c r="F10" s="9">
        <f>F2-B2</f>
        <v>-3.4418266803145081E-3</v>
      </c>
      <c r="G10" s="9">
        <f>G2-B2</f>
        <v>3.5707380722480413E-3</v>
      </c>
      <c r="H10" s="9">
        <f>H2-B2</f>
        <v>6.9841292504137578E-4</v>
      </c>
      <c r="J10" s="14" t="s">
        <v>42</v>
      </c>
      <c r="K10" s="8">
        <f>(J2-0) * ((K2+0))</f>
        <v>2.7841332957356362E-4</v>
      </c>
      <c r="L10" s="8">
        <f>(J2-0) * ((L2+0))</f>
        <v>3.9737741446965003E-4</v>
      </c>
      <c r="M10" s="8">
        <f>(J2-0) * ((M2+0))</f>
        <v>3.6775922208681893E-4</v>
      </c>
      <c r="N10" s="8">
        <f>(J2-0) * ((N2+0))</f>
        <v>7.7453940814505918E-4</v>
      </c>
      <c r="O10" s="8">
        <f>(J2-0) * ((O2+0))</f>
        <v>9.8214370448304503E-4</v>
      </c>
      <c r="P10" s="8">
        <f>(J2-0) * ((P2+0))</f>
        <v>8.9710961751481607E-4</v>
      </c>
    </row>
    <row r="11" spans="1:16" x14ac:dyDescent="0.3">
      <c r="B11" s="14" t="s">
        <v>40</v>
      </c>
      <c r="C11" s="9">
        <f t="shared" ref="C11:C15" si="2">C3-B3</f>
        <v>-1.5710044456282279E-2</v>
      </c>
      <c r="D11" s="9">
        <f t="shared" ref="D11:D15" si="3">D3-B3</f>
        <v>-1.7519389936074416E-2</v>
      </c>
      <c r="E11" s="9">
        <f t="shared" ref="E11:E15" si="4">E3-B3</f>
        <v>-3.7653618123993877E-2</v>
      </c>
      <c r="F11" s="9">
        <f t="shared" ref="F11:F15" si="5">F3-B3</f>
        <v>2.6299870248099148E-2</v>
      </c>
      <c r="G11" s="9">
        <f t="shared" ref="G11:G15" si="6">G3-B3</f>
        <v>-9.2175991666479072E-3</v>
      </c>
      <c r="H11" s="9">
        <f t="shared" ref="H11:H15" si="7">H3-B3</f>
        <v>1.2851432381056627E-2</v>
      </c>
      <c r="J11" s="14" t="s">
        <v>40</v>
      </c>
      <c r="K11" s="8">
        <f>(J3-J2) * ((K3+K2))</f>
        <v>1.5344734658680886E-3</v>
      </c>
      <c r="L11" s="8">
        <f>(J3-J2) * ((L3+L2))</f>
        <v>1.7689619252883027E-3</v>
      </c>
      <c r="M11" s="8">
        <f>(J3-J2) * ((M3+M2))</f>
        <v>9.3549361798742525E-4</v>
      </c>
      <c r="N11" s="8">
        <f>(J3-J2) * ((N3+N2))</f>
        <v>4.378327688836497E-3</v>
      </c>
      <c r="O11" s="8">
        <f>(J3-J2) * ((O3+O2))</f>
        <v>3.5690633292885187E-3</v>
      </c>
      <c r="P11" s="8">
        <f>(J3-J2) * ((P3+P2))</f>
        <v>4.1837353471104299E-3</v>
      </c>
    </row>
    <row r="12" spans="1:16" x14ac:dyDescent="0.3">
      <c r="B12" s="14" t="s">
        <v>38</v>
      </c>
      <c r="C12" s="9">
        <f t="shared" si="2"/>
        <v>-3.5114025766895179E-2</v>
      </c>
      <c r="D12" s="9">
        <f t="shared" si="3"/>
        <v>-4.3634780642660465E-2</v>
      </c>
      <c r="E12" s="9">
        <f t="shared" si="4"/>
        <v>-3.2212878937712366E-2</v>
      </c>
      <c r="F12" s="9">
        <f t="shared" si="5"/>
        <v>-1.9266901760188172E-2</v>
      </c>
      <c r="G12" s="9">
        <f t="shared" si="6"/>
        <v>2.3511120944540144E-2</v>
      </c>
      <c r="H12" s="9">
        <f t="shared" si="7"/>
        <v>1.364947127246393E-2</v>
      </c>
      <c r="J12" s="14" t="s">
        <v>38</v>
      </c>
      <c r="K12" s="8">
        <f t="shared" ref="K12:K15" si="8">(J4-J3) * ((K4+K3))</f>
        <v>4.8293265979134255E-3</v>
      </c>
      <c r="L12" s="8">
        <f t="shared" ref="L12:L15" si="9">(J4-J3) * ((L4+L3))</f>
        <v>4.5952429074851081E-3</v>
      </c>
      <c r="M12" s="8">
        <f t="shared" ref="M12:M15" si="10">(J4-J3) * ((M4+M3))</f>
        <v>2.8351602203531313E-3</v>
      </c>
      <c r="N12" s="8">
        <f t="shared" ref="N12:N15" si="11">(J4-J3) * ((N4+N3))</f>
        <v>1.2439883597661358E-2</v>
      </c>
      <c r="O12" s="8">
        <f t="shared" ref="O12:O15" si="12">(J4-J3) * ((O4+O3))</f>
        <v>1.1627852017479104E-2</v>
      </c>
      <c r="P12" s="8">
        <f t="shared" ref="P12:P15" si="13">(J4-J3) * ((P4+P3))</f>
        <v>1.3255805929252075E-2</v>
      </c>
    </row>
    <row r="13" spans="1:16" x14ac:dyDescent="0.3">
      <c r="B13" s="14" t="s">
        <v>39</v>
      </c>
      <c r="C13" s="9">
        <f t="shared" si="2"/>
        <v>-2.2645268801177038E-3</v>
      </c>
      <c r="D13" s="9">
        <f t="shared" si="3"/>
        <v>1.9552813382026996E-2</v>
      </c>
      <c r="E13" s="9">
        <f t="shared" si="4"/>
        <v>-3.4430262194278805E-2</v>
      </c>
      <c r="F13" s="9">
        <f t="shared" si="5"/>
        <v>7.0623932240471143E-4</v>
      </c>
      <c r="G13" s="9">
        <f t="shared" si="6"/>
        <v>-1.7121381089807347E-2</v>
      </c>
      <c r="H13" s="9">
        <f t="shared" si="7"/>
        <v>-2.0376682923308229E-2</v>
      </c>
      <c r="J13" s="14" t="s">
        <v>39</v>
      </c>
      <c r="K13" s="8">
        <f t="shared" si="8"/>
        <v>2.7397644022587667E-2</v>
      </c>
      <c r="L13" s="8">
        <f t="shared" si="9"/>
        <v>2.8513674078317605E-2</v>
      </c>
      <c r="M13" s="8">
        <f t="shared" si="10"/>
        <v>1.9602834672476026E-2</v>
      </c>
      <c r="N13" s="8">
        <f t="shared" si="11"/>
        <v>4.5872912532974423E-2</v>
      </c>
      <c r="O13" s="8">
        <f t="shared" si="12"/>
        <v>4.7174010817723024E-2</v>
      </c>
      <c r="P13" s="8">
        <f t="shared" si="13"/>
        <v>4.9045165225619886E-2</v>
      </c>
    </row>
    <row r="14" spans="1:16" x14ac:dyDescent="0.3">
      <c r="B14" s="14" t="s">
        <v>41</v>
      </c>
      <c r="C14" s="9">
        <f t="shared" si="2"/>
        <v>-9.0129607435974479E-2</v>
      </c>
      <c r="D14" s="9">
        <f t="shared" si="3"/>
        <v>-9.43584265224654E-2</v>
      </c>
      <c r="E14" s="9">
        <f t="shared" si="4"/>
        <v>4.4413510615389451E-2</v>
      </c>
      <c r="F14" s="9">
        <f t="shared" si="5"/>
        <v>2.4281342480187929E-2</v>
      </c>
      <c r="G14" s="9">
        <f t="shared" si="6"/>
        <v>6.3311982841700087E-2</v>
      </c>
      <c r="H14" s="9">
        <f t="shared" si="7"/>
        <v>1.7498396743753808E-2</v>
      </c>
      <c r="J14" s="14" t="s">
        <v>41</v>
      </c>
      <c r="K14" s="8">
        <f t="shared" si="8"/>
        <v>0.18019422714515199</v>
      </c>
      <c r="L14" s="8">
        <f t="shared" si="9"/>
        <v>0.18865308292934616</v>
      </c>
      <c r="M14" s="8">
        <f t="shared" si="10"/>
        <v>0.19224735270670057</v>
      </c>
      <c r="N14" s="8">
        <f t="shared" si="11"/>
        <v>0.26533807172787344</v>
      </c>
      <c r="O14" s="8">
        <f t="shared" si="12"/>
        <v>0.27542003949043903</v>
      </c>
      <c r="P14" s="8">
        <f t="shared" si="13"/>
        <v>0.26479090643368786</v>
      </c>
    </row>
    <row r="15" spans="1:16" x14ac:dyDescent="0.3">
      <c r="B15" s="14" t="s">
        <v>37</v>
      </c>
      <c r="C15" s="9">
        <f t="shared" si="2"/>
        <v>0.16341843320252503</v>
      </c>
      <c r="D15" s="9">
        <f t="shared" si="3"/>
        <v>0.15214158230521591</v>
      </c>
      <c r="E15" s="9">
        <f t="shared" si="4"/>
        <v>7.7065505770137266E-2</v>
      </c>
      <c r="F15" s="9">
        <f t="shared" si="5"/>
        <v>-2.857872361018915E-2</v>
      </c>
      <c r="G15" s="9">
        <f t="shared" si="6"/>
        <v>-6.4054861602033109E-2</v>
      </c>
      <c r="H15" s="9">
        <f t="shared" si="7"/>
        <v>-2.432103039900757E-2</v>
      </c>
      <c r="J15" s="14" t="s">
        <v>37</v>
      </c>
      <c r="K15" s="8">
        <f t="shared" si="8"/>
        <v>0.61302272810353631</v>
      </c>
      <c r="L15" s="8">
        <f t="shared" si="9"/>
        <v>0.61796720371468827</v>
      </c>
      <c r="M15" s="8">
        <f t="shared" si="10"/>
        <v>0.65088524375876267</v>
      </c>
      <c r="N15" s="8">
        <f t="shared" si="11"/>
        <v>0.69720627082444964</v>
      </c>
      <c r="O15" s="8">
        <f t="shared" si="12"/>
        <v>0.71276122501120687</v>
      </c>
      <c r="P15" s="8">
        <f t="shared" si="13"/>
        <v>0.69533943225097183</v>
      </c>
    </row>
    <row r="16" spans="1:16" x14ac:dyDescent="0.3">
      <c r="J16" s="11" t="s">
        <v>35</v>
      </c>
      <c r="K16" s="10">
        <f t="shared" ref="K16:P16" si="14">SUM(K10:K15)</f>
        <v>0.82725681266463102</v>
      </c>
      <c r="L16" s="10">
        <f t="shared" si="14"/>
        <v>0.84189554296959512</v>
      </c>
      <c r="M16" s="10">
        <f t="shared" si="14"/>
        <v>0.86687384419836666</v>
      </c>
      <c r="N16" s="10">
        <f t="shared" si="14"/>
        <v>1.0260100057799404</v>
      </c>
      <c r="O16" s="10">
        <f t="shared" si="14"/>
        <v>1.0515343343706196</v>
      </c>
      <c r="P16" s="10">
        <f t="shared" si="14"/>
        <v>1.0275121548041568</v>
      </c>
    </row>
    <row r="17" spans="10:16" x14ac:dyDescent="0.3">
      <c r="J17" s="12" t="s">
        <v>36</v>
      </c>
      <c r="K17" s="13">
        <f>1-K16</f>
        <v>0.17274318733536898</v>
      </c>
      <c r="L17" s="13">
        <f t="shared" ref="L17:P17" si="15">1-L16</f>
        <v>0.15810445703040488</v>
      </c>
      <c r="M17" s="13">
        <f t="shared" si="15"/>
        <v>0.13312615580163334</v>
      </c>
      <c r="N17" s="13">
        <f t="shared" si="15"/>
        <v>-2.6010005779940393E-2</v>
      </c>
      <c r="O17" s="13">
        <f t="shared" si="15"/>
        <v>-5.1534334370619606E-2</v>
      </c>
      <c r="P17" s="13">
        <f t="shared" si="15"/>
        <v>-2.7512154804156808E-2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361E-A7B7-4945-BFC4-ACAD445B2ABE}">
  <dimension ref="A1:P29"/>
  <sheetViews>
    <sheetView workbookViewId="0">
      <selection activeCell="J2" sqref="J2:P2"/>
    </sheetView>
  </sheetViews>
  <sheetFormatPr defaultRowHeight="14.4" x14ac:dyDescent="0.3"/>
  <cols>
    <col min="1" max="1" width="14.109375" customWidth="1"/>
    <col min="2" max="16" width="10.33203125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51</v>
      </c>
      <c r="B2" s="17">
        <v>1.0364017493269774E-2</v>
      </c>
      <c r="C2" s="17">
        <v>0</v>
      </c>
      <c r="D2" s="17">
        <v>0</v>
      </c>
      <c r="E2" s="17">
        <v>8.1967213114754103E-3</v>
      </c>
      <c r="F2" s="17">
        <v>1.2195121951219513E-2</v>
      </c>
      <c r="G2" s="17">
        <v>2.2727272727272728E-2</v>
      </c>
      <c r="H2" s="17">
        <v>1.3513513513513514E-2</v>
      </c>
      <c r="I2" s="9">
        <v>1.0364017493269774E-2</v>
      </c>
      <c r="J2" s="18">
        <v>1.0364017493269774E-2</v>
      </c>
      <c r="K2" s="18">
        <v>0</v>
      </c>
      <c r="L2" s="18">
        <v>0</v>
      </c>
      <c r="M2" s="18">
        <v>8.1967213114754103E-3</v>
      </c>
      <c r="N2" s="18">
        <v>1.2195121951219513E-2</v>
      </c>
      <c r="O2" s="18">
        <v>2.2727272727272728E-2</v>
      </c>
      <c r="P2" s="18">
        <v>1.3513513513513514E-2</v>
      </c>
    </row>
    <row r="3" spans="1:16" x14ac:dyDescent="0.3">
      <c r="A3" s="8" t="s">
        <v>45</v>
      </c>
      <c r="B3" s="17">
        <v>1.1976079762500133E-2</v>
      </c>
      <c r="C3" s="17">
        <v>2.6845637583892617E-2</v>
      </c>
      <c r="D3" s="17">
        <v>0</v>
      </c>
      <c r="E3" s="17">
        <v>8.1967213114754103E-3</v>
      </c>
      <c r="F3" s="17">
        <v>1.2195121951219513E-2</v>
      </c>
      <c r="G3" s="17">
        <v>1.5151515151515152E-2</v>
      </c>
      <c r="H3" s="17">
        <v>1.3513513513513514E-2</v>
      </c>
      <c r="I3" s="9">
        <v>2.2340097255769908E-2</v>
      </c>
      <c r="J3" s="9">
        <f t="shared" ref="J3:P13" si="0">J2+B3</f>
        <v>2.2340097255769908E-2</v>
      </c>
      <c r="K3" s="9">
        <f t="shared" si="0"/>
        <v>2.6845637583892617E-2</v>
      </c>
      <c r="L3" s="9">
        <f t="shared" si="0"/>
        <v>0</v>
      </c>
      <c r="M3" s="9">
        <f t="shared" si="0"/>
        <v>1.6393442622950821E-2</v>
      </c>
      <c r="N3" s="9">
        <f t="shared" si="0"/>
        <v>2.4390243902439025E-2</v>
      </c>
      <c r="O3" s="9">
        <f t="shared" si="0"/>
        <v>3.787878787878788E-2</v>
      </c>
      <c r="P3" s="9">
        <f t="shared" si="0"/>
        <v>2.7027027027027029E-2</v>
      </c>
    </row>
    <row r="4" spans="1:16" x14ac:dyDescent="0.3">
      <c r="A4" s="8" t="s">
        <v>44</v>
      </c>
      <c r="B4" s="17">
        <v>1.6759063194969087E-2</v>
      </c>
      <c r="C4" s="17">
        <v>6.7114093959731542E-3</v>
      </c>
      <c r="D4" s="17">
        <v>0</v>
      </c>
      <c r="E4" s="17">
        <v>4.9180327868852458E-2</v>
      </c>
      <c r="F4" s="17">
        <v>2.1341463414634148E-2</v>
      </c>
      <c r="G4" s="17">
        <v>7.575757575757576E-3</v>
      </c>
      <c r="H4" s="17">
        <v>0</v>
      </c>
      <c r="I4" s="9">
        <v>3.9099160450738996E-2</v>
      </c>
      <c r="J4" s="9">
        <f t="shared" si="0"/>
        <v>3.9099160450738996E-2</v>
      </c>
      <c r="K4" s="9">
        <f t="shared" si="0"/>
        <v>3.3557046979865772E-2</v>
      </c>
      <c r="L4" s="9">
        <f t="shared" si="0"/>
        <v>0</v>
      </c>
      <c r="M4" s="9">
        <f t="shared" si="0"/>
        <v>6.5573770491803282E-2</v>
      </c>
      <c r="N4" s="9">
        <f t="shared" si="0"/>
        <v>4.573170731707317E-2</v>
      </c>
      <c r="O4" s="9">
        <f t="shared" si="0"/>
        <v>4.5454545454545456E-2</v>
      </c>
      <c r="P4" s="9">
        <f t="shared" si="0"/>
        <v>2.7027027027027029E-2</v>
      </c>
    </row>
    <row r="5" spans="1:16" x14ac:dyDescent="0.3">
      <c r="A5" s="8" t="s">
        <v>49</v>
      </c>
      <c r="B5" s="17">
        <v>1.790825609976697E-2</v>
      </c>
      <c r="C5" s="17">
        <v>2.0134228187919462E-2</v>
      </c>
      <c r="D5" s="17">
        <v>1.2048192771084338E-2</v>
      </c>
      <c r="E5" s="17">
        <v>0</v>
      </c>
      <c r="F5" s="17">
        <v>4.2682926829268296E-2</v>
      </c>
      <c r="G5" s="17">
        <v>7.575757575757576E-3</v>
      </c>
      <c r="H5" s="17">
        <v>2.7027027027027029E-2</v>
      </c>
      <c r="I5" s="9">
        <v>5.7007416550505965E-2</v>
      </c>
      <c r="J5" s="9">
        <f t="shared" si="0"/>
        <v>5.7007416550505965E-2</v>
      </c>
      <c r="K5" s="9">
        <f t="shared" si="0"/>
        <v>5.3691275167785234E-2</v>
      </c>
      <c r="L5" s="9">
        <f t="shared" si="0"/>
        <v>1.2048192771084338E-2</v>
      </c>
      <c r="M5" s="9">
        <f t="shared" si="0"/>
        <v>6.5573770491803282E-2</v>
      </c>
      <c r="N5" s="9">
        <f t="shared" si="0"/>
        <v>8.8414634146341459E-2</v>
      </c>
      <c r="O5" s="9">
        <f t="shared" si="0"/>
        <v>5.3030303030303032E-2</v>
      </c>
      <c r="P5" s="9">
        <f t="shared" si="0"/>
        <v>5.4054054054054057E-2</v>
      </c>
    </row>
    <row r="6" spans="1:16" x14ac:dyDescent="0.3">
      <c r="A6" s="8" t="s">
        <v>46</v>
      </c>
      <c r="B6" s="17">
        <v>1.9499037018908479E-2</v>
      </c>
      <c r="C6" s="17">
        <v>0</v>
      </c>
      <c r="D6" s="17">
        <v>0</v>
      </c>
      <c r="E6" s="17">
        <v>2.4590163934426229E-2</v>
      </c>
      <c r="F6" s="17">
        <v>9.1463414634146336E-3</v>
      </c>
      <c r="G6" s="17">
        <v>0</v>
      </c>
      <c r="H6" s="17">
        <v>0</v>
      </c>
      <c r="I6" s="9">
        <v>7.6506453569414448E-2</v>
      </c>
      <c r="J6" s="9">
        <f t="shared" si="0"/>
        <v>7.6506453569414448E-2</v>
      </c>
      <c r="K6" s="9">
        <f t="shared" si="0"/>
        <v>5.3691275167785234E-2</v>
      </c>
      <c r="L6" s="9">
        <f t="shared" si="0"/>
        <v>1.2048192771084338E-2</v>
      </c>
      <c r="M6" s="9">
        <f t="shared" si="0"/>
        <v>9.0163934426229511E-2</v>
      </c>
      <c r="N6" s="9">
        <f t="shared" si="0"/>
        <v>9.7560975609756087E-2</v>
      </c>
      <c r="O6" s="9">
        <f t="shared" si="0"/>
        <v>5.3030303030303032E-2</v>
      </c>
      <c r="P6" s="9">
        <f t="shared" si="0"/>
        <v>5.4054054054054057E-2</v>
      </c>
    </row>
    <row r="7" spans="1:16" x14ac:dyDescent="0.3">
      <c r="A7" s="8" t="s">
        <v>53</v>
      </c>
      <c r="B7" s="17">
        <v>1.9967226720863172E-2</v>
      </c>
      <c r="C7" s="17">
        <v>2.0134228187919462E-2</v>
      </c>
      <c r="D7" s="17">
        <v>2.4096385542168676E-2</v>
      </c>
      <c r="E7" s="17">
        <v>0</v>
      </c>
      <c r="F7" s="17">
        <v>9.1463414634146336E-3</v>
      </c>
      <c r="G7" s="17">
        <v>0</v>
      </c>
      <c r="H7" s="17">
        <v>0</v>
      </c>
      <c r="I7" s="9">
        <v>9.6473680290277614E-2</v>
      </c>
      <c r="J7" s="9">
        <f t="shared" si="0"/>
        <v>9.6473680290277614E-2</v>
      </c>
      <c r="K7" s="9">
        <f t="shared" si="0"/>
        <v>7.3825503355704702E-2</v>
      </c>
      <c r="L7" s="9">
        <f t="shared" si="0"/>
        <v>3.6144578313253017E-2</v>
      </c>
      <c r="M7" s="9">
        <f t="shared" si="0"/>
        <v>9.0163934426229511E-2</v>
      </c>
      <c r="N7" s="9">
        <f t="shared" si="0"/>
        <v>0.10670731707317072</v>
      </c>
      <c r="O7" s="9">
        <f t="shared" si="0"/>
        <v>5.3030303030303032E-2</v>
      </c>
      <c r="P7" s="9">
        <f t="shared" si="0"/>
        <v>5.4054054054054057E-2</v>
      </c>
    </row>
    <row r="8" spans="1:16" x14ac:dyDescent="0.3">
      <c r="A8" s="8" t="s">
        <v>47</v>
      </c>
      <c r="B8" s="17">
        <v>2.7458261952138244E-2</v>
      </c>
      <c r="C8" s="17">
        <v>2.0134228187919462E-2</v>
      </c>
      <c r="D8" s="17">
        <v>0</v>
      </c>
      <c r="E8" s="17">
        <v>1.6393442622950821E-2</v>
      </c>
      <c r="F8" s="17">
        <v>6.0975609756097563E-3</v>
      </c>
      <c r="G8" s="17">
        <v>2.2727272727272728E-2</v>
      </c>
      <c r="H8" s="17">
        <v>2.7027027027027029E-2</v>
      </c>
      <c r="I8" s="9">
        <v>0.12393194224241585</v>
      </c>
      <c r="J8" s="9">
        <f t="shared" si="0"/>
        <v>0.12393194224241585</v>
      </c>
      <c r="K8" s="9">
        <f t="shared" si="0"/>
        <v>9.3959731543624164E-2</v>
      </c>
      <c r="L8" s="9">
        <f t="shared" si="0"/>
        <v>3.6144578313253017E-2</v>
      </c>
      <c r="M8" s="9">
        <f t="shared" si="0"/>
        <v>0.10655737704918034</v>
      </c>
      <c r="N8" s="9">
        <f t="shared" si="0"/>
        <v>0.11280487804878048</v>
      </c>
      <c r="O8" s="9">
        <f t="shared" si="0"/>
        <v>7.575757575757576E-2</v>
      </c>
      <c r="P8" s="9">
        <f t="shared" si="0"/>
        <v>8.1081081081081086E-2</v>
      </c>
    </row>
    <row r="9" spans="1:16" x14ac:dyDescent="0.3">
      <c r="A9" s="8" t="s">
        <v>48</v>
      </c>
      <c r="B9" s="17">
        <v>2.8309515955692231E-2</v>
      </c>
      <c r="C9" s="17">
        <v>3.3557046979865772E-2</v>
      </c>
      <c r="D9" s="17">
        <v>0</v>
      </c>
      <c r="E9" s="17">
        <v>4.9180327868852458E-2</v>
      </c>
      <c r="F9" s="17">
        <v>1.524390243902439E-2</v>
      </c>
      <c r="G9" s="17">
        <v>7.575757575757576E-3</v>
      </c>
      <c r="H9" s="17">
        <v>2.7027027027027029E-2</v>
      </c>
      <c r="I9" s="9">
        <v>0.15224145819810808</v>
      </c>
      <c r="J9" s="9">
        <f t="shared" si="0"/>
        <v>0.15224145819810808</v>
      </c>
      <c r="K9" s="9">
        <f t="shared" si="0"/>
        <v>0.12751677852348994</v>
      </c>
      <c r="L9" s="9">
        <f t="shared" si="0"/>
        <v>3.6144578313253017E-2</v>
      </c>
      <c r="M9" s="9">
        <f t="shared" si="0"/>
        <v>0.15573770491803279</v>
      </c>
      <c r="N9" s="9">
        <f t="shared" si="0"/>
        <v>0.12804878048780488</v>
      </c>
      <c r="O9" s="9">
        <f t="shared" si="0"/>
        <v>8.3333333333333343E-2</v>
      </c>
      <c r="P9" s="9">
        <f t="shared" si="0"/>
        <v>0.10810810810810811</v>
      </c>
    </row>
    <row r="10" spans="1:16" x14ac:dyDescent="0.3">
      <c r="A10" s="8" t="s">
        <v>52</v>
      </c>
      <c r="B10" s="17">
        <v>2.8368039668436564E-2</v>
      </c>
      <c r="C10" s="17">
        <v>2.0134228187919462E-2</v>
      </c>
      <c r="D10" s="17">
        <v>1.2048192771084338E-2</v>
      </c>
      <c r="E10" s="17">
        <v>1.6393442622950821E-2</v>
      </c>
      <c r="F10" s="17">
        <v>1.524390243902439E-2</v>
      </c>
      <c r="G10" s="17">
        <v>1.5151515151515152E-2</v>
      </c>
      <c r="H10" s="17">
        <v>0</v>
      </c>
      <c r="I10" s="9">
        <v>0.18060949786654465</v>
      </c>
      <c r="J10" s="9">
        <f t="shared" si="0"/>
        <v>0.18060949786654465</v>
      </c>
      <c r="K10" s="9">
        <f t="shared" si="0"/>
        <v>0.1476510067114094</v>
      </c>
      <c r="L10" s="9">
        <f t="shared" si="0"/>
        <v>4.8192771084337352E-2</v>
      </c>
      <c r="M10" s="9">
        <f t="shared" si="0"/>
        <v>0.1721311475409836</v>
      </c>
      <c r="N10" s="9">
        <f t="shared" si="0"/>
        <v>0.14329268292682928</v>
      </c>
      <c r="O10" s="9">
        <f t="shared" si="0"/>
        <v>9.8484848484848495E-2</v>
      </c>
      <c r="P10" s="9">
        <f t="shared" si="0"/>
        <v>0.10810810810810811</v>
      </c>
    </row>
    <row r="11" spans="1:16" x14ac:dyDescent="0.3">
      <c r="A11" s="8" t="s">
        <v>54</v>
      </c>
      <c r="B11" s="17">
        <v>3.0783472903521E-2</v>
      </c>
      <c r="C11" s="17">
        <v>2.6845637583892617E-2</v>
      </c>
      <c r="D11" s="17">
        <v>0</v>
      </c>
      <c r="E11" s="17">
        <v>8.1967213114754103E-3</v>
      </c>
      <c r="F11" s="17">
        <v>3.048780487804878E-2</v>
      </c>
      <c r="G11" s="17">
        <v>4.5454545454545456E-2</v>
      </c>
      <c r="H11" s="17">
        <v>0</v>
      </c>
      <c r="I11" s="9">
        <v>0.21139297077006564</v>
      </c>
      <c r="J11" s="9">
        <f t="shared" si="0"/>
        <v>0.21139297077006564</v>
      </c>
      <c r="K11" s="9">
        <f t="shared" si="0"/>
        <v>0.17449664429530201</v>
      </c>
      <c r="L11" s="9">
        <f t="shared" si="0"/>
        <v>4.8192771084337352E-2</v>
      </c>
      <c r="M11" s="9">
        <f t="shared" si="0"/>
        <v>0.18032786885245902</v>
      </c>
      <c r="N11" s="9">
        <f t="shared" si="0"/>
        <v>0.17378048780487806</v>
      </c>
      <c r="O11" s="9">
        <f t="shared" si="0"/>
        <v>0.14393939393939395</v>
      </c>
      <c r="P11" s="9">
        <f t="shared" si="0"/>
        <v>0.10810810810810811</v>
      </c>
    </row>
    <row r="12" spans="1:16" x14ac:dyDescent="0.3">
      <c r="A12" s="8" t="s">
        <v>50</v>
      </c>
      <c r="B12" s="17">
        <v>9.3856074229349107E-2</v>
      </c>
      <c r="C12" s="17">
        <v>8.0536912751677847E-2</v>
      </c>
      <c r="D12" s="17">
        <v>2.4096385542168676E-2</v>
      </c>
      <c r="E12" s="17">
        <v>2.4590163934426229E-2</v>
      </c>
      <c r="F12" s="17">
        <v>8.8414634146341459E-2</v>
      </c>
      <c r="G12" s="17">
        <v>0.10606060606060606</v>
      </c>
      <c r="H12" s="17">
        <v>0.17567567567567569</v>
      </c>
      <c r="I12" s="9">
        <v>0.30524904499941474</v>
      </c>
      <c r="J12" s="9">
        <f t="shared" si="0"/>
        <v>0.30524904499941474</v>
      </c>
      <c r="K12" s="9">
        <f t="shared" si="0"/>
        <v>0.25503355704697983</v>
      </c>
      <c r="L12" s="9">
        <f t="shared" si="0"/>
        <v>7.2289156626506035E-2</v>
      </c>
      <c r="M12" s="9">
        <f t="shared" si="0"/>
        <v>0.20491803278688525</v>
      </c>
      <c r="N12" s="9">
        <f t="shared" si="0"/>
        <v>0.26219512195121952</v>
      </c>
      <c r="O12" s="9">
        <f t="shared" si="0"/>
        <v>0.25</v>
      </c>
      <c r="P12" s="9">
        <f t="shared" si="0"/>
        <v>0.28378378378378377</v>
      </c>
    </row>
    <row r="13" spans="1:16" x14ac:dyDescent="0.3">
      <c r="A13" s="8" t="s">
        <v>43</v>
      </c>
      <c r="B13" s="17">
        <v>0.69475095500058526</v>
      </c>
      <c r="C13" s="17">
        <v>0.74496644295302017</v>
      </c>
      <c r="D13" s="17">
        <v>0.92771084337349397</v>
      </c>
      <c r="E13" s="17">
        <v>0.79508196721311475</v>
      </c>
      <c r="F13" s="17">
        <v>0.73780487804878048</v>
      </c>
      <c r="G13" s="17">
        <v>0.75</v>
      </c>
      <c r="H13" s="17">
        <v>0.71621621621621623</v>
      </c>
      <c r="I13" s="9"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0"/>
        <v>1</v>
      </c>
    </row>
    <row r="15" spans="1:16" ht="28.8" x14ac:dyDescent="0.3">
      <c r="B15" s="2" t="s">
        <v>15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J15" s="8"/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33</v>
      </c>
      <c r="P15" s="10" t="s">
        <v>34</v>
      </c>
    </row>
    <row r="16" spans="1:16" x14ac:dyDescent="0.3">
      <c r="B16" s="14" t="s">
        <v>51</v>
      </c>
      <c r="C16" s="9">
        <f>C2-B2</f>
        <v>-1.0364017493269774E-2</v>
      </c>
      <c r="D16" s="9">
        <f>D2-B2</f>
        <v>-1.0364017493269774E-2</v>
      </c>
      <c r="E16" s="9">
        <f>E2-B2</f>
        <v>-2.1672961817943634E-3</v>
      </c>
      <c r="F16" s="9">
        <f>F2-B2</f>
        <v>1.831104457949739E-3</v>
      </c>
      <c r="G16" s="9">
        <f>G2-B2</f>
        <v>1.2363255234002954E-2</v>
      </c>
      <c r="H16" s="9">
        <f>H2-B2</f>
        <v>3.1494960202437406E-3</v>
      </c>
      <c r="J16" s="14" t="s">
        <v>51</v>
      </c>
      <c r="K16" s="8">
        <f>($J2-0) * ((K2+0))</f>
        <v>0</v>
      </c>
      <c r="L16" s="8">
        <f t="shared" ref="L16:P16" si="1">($J2-0) * ((L2+0))</f>
        <v>0</v>
      </c>
      <c r="M16" s="8">
        <f t="shared" si="1"/>
        <v>8.4950963059588313E-5</v>
      </c>
      <c r="N16" s="8">
        <f t="shared" si="1"/>
        <v>1.2639045723499725E-4</v>
      </c>
      <c r="O16" s="8">
        <f t="shared" si="1"/>
        <v>2.3554585211976758E-4</v>
      </c>
      <c r="P16" s="8">
        <f t="shared" si="1"/>
        <v>1.4005429044959154E-4</v>
      </c>
    </row>
    <row r="17" spans="2:16" x14ac:dyDescent="0.3">
      <c r="B17" s="14" t="s">
        <v>45</v>
      </c>
      <c r="C17" s="9">
        <f t="shared" ref="C17:C27" si="2">C3-B3</f>
        <v>1.4869557821392484E-2</v>
      </c>
      <c r="D17" s="9">
        <f t="shared" ref="D17:D27" si="3">D3-B3</f>
        <v>-1.1976079762500133E-2</v>
      </c>
      <c r="E17" s="9">
        <f t="shared" ref="E17:E27" si="4">E3-B3</f>
        <v>-3.7793584510247228E-3</v>
      </c>
      <c r="F17" s="9">
        <f t="shared" ref="F17:F27" si="5">F3-B3</f>
        <v>2.1904218871937955E-4</v>
      </c>
      <c r="G17" s="9">
        <f t="shared" ref="G17:G27" si="6">G3-B3</f>
        <v>3.1754353890150189E-3</v>
      </c>
      <c r="H17" s="9">
        <f t="shared" ref="H17:H27" si="7">H3-B3</f>
        <v>1.5374337510133812E-3</v>
      </c>
      <c r="J17" s="14" t="s">
        <v>45</v>
      </c>
      <c r="K17" s="8">
        <f>($J3-$J2) * ((K3+K2))</f>
        <v>3.215054969798694E-4</v>
      </c>
      <c r="L17" s="8">
        <f t="shared" ref="L17:P17" si="8">($J3-$J2) * ((L3+L2))</f>
        <v>0</v>
      </c>
      <c r="M17" s="8">
        <f t="shared" si="8"/>
        <v>2.9449376465164268E-4</v>
      </c>
      <c r="N17" s="8">
        <f t="shared" si="8"/>
        <v>4.3814925960366353E-4</v>
      </c>
      <c r="O17" s="8">
        <f t="shared" si="8"/>
        <v>7.2582301590909913E-4</v>
      </c>
      <c r="P17" s="8">
        <f t="shared" si="8"/>
        <v>4.8551674712838386E-4</v>
      </c>
    </row>
    <row r="18" spans="2:16" x14ac:dyDescent="0.3">
      <c r="B18" s="14" t="s">
        <v>44</v>
      </c>
      <c r="C18" s="9">
        <f t="shared" si="2"/>
        <v>-1.0047653798995932E-2</v>
      </c>
      <c r="D18" s="9">
        <f t="shared" si="3"/>
        <v>-1.6759063194969087E-2</v>
      </c>
      <c r="E18" s="9">
        <f t="shared" si="4"/>
        <v>3.2421264673883371E-2</v>
      </c>
      <c r="F18" s="9">
        <f t="shared" si="5"/>
        <v>4.5824002196650608E-3</v>
      </c>
      <c r="G18" s="9">
        <f t="shared" si="6"/>
        <v>-9.1833056192115112E-3</v>
      </c>
      <c r="H18" s="9">
        <f t="shared" si="7"/>
        <v>-1.6759063194969087E-2</v>
      </c>
      <c r="J18" s="14" t="s">
        <v>44</v>
      </c>
      <c r="K18" s="8">
        <f t="shared" ref="K18:P27" si="9">($J4-$J3) * ((K4+K3))</f>
        <v>1.0122924077498106E-3</v>
      </c>
      <c r="L18" s="8">
        <f t="shared" si="9"/>
        <v>0</v>
      </c>
      <c r="M18" s="8">
        <f t="shared" si="9"/>
        <v>1.3736937045056631E-3</v>
      </c>
      <c r="N18" s="8">
        <f t="shared" si="9"/>
        <v>1.1751782118423447E-3</v>
      </c>
      <c r="O18" s="8">
        <f t="shared" si="9"/>
        <v>1.3965885995807575E-3</v>
      </c>
      <c r="P18" s="8">
        <f t="shared" si="9"/>
        <v>9.0589530783616692E-4</v>
      </c>
    </row>
    <row r="19" spans="2:16" x14ac:dyDescent="0.3">
      <c r="B19" s="14" t="s">
        <v>49</v>
      </c>
      <c r="C19" s="9">
        <f t="shared" si="2"/>
        <v>2.2259720881524919E-3</v>
      </c>
      <c r="D19" s="9">
        <f t="shared" si="3"/>
        <v>-5.8600633286826319E-3</v>
      </c>
      <c r="E19" s="9">
        <f t="shared" si="4"/>
        <v>-1.790825609976697E-2</v>
      </c>
      <c r="F19" s="9">
        <f t="shared" si="5"/>
        <v>2.4774670729501326E-2</v>
      </c>
      <c r="G19" s="9">
        <f t="shared" si="6"/>
        <v>-1.0332498524009394E-2</v>
      </c>
      <c r="H19" s="9">
        <f t="shared" si="7"/>
        <v>9.1187709272600587E-3</v>
      </c>
      <c r="J19" s="14" t="s">
        <v>49</v>
      </c>
      <c r="K19" s="8">
        <f t="shared" si="9"/>
        <v>1.5624652972951046E-3</v>
      </c>
      <c r="L19" s="8">
        <f t="shared" si="9"/>
        <v>2.1576212168393941E-4</v>
      </c>
      <c r="M19" s="8">
        <f t="shared" si="9"/>
        <v>2.3486237507891108E-3</v>
      </c>
      <c r="N19" s="8">
        <f t="shared" si="9"/>
        <v>2.4023270377736181E-3</v>
      </c>
      <c r="O19" s="8">
        <f t="shared" si="9"/>
        <v>1.7636918886134137E-3</v>
      </c>
      <c r="P19" s="8">
        <f t="shared" si="9"/>
        <v>1.4520207648459707E-3</v>
      </c>
    </row>
    <row r="20" spans="2:16" x14ac:dyDescent="0.3">
      <c r="B20" s="14" t="s">
        <v>46</v>
      </c>
      <c r="C20" s="9">
        <f t="shared" si="2"/>
        <v>-1.9499037018908479E-2</v>
      </c>
      <c r="D20" s="9">
        <f t="shared" si="3"/>
        <v>-1.9499037018908479E-2</v>
      </c>
      <c r="E20" s="9">
        <f t="shared" si="4"/>
        <v>5.0911269155177498E-3</v>
      </c>
      <c r="F20" s="9">
        <f t="shared" si="5"/>
        <v>-1.0352695555493846E-2</v>
      </c>
      <c r="G20" s="9">
        <f t="shared" si="6"/>
        <v>-1.9499037018908479E-2</v>
      </c>
      <c r="H20" s="9">
        <f t="shared" si="7"/>
        <v>-1.9499037018908479E-2</v>
      </c>
      <c r="J20" s="14" t="s">
        <v>46</v>
      </c>
      <c r="K20" s="8">
        <f t="shared" si="9"/>
        <v>2.0938563241780922E-3</v>
      </c>
      <c r="L20" s="8">
        <f t="shared" si="9"/>
        <v>4.6985631370863816E-4</v>
      </c>
      <c r="M20" s="8">
        <f t="shared" si="9"/>
        <v>3.0367352734365673E-3</v>
      </c>
      <c r="N20" s="8">
        <f t="shared" si="9"/>
        <v>3.6263452992482239E-3</v>
      </c>
      <c r="O20" s="8">
        <f t="shared" si="9"/>
        <v>2.0680796838236271E-3</v>
      </c>
      <c r="P20" s="8">
        <f t="shared" si="9"/>
        <v>2.1080040020441605E-3</v>
      </c>
    </row>
    <row r="21" spans="2:16" x14ac:dyDescent="0.3">
      <c r="B21" s="14" t="s">
        <v>53</v>
      </c>
      <c r="C21" s="9">
        <f t="shared" si="2"/>
        <v>1.6700146705628943E-4</v>
      </c>
      <c r="D21" s="9">
        <f t="shared" si="3"/>
        <v>4.1291588213055036E-3</v>
      </c>
      <c r="E21" s="9">
        <f t="shared" si="4"/>
        <v>-1.9967226720863172E-2</v>
      </c>
      <c r="F21" s="9">
        <f t="shared" si="5"/>
        <v>-1.0820885257448539E-2</v>
      </c>
      <c r="G21" s="9">
        <f t="shared" si="6"/>
        <v>-1.9967226720863172E-2</v>
      </c>
      <c r="H21" s="9">
        <f t="shared" si="7"/>
        <v>-1.9967226720863172E-2</v>
      </c>
      <c r="J21" s="14" t="s">
        <v>53</v>
      </c>
      <c r="K21" s="8">
        <f t="shared" si="9"/>
        <v>2.5461564274926185E-3</v>
      </c>
      <c r="L21" s="8">
        <f t="shared" si="9"/>
        <v>9.6227598654762252E-4</v>
      </c>
      <c r="M21" s="8">
        <f t="shared" si="9"/>
        <v>3.6006474414671283E-3</v>
      </c>
      <c r="N21" s="8">
        <f t="shared" si="9"/>
        <v>4.0786713118836334E-3</v>
      </c>
      <c r="O21" s="8">
        <f t="shared" si="9"/>
        <v>2.1177361673642751E-3</v>
      </c>
      <c r="P21" s="8">
        <f t="shared" si="9"/>
        <v>2.1586191049581802E-3</v>
      </c>
    </row>
    <row r="22" spans="2:16" x14ac:dyDescent="0.3">
      <c r="B22" s="14" t="s">
        <v>47</v>
      </c>
      <c r="C22" s="9">
        <f t="shared" si="2"/>
        <v>-7.3240337642187826E-3</v>
      </c>
      <c r="D22" s="9">
        <f t="shared" si="3"/>
        <v>-2.7458261952138244E-2</v>
      </c>
      <c r="E22" s="9">
        <f t="shared" si="4"/>
        <v>-1.1064819329187424E-2</v>
      </c>
      <c r="F22" s="9">
        <f t="shared" si="5"/>
        <v>-2.1360700976528486E-2</v>
      </c>
      <c r="G22" s="9">
        <f t="shared" si="6"/>
        <v>-4.7309892248655165E-3</v>
      </c>
      <c r="H22" s="9">
        <f t="shared" si="7"/>
        <v>-4.3123492511121589E-4</v>
      </c>
      <c r="J22" s="14" t="s">
        <v>47</v>
      </c>
      <c r="K22" s="8">
        <f t="shared" si="9"/>
        <v>4.6070909315668188E-3</v>
      </c>
      <c r="L22" s="8">
        <f t="shared" si="9"/>
        <v>1.9849345989497525E-3</v>
      </c>
      <c r="M22" s="8">
        <f t="shared" si="9"/>
        <v>5.4016253020599814E-3</v>
      </c>
      <c r="N22" s="8">
        <f t="shared" si="9"/>
        <v>6.0274233553474178E-3</v>
      </c>
      <c r="O22" s="8">
        <f t="shared" si="9"/>
        <v>3.5362913120178035E-3</v>
      </c>
      <c r="P22" s="8">
        <f t="shared" si="9"/>
        <v>3.7105759394781409E-3</v>
      </c>
    </row>
    <row r="23" spans="2:16" x14ac:dyDescent="0.3">
      <c r="B23" s="14" t="s">
        <v>48</v>
      </c>
      <c r="C23" s="9">
        <f t="shared" si="2"/>
        <v>5.2475310241735414E-3</v>
      </c>
      <c r="D23" s="9">
        <f t="shared" si="3"/>
        <v>-2.8309515955692231E-2</v>
      </c>
      <c r="E23" s="9">
        <f t="shared" si="4"/>
        <v>2.0870811913160228E-2</v>
      </c>
      <c r="F23" s="9">
        <f t="shared" si="5"/>
        <v>-1.3065613516667841E-2</v>
      </c>
      <c r="G23" s="9">
        <f t="shared" si="6"/>
        <v>-2.0733758379934655E-2</v>
      </c>
      <c r="H23" s="9">
        <f t="shared" si="7"/>
        <v>-1.2824889286652021E-3</v>
      </c>
      <c r="J23" s="14" t="s">
        <v>48</v>
      </c>
      <c r="K23" s="8">
        <f t="shared" si="9"/>
        <v>6.2698927955559969E-3</v>
      </c>
      <c r="L23" s="8">
        <f t="shared" si="9"/>
        <v>2.0464710329416071E-3</v>
      </c>
      <c r="M23" s="8">
        <f t="shared" si="9"/>
        <v>7.4254468080504205E-3</v>
      </c>
      <c r="N23" s="8">
        <f t="shared" si="9"/>
        <v>6.8184504893283107E-3</v>
      </c>
      <c r="O23" s="8">
        <f t="shared" si="9"/>
        <v>4.5037866293146734E-3</v>
      </c>
      <c r="P23" s="8">
        <f t="shared" si="9"/>
        <v>5.3558543699958267E-3</v>
      </c>
    </row>
    <row r="24" spans="2:16" x14ac:dyDescent="0.3">
      <c r="B24" s="14" t="s">
        <v>52</v>
      </c>
      <c r="C24" s="9">
        <f t="shared" si="2"/>
        <v>-8.2338114805171024E-3</v>
      </c>
      <c r="D24" s="9">
        <f t="shared" si="3"/>
        <v>-1.6319846897352226E-2</v>
      </c>
      <c r="E24" s="9">
        <f t="shared" si="4"/>
        <v>-1.1974597045485744E-2</v>
      </c>
      <c r="F24" s="9">
        <f t="shared" si="5"/>
        <v>-1.3124137229412174E-2</v>
      </c>
      <c r="G24" s="9">
        <f t="shared" si="6"/>
        <v>-1.3216524516921412E-2</v>
      </c>
      <c r="H24" s="9">
        <f t="shared" si="7"/>
        <v>-2.8368039668436564E-2</v>
      </c>
      <c r="J24" s="14" t="s">
        <v>52</v>
      </c>
      <c r="K24" s="8">
        <f t="shared" si="9"/>
        <v>7.8059706470194595E-3</v>
      </c>
      <c r="L24" s="8">
        <f t="shared" si="9"/>
        <v>2.3924852732416383E-3</v>
      </c>
      <c r="M24" s="8">
        <f t="shared" si="9"/>
        <v>9.3009966126021536E-3</v>
      </c>
      <c r="N24" s="8">
        <f t="shared" si="9"/>
        <v>7.6974253978379717E-3</v>
      </c>
      <c r="O24" s="8">
        <f t="shared" si="9"/>
        <v>5.1578253942611944E-3</v>
      </c>
      <c r="P24" s="8">
        <f t="shared" si="9"/>
        <v>6.1336301985808802E-3</v>
      </c>
    </row>
    <row r="25" spans="2:16" x14ac:dyDescent="0.3">
      <c r="B25" s="14" t="s">
        <v>54</v>
      </c>
      <c r="C25" s="9">
        <f t="shared" si="2"/>
        <v>-3.9378353196283834E-3</v>
      </c>
      <c r="D25" s="9">
        <f t="shared" si="3"/>
        <v>-3.0783472903521E-2</v>
      </c>
      <c r="E25" s="9">
        <f t="shared" si="4"/>
        <v>-2.2586751592045588E-2</v>
      </c>
      <c r="F25" s="9">
        <f t="shared" si="5"/>
        <v>-2.9566802547222049E-4</v>
      </c>
      <c r="G25" s="9">
        <f t="shared" si="6"/>
        <v>1.4671072551024456E-2</v>
      </c>
      <c r="H25" s="9">
        <f t="shared" si="7"/>
        <v>-3.0783472903521E-2</v>
      </c>
      <c r="J25" s="14" t="s">
        <v>54</v>
      </c>
      <c r="K25" s="8">
        <f t="shared" si="9"/>
        <v>9.9168234856980356E-3</v>
      </c>
      <c r="L25" s="8">
        <f t="shared" si="9"/>
        <v>2.967081725640577E-3</v>
      </c>
      <c r="M25" s="8">
        <f t="shared" si="9"/>
        <v>1.08499125807492E-2</v>
      </c>
      <c r="N25" s="8">
        <f t="shared" si="9"/>
        <v>9.7606133596529979E-3</v>
      </c>
      <c r="O25" s="8">
        <f t="shared" si="9"/>
        <v>7.4626600978232698E-3</v>
      </c>
      <c r="P25" s="8">
        <f t="shared" si="9"/>
        <v>6.655886033193727E-3</v>
      </c>
    </row>
    <row r="26" spans="2:16" x14ac:dyDescent="0.3">
      <c r="B26" s="14" t="s">
        <v>50</v>
      </c>
      <c r="C26" s="9">
        <f t="shared" si="2"/>
        <v>-1.331916147767126E-2</v>
      </c>
      <c r="D26" s="9">
        <f t="shared" si="3"/>
        <v>-6.9759688687180438E-2</v>
      </c>
      <c r="E26" s="9">
        <f t="shared" si="4"/>
        <v>-6.9265910294922878E-2</v>
      </c>
      <c r="F26" s="9">
        <f t="shared" si="5"/>
        <v>-5.4414400830076481E-3</v>
      </c>
      <c r="G26" s="9">
        <f t="shared" si="6"/>
        <v>1.2204531831256957E-2</v>
      </c>
      <c r="H26" s="9">
        <f t="shared" si="7"/>
        <v>8.1819601446326579E-2</v>
      </c>
      <c r="J26" s="14" t="s">
        <v>50</v>
      </c>
      <c r="K26" s="8">
        <f t="shared" si="9"/>
        <v>4.0314018460928469E-2</v>
      </c>
      <c r="L26" s="8">
        <f t="shared" si="9"/>
        <v>1.1307960750523991E-2</v>
      </c>
      <c r="M26" s="8">
        <f t="shared" si="9"/>
        <v>3.6157667940814819E-2</v>
      </c>
      <c r="N26" s="8">
        <f t="shared" si="9"/>
        <v>4.0918959191454038E-2</v>
      </c>
      <c r="O26" s="8">
        <f t="shared" si="9"/>
        <v>3.6973604999440558E-2</v>
      </c>
      <c r="P26" s="8">
        <f t="shared" si="9"/>
        <v>3.678143449528546E-2</v>
      </c>
    </row>
    <row r="27" spans="2:16" x14ac:dyDescent="0.3">
      <c r="B27" s="14" t="s">
        <v>43</v>
      </c>
      <c r="C27" s="9">
        <f t="shared" si="2"/>
        <v>5.0215487952434912E-2</v>
      </c>
      <c r="D27" s="9">
        <f t="shared" si="3"/>
        <v>0.23295988837290871</v>
      </c>
      <c r="E27" s="9">
        <f t="shared" si="4"/>
        <v>0.10033101221252949</v>
      </c>
      <c r="F27" s="9">
        <f t="shared" si="5"/>
        <v>4.305392304819522E-2</v>
      </c>
      <c r="G27" s="9">
        <f t="shared" si="6"/>
        <v>5.5249044999414743E-2</v>
      </c>
      <c r="H27" s="9">
        <f t="shared" si="7"/>
        <v>2.1465261215630971E-2</v>
      </c>
      <c r="J27" s="14" t="s">
        <v>43</v>
      </c>
      <c r="K27" s="8">
        <f t="shared" si="9"/>
        <v>0.87193576231617065</v>
      </c>
      <c r="L27" s="8">
        <f t="shared" si="9"/>
        <v>0.74497391560303716</v>
      </c>
      <c r="M27" s="8">
        <f t="shared" si="9"/>
        <v>0.8371179539761151</v>
      </c>
      <c r="N27" s="8">
        <f t="shared" si="9"/>
        <v>0.8769112663726899</v>
      </c>
      <c r="O27" s="8">
        <f t="shared" si="9"/>
        <v>0.86843869375073157</v>
      </c>
      <c r="P27" s="8">
        <f t="shared" si="9"/>
        <v>0.89191000979804869</v>
      </c>
    </row>
    <row r="28" spans="2:16" x14ac:dyDescent="0.3">
      <c r="J28" s="15" t="s">
        <v>35</v>
      </c>
      <c r="K28" s="10">
        <f t="shared" ref="K28:P28" si="10">SUM(K16:K27)</f>
        <v>0.94838583459063497</v>
      </c>
      <c r="L28" s="10">
        <f t="shared" si="10"/>
        <v>0.76732074340627499</v>
      </c>
      <c r="M28" s="10">
        <f t="shared" si="10"/>
        <v>0.91699274811830134</v>
      </c>
      <c r="N28" s="10">
        <f t="shared" si="10"/>
        <v>0.95998119974389717</v>
      </c>
      <c r="O28" s="10">
        <f t="shared" si="10"/>
        <v>0.93438032739099997</v>
      </c>
      <c r="P28" s="10">
        <f t="shared" si="10"/>
        <v>0.95779750105184513</v>
      </c>
    </row>
    <row r="29" spans="2:16" x14ac:dyDescent="0.3">
      <c r="J29" s="16" t="s">
        <v>36</v>
      </c>
      <c r="K29" s="13">
        <f>1-K28</f>
        <v>5.1614165409365032E-2</v>
      </c>
      <c r="L29" s="13">
        <f t="shared" ref="L29:P29" si="11">1-L28</f>
        <v>0.23267925659372501</v>
      </c>
      <c r="M29" s="13">
        <f t="shared" si="11"/>
        <v>8.3007251881698663E-2</v>
      </c>
      <c r="N29" s="13">
        <f t="shared" si="11"/>
        <v>4.0018800256102827E-2</v>
      </c>
      <c r="O29" s="13">
        <f t="shared" si="11"/>
        <v>6.5619672609000035E-2</v>
      </c>
      <c r="P29" s="13">
        <f t="shared" si="11"/>
        <v>4.2202498948154865E-2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B8BB-C236-4BE3-9031-C3CC783A76BC}">
  <dimension ref="A1:P41"/>
  <sheetViews>
    <sheetView workbookViewId="0">
      <selection activeCell="I21" sqref="I21"/>
    </sheetView>
  </sheetViews>
  <sheetFormatPr defaultRowHeight="14.4" x14ac:dyDescent="0.3"/>
  <cols>
    <col min="2" max="2" width="12" customWidth="1"/>
    <col min="10" max="10" width="14.33203125" customWidth="1"/>
    <col min="11" max="11" width="12" bestFit="1" customWidth="1"/>
    <col min="13" max="13" width="12" bestFit="1" customWidth="1"/>
    <col min="15" max="16" width="12" bestFit="1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61</v>
      </c>
      <c r="B2" s="17">
        <v>1.2382688152534266E-2</v>
      </c>
      <c r="C2" s="17">
        <v>1.2658227848101266E-2</v>
      </c>
      <c r="D2" s="17">
        <v>1.2903225806451613E-2</v>
      </c>
      <c r="E2" s="17">
        <v>2.0134228187919462E-2</v>
      </c>
      <c r="F2" s="17">
        <v>2.5974025974025976E-2</v>
      </c>
      <c r="G2" s="17">
        <v>2.1052631578947368E-2</v>
      </c>
      <c r="H2" s="17">
        <v>2.9126213592233011E-2</v>
      </c>
      <c r="I2" s="9">
        <v>1.2382688152534266E-2</v>
      </c>
      <c r="J2" s="17">
        <v>1.2382688152534266E-2</v>
      </c>
      <c r="K2" s="18">
        <v>1.2658227848101266E-2</v>
      </c>
      <c r="L2" s="18">
        <v>1.2903225806451613E-2</v>
      </c>
      <c r="M2" s="18">
        <v>2.0134228187919462E-2</v>
      </c>
      <c r="N2" s="18">
        <v>2.5974025974025976E-2</v>
      </c>
      <c r="O2" s="18">
        <v>2.1052631578947368E-2</v>
      </c>
      <c r="P2" s="18">
        <v>2.9126213592233011E-2</v>
      </c>
    </row>
    <row r="3" spans="1:16" x14ac:dyDescent="0.3">
      <c r="A3" s="8" t="s">
        <v>59</v>
      </c>
      <c r="B3" s="17">
        <v>1.4217618631348034E-2</v>
      </c>
      <c r="C3" s="17">
        <v>1.2658227848101266E-2</v>
      </c>
      <c r="D3" s="17">
        <v>2.5806451612903226E-2</v>
      </c>
      <c r="E3" s="17">
        <v>2.6845637583892617E-2</v>
      </c>
      <c r="F3" s="17">
        <v>2.1645021645021644E-2</v>
      </c>
      <c r="G3" s="17">
        <v>2.1052631578947368E-2</v>
      </c>
      <c r="H3" s="17">
        <v>2.9126213592233011E-2</v>
      </c>
      <c r="I3" s="9">
        <v>2.66003067838823E-2</v>
      </c>
      <c r="J3" s="9">
        <f t="shared" ref="J3:P18" si="0">J2+B3</f>
        <v>2.66003067838823E-2</v>
      </c>
      <c r="K3" s="9">
        <f t="shared" si="0"/>
        <v>2.5316455696202531E-2</v>
      </c>
      <c r="L3" s="9">
        <f t="shared" si="0"/>
        <v>3.870967741935484E-2</v>
      </c>
      <c r="M3" s="9">
        <f t="shared" si="0"/>
        <v>4.6979865771812082E-2</v>
      </c>
      <c r="N3" s="9">
        <f t="shared" si="0"/>
        <v>4.7619047619047616E-2</v>
      </c>
      <c r="O3" s="9">
        <f t="shared" si="0"/>
        <v>4.2105263157894736E-2</v>
      </c>
      <c r="P3" s="9">
        <f t="shared" si="0"/>
        <v>5.8252427184466021E-2</v>
      </c>
    </row>
    <row r="4" spans="1:16" x14ac:dyDescent="0.3">
      <c r="A4" s="8" t="s">
        <v>58</v>
      </c>
      <c r="B4" s="17">
        <v>1.6242227316960529E-2</v>
      </c>
      <c r="C4" s="17">
        <v>1.6877637130801686E-2</v>
      </c>
      <c r="D4" s="17">
        <v>6.4516129032258064E-3</v>
      </c>
      <c r="E4" s="17">
        <v>1.3422818791946308E-2</v>
      </c>
      <c r="F4" s="17">
        <v>1.2987012987012988E-2</v>
      </c>
      <c r="G4" s="17">
        <v>2.1052631578947368E-2</v>
      </c>
      <c r="H4" s="17">
        <v>2.9126213592233011E-2</v>
      </c>
      <c r="I4" s="9">
        <v>4.2842534100842829E-2</v>
      </c>
      <c r="J4" s="9">
        <f t="shared" si="0"/>
        <v>4.2842534100842829E-2</v>
      </c>
      <c r="K4" s="9">
        <f t="shared" si="0"/>
        <v>4.2194092827004218E-2</v>
      </c>
      <c r="L4" s="9">
        <f t="shared" si="0"/>
        <v>4.5161290322580649E-2</v>
      </c>
      <c r="M4" s="9">
        <f t="shared" si="0"/>
        <v>6.0402684563758392E-2</v>
      </c>
      <c r="N4" s="9">
        <f t="shared" si="0"/>
        <v>6.0606060606060608E-2</v>
      </c>
      <c r="O4" s="9">
        <f t="shared" si="0"/>
        <v>6.3157894736842107E-2</v>
      </c>
      <c r="P4" s="9">
        <f t="shared" si="0"/>
        <v>8.7378640776699032E-2</v>
      </c>
    </row>
    <row r="5" spans="1:16" x14ac:dyDescent="0.3">
      <c r="A5" s="8" t="s">
        <v>65</v>
      </c>
      <c r="B5" s="17">
        <v>1.8291576638242425E-2</v>
      </c>
      <c r="C5" s="17">
        <v>0</v>
      </c>
      <c r="D5" s="17">
        <v>1.935483870967742E-2</v>
      </c>
      <c r="E5" s="17">
        <v>0</v>
      </c>
      <c r="F5" s="17">
        <v>2.5974025974025976E-2</v>
      </c>
      <c r="G5" s="17">
        <v>1.0526315789473684E-2</v>
      </c>
      <c r="H5" s="17">
        <v>9.7087378640776691E-3</v>
      </c>
      <c r="I5" s="9">
        <v>6.1134110739085257E-2</v>
      </c>
      <c r="J5" s="9">
        <f t="shared" si="0"/>
        <v>6.1134110739085257E-2</v>
      </c>
      <c r="K5" s="9">
        <f t="shared" si="0"/>
        <v>4.2194092827004218E-2</v>
      </c>
      <c r="L5" s="9">
        <f t="shared" si="0"/>
        <v>6.4516129032258063E-2</v>
      </c>
      <c r="M5" s="9">
        <f t="shared" si="0"/>
        <v>6.0402684563758392E-2</v>
      </c>
      <c r="N5" s="9">
        <f t="shared" si="0"/>
        <v>8.658008658008659E-2</v>
      </c>
      <c r="O5" s="9">
        <f t="shared" si="0"/>
        <v>7.3684210526315796E-2</v>
      </c>
      <c r="P5" s="9">
        <f t="shared" si="0"/>
        <v>9.7087378640776698E-2</v>
      </c>
    </row>
    <row r="6" spans="1:16" x14ac:dyDescent="0.3">
      <c r="A6" s="8" t="s">
        <v>68</v>
      </c>
      <c r="B6" s="17">
        <v>1.8642068976892245E-2</v>
      </c>
      <c r="C6" s="17">
        <v>3.3755274261603373E-2</v>
      </c>
      <c r="D6" s="17">
        <v>3.2258064516129031E-2</v>
      </c>
      <c r="E6" s="17">
        <v>2.0134228187919462E-2</v>
      </c>
      <c r="F6" s="17">
        <v>3.0303030303030304E-2</v>
      </c>
      <c r="G6" s="17">
        <v>2.6315789473684209E-2</v>
      </c>
      <c r="H6" s="17">
        <v>2.9126213592233011E-2</v>
      </c>
      <c r="I6" s="9">
        <v>7.9776179715977502E-2</v>
      </c>
      <c r="J6" s="9">
        <f t="shared" si="0"/>
        <v>7.9776179715977502E-2</v>
      </c>
      <c r="K6" s="9">
        <f t="shared" si="0"/>
        <v>7.5949367088607583E-2</v>
      </c>
      <c r="L6" s="9">
        <f t="shared" si="0"/>
        <v>9.6774193548387094E-2</v>
      </c>
      <c r="M6" s="9">
        <f t="shared" si="0"/>
        <v>8.0536912751677847E-2</v>
      </c>
      <c r="N6" s="9">
        <f t="shared" si="0"/>
        <v>0.11688311688311689</v>
      </c>
      <c r="O6" s="9">
        <f t="shared" si="0"/>
        <v>0.1</v>
      </c>
      <c r="P6" s="9">
        <f t="shared" si="0"/>
        <v>0.12621359223300971</v>
      </c>
    </row>
    <row r="7" spans="1:16" x14ac:dyDescent="0.3">
      <c r="A7" s="8" t="s">
        <v>63</v>
      </c>
      <c r="B7" s="17">
        <v>2.1107885665275692E-2</v>
      </c>
      <c r="C7" s="17">
        <v>8.4388185654008432E-3</v>
      </c>
      <c r="D7" s="17">
        <v>6.4516129032258064E-3</v>
      </c>
      <c r="E7" s="17">
        <v>4.6979865771812082E-2</v>
      </c>
      <c r="F7" s="17">
        <v>1.7316017316017316E-2</v>
      </c>
      <c r="G7" s="17">
        <v>5.263157894736842E-3</v>
      </c>
      <c r="H7" s="17">
        <v>1.9417475728155338E-2</v>
      </c>
      <c r="I7" s="9">
        <v>0.10088406538125319</v>
      </c>
      <c r="J7" s="9">
        <f t="shared" si="0"/>
        <v>0.10088406538125319</v>
      </c>
      <c r="K7" s="9">
        <f t="shared" si="0"/>
        <v>8.4388185654008421E-2</v>
      </c>
      <c r="L7" s="9">
        <f t="shared" si="0"/>
        <v>0.1032258064516129</v>
      </c>
      <c r="M7" s="9">
        <f t="shared" si="0"/>
        <v>0.12751677852348992</v>
      </c>
      <c r="N7" s="9">
        <f t="shared" si="0"/>
        <v>0.13419913419913421</v>
      </c>
      <c r="O7" s="9">
        <f t="shared" si="0"/>
        <v>0.10526315789473685</v>
      </c>
      <c r="P7" s="9">
        <f t="shared" si="0"/>
        <v>0.14563106796116504</v>
      </c>
    </row>
    <row r="8" spans="1:16" x14ac:dyDescent="0.3">
      <c r="A8" s="8" t="s">
        <v>71</v>
      </c>
      <c r="B8" s="17">
        <v>3.2476207755364597E-2</v>
      </c>
      <c r="C8" s="17">
        <v>6.3291139240506333E-2</v>
      </c>
      <c r="D8" s="17">
        <v>9.6774193548387094E-2</v>
      </c>
      <c r="E8" s="17">
        <v>7.3825503355704702E-2</v>
      </c>
      <c r="F8" s="17">
        <v>3.896103896103896E-2</v>
      </c>
      <c r="G8" s="17">
        <v>3.6842105263157891E-2</v>
      </c>
      <c r="H8" s="17">
        <v>4.8543689320388349E-2</v>
      </c>
      <c r="I8" s="9">
        <v>0.1333602731366178</v>
      </c>
      <c r="J8" s="9">
        <f t="shared" si="0"/>
        <v>0.1333602731366178</v>
      </c>
      <c r="K8" s="9">
        <f t="shared" si="0"/>
        <v>0.14767932489451474</v>
      </c>
      <c r="L8" s="9">
        <f t="shared" si="0"/>
        <v>0.2</v>
      </c>
      <c r="M8" s="9">
        <f t="shared" si="0"/>
        <v>0.20134228187919462</v>
      </c>
      <c r="N8" s="9">
        <f t="shared" si="0"/>
        <v>0.17316017316017318</v>
      </c>
      <c r="O8" s="9">
        <f t="shared" si="0"/>
        <v>0.14210526315789473</v>
      </c>
      <c r="P8" s="9">
        <f t="shared" si="0"/>
        <v>0.1941747572815534</v>
      </c>
    </row>
    <row r="9" spans="1:16" x14ac:dyDescent="0.3">
      <c r="A9" s="8" t="s">
        <v>72</v>
      </c>
      <c r="B9" s="17">
        <v>3.3647264510382822E-2</v>
      </c>
      <c r="C9" s="17">
        <v>3.7974683544303799E-2</v>
      </c>
      <c r="D9" s="17">
        <v>1.935483870967742E-2</v>
      </c>
      <c r="E9" s="17">
        <v>4.6979865771812082E-2</v>
      </c>
      <c r="F9" s="17">
        <v>4.329004329004329E-3</v>
      </c>
      <c r="G9" s="17">
        <v>1.5789473684210527E-2</v>
      </c>
      <c r="H9" s="17">
        <v>1.9417475728155338E-2</v>
      </c>
      <c r="I9" s="9">
        <v>0.16700753764700063</v>
      </c>
      <c r="J9" s="9">
        <f t="shared" si="0"/>
        <v>0.16700753764700063</v>
      </c>
      <c r="K9" s="9">
        <f t="shared" si="0"/>
        <v>0.18565400843881855</v>
      </c>
      <c r="L9" s="9">
        <f t="shared" si="0"/>
        <v>0.21935483870967742</v>
      </c>
      <c r="M9" s="9">
        <f t="shared" si="0"/>
        <v>0.24832214765100669</v>
      </c>
      <c r="N9" s="9">
        <f t="shared" si="0"/>
        <v>0.1774891774891775</v>
      </c>
      <c r="O9" s="9">
        <f t="shared" si="0"/>
        <v>0.15789473684210525</v>
      </c>
      <c r="P9" s="9">
        <f t="shared" si="0"/>
        <v>0.21359223300970873</v>
      </c>
    </row>
    <row r="10" spans="1:16" x14ac:dyDescent="0.3">
      <c r="A10" s="8" t="s">
        <v>64</v>
      </c>
      <c r="B10" s="17">
        <v>3.5915156113411076E-2</v>
      </c>
      <c r="C10" s="17">
        <v>8.4388185654008432E-3</v>
      </c>
      <c r="D10" s="17">
        <v>6.4516129032258064E-3</v>
      </c>
      <c r="E10" s="17">
        <v>6.7114093959731542E-3</v>
      </c>
      <c r="F10" s="17">
        <v>4.329004329004329E-3</v>
      </c>
      <c r="G10" s="17">
        <v>5.263157894736842E-3</v>
      </c>
      <c r="H10" s="17">
        <v>0</v>
      </c>
      <c r="I10" s="9">
        <v>0.20292269376041172</v>
      </c>
      <c r="J10" s="9">
        <f t="shared" si="0"/>
        <v>0.20292269376041172</v>
      </c>
      <c r="K10" s="9">
        <f t="shared" si="0"/>
        <v>0.1940928270042194</v>
      </c>
      <c r="L10" s="9">
        <f t="shared" si="0"/>
        <v>0.22580645161290322</v>
      </c>
      <c r="M10" s="9">
        <f t="shared" si="0"/>
        <v>0.25503355704697983</v>
      </c>
      <c r="N10" s="9">
        <f t="shared" si="0"/>
        <v>0.18181818181818182</v>
      </c>
      <c r="O10" s="9">
        <f t="shared" si="0"/>
        <v>0.16315789473684209</v>
      </c>
      <c r="P10" s="9">
        <f t="shared" si="0"/>
        <v>0.21359223300970873</v>
      </c>
    </row>
    <row r="11" spans="1:16" x14ac:dyDescent="0.3">
      <c r="A11" s="8" t="s">
        <v>69</v>
      </c>
      <c r="B11" s="17">
        <v>3.5968760824028105E-2</v>
      </c>
      <c r="C11" s="17">
        <v>4.6413502109704644E-2</v>
      </c>
      <c r="D11" s="17">
        <v>1.935483870967742E-2</v>
      </c>
      <c r="E11" s="17">
        <v>6.7114093959731544E-2</v>
      </c>
      <c r="F11" s="17">
        <v>9.0909090909090912E-2</v>
      </c>
      <c r="G11" s="17">
        <v>2.6315789473684209E-2</v>
      </c>
      <c r="H11" s="17">
        <v>1.9417475728155338E-2</v>
      </c>
      <c r="I11" s="9">
        <v>0.23889145458443983</v>
      </c>
      <c r="J11" s="9">
        <f t="shared" si="0"/>
        <v>0.23889145458443983</v>
      </c>
      <c r="K11" s="9">
        <f t="shared" si="0"/>
        <v>0.24050632911392406</v>
      </c>
      <c r="L11" s="9">
        <f t="shared" si="0"/>
        <v>0.24516129032258063</v>
      </c>
      <c r="M11" s="9">
        <f t="shared" si="0"/>
        <v>0.32214765100671139</v>
      </c>
      <c r="N11" s="9">
        <f t="shared" si="0"/>
        <v>0.27272727272727271</v>
      </c>
      <c r="O11" s="9">
        <f t="shared" si="0"/>
        <v>0.18947368421052629</v>
      </c>
      <c r="P11" s="9">
        <f t="shared" si="0"/>
        <v>0.23300970873786406</v>
      </c>
    </row>
    <row r="12" spans="1:16" x14ac:dyDescent="0.3">
      <c r="A12" s="8" t="s">
        <v>66</v>
      </c>
      <c r="B12" s="17">
        <v>3.7638753731712549E-2</v>
      </c>
      <c r="C12" s="17">
        <v>4.6413502109704644E-2</v>
      </c>
      <c r="D12" s="17">
        <v>3.2258064516129031E-2</v>
      </c>
      <c r="E12" s="17">
        <v>6.7114093959731544E-2</v>
      </c>
      <c r="F12" s="17">
        <v>5.1948051948051951E-2</v>
      </c>
      <c r="G12" s="17">
        <v>3.1578947368421054E-2</v>
      </c>
      <c r="H12" s="17">
        <v>5.8252427184466021E-2</v>
      </c>
      <c r="I12" s="9">
        <v>0.27653020831615238</v>
      </c>
      <c r="J12" s="9">
        <f t="shared" si="0"/>
        <v>0.27653020831615238</v>
      </c>
      <c r="K12" s="9">
        <f t="shared" si="0"/>
        <v>0.28691983122362869</v>
      </c>
      <c r="L12" s="9">
        <f t="shared" si="0"/>
        <v>0.27741935483870966</v>
      </c>
      <c r="M12" s="9">
        <f t="shared" si="0"/>
        <v>0.38926174496644295</v>
      </c>
      <c r="N12" s="9">
        <f t="shared" si="0"/>
        <v>0.32467532467532467</v>
      </c>
      <c r="O12" s="9">
        <f t="shared" si="0"/>
        <v>0.22105263157894733</v>
      </c>
      <c r="P12" s="9">
        <f t="shared" si="0"/>
        <v>0.29126213592233008</v>
      </c>
    </row>
    <row r="13" spans="1:16" x14ac:dyDescent="0.3">
      <c r="A13" s="8" t="s">
        <v>60</v>
      </c>
      <c r="B13" s="17">
        <v>4.2434313612297749E-2</v>
      </c>
      <c r="C13" s="17">
        <v>4.6413502109704644E-2</v>
      </c>
      <c r="D13" s="17">
        <v>2.5806451612903226E-2</v>
      </c>
      <c r="E13" s="17">
        <v>2.6845637583892617E-2</v>
      </c>
      <c r="F13" s="17">
        <v>5.1948051948051951E-2</v>
      </c>
      <c r="G13" s="17">
        <v>2.6315789473684209E-2</v>
      </c>
      <c r="H13" s="17">
        <v>4.8543689320388349E-2</v>
      </c>
      <c r="I13" s="9">
        <v>0.31896452192845015</v>
      </c>
      <c r="J13" s="9">
        <f t="shared" si="0"/>
        <v>0.31896452192845015</v>
      </c>
      <c r="K13" s="9">
        <f t="shared" si="0"/>
        <v>0.33333333333333331</v>
      </c>
      <c r="L13" s="9">
        <f t="shared" si="0"/>
        <v>0.3032258064516129</v>
      </c>
      <c r="M13" s="9">
        <f t="shared" si="0"/>
        <v>0.41610738255033558</v>
      </c>
      <c r="N13" s="9">
        <f t="shared" si="0"/>
        <v>0.37662337662337664</v>
      </c>
      <c r="O13" s="9">
        <f t="shared" si="0"/>
        <v>0.24736842105263154</v>
      </c>
      <c r="P13" s="9">
        <f t="shared" si="0"/>
        <v>0.33980582524271841</v>
      </c>
    </row>
    <row r="14" spans="1:16" x14ac:dyDescent="0.3">
      <c r="A14" s="8" t="s">
        <v>70</v>
      </c>
      <c r="B14" s="17">
        <v>4.5271239835722177E-2</v>
      </c>
      <c r="C14" s="17">
        <v>1.2658227848101266E-2</v>
      </c>
      <c r="D14" s="17">
        <v>1.2903225806451613E-2</v>
      </c>
      <c r="E14" s="17">
        <v>2.0134228187919462E-2</v>
      </c>
      <c r="F14" s="17">
        <v>3.896103896103896E-2</v>
      </c>
      <c r="G14" s="17">
        <v>3.6842105263157891E-2</v>
      </c>
      <c r="H14" s="17">
        <v>4.8543689320388349E-2</v>
      </c>
      <c r="I14" s="9">
        <v>0.36423576176417233</v>
      </c>
      <c r="J14" s="9">
        <f t="shared" si="0"/>
        <v>0.36423576176417233</v>
      </c>
      <c r="K14" s="9">
        <f t="shared" si="0"/>
        <v>0.34599156118143459</v>
      </c>
      <c r="L14" s="9">
        <f t="shared" si="0"/>
        <v>0.31612903225806449</v>
      </c>
      <c r="M14" s="9">
        <f t="shared" si="0"/>
        <v>0.43624161073825507</v>
      </c>
      <c r="N14" s="9">
        <f t="shared" si="0"/>
        <v>0.41558441558441561</v>
      </c>
      <c r="O14" s="9">
        <f t="shared" si="0"/>
        <v>0.28421052631578941</v>
      </c>
      <c r="P14" s="9">
        <f t="shared" si="0"/>
        <v>0.38834951456310673</v>
      </c>
    </row>
    <row r="15" spans="1:16" x14ac:dyDescent="0.3">
      <c r="A15" s="8" t="s">
        <v>67</v>
      </c>
      <c r="B15" s="17">
        <v>4.774117996338386E-2</v>
      </c>
      <c r="C15" s="17">
        <v>9.2827004219409287E-2</v>
      </c>
      <c r="D15" s="17">
        <v>0.1032258064516129</v>
      </c>
      <c r="E15" s="17">
        <v>6.0402684563758392E-2</v>
      </c>
      <c r="F15" s="17">
        <v>6.4935064935064929E-2</v>
      </c>
      <c r="G15" s="17">
        <v>8.4210526315789472E-2</v>
      </c>
      <c r="H15" s="17">
        <v>4.8543689320388349E-2</v>
      </c>
      <c r="I15" s="9">
        <v>0.41197694172755617</v>
      </c>
      <c r="J15" s="9">
        <f t="shared" si="0"/>
        <v>0.41197694172755617</v>
      </c>
      <c r="K15" s="9">
        <f t="shared" si="0"/>
        <v>0.43881856540084385</v>
      </c>
      <c r="L15" s="9">
        <f t="shared" si="0"/>
        <v>0.41935483870967738</v>
      </c>
      <c r="M15" s="9">
        <f t="shared" si="0"/>
        <v>0.49664429530201348</v>
      </c>
      <c r="N15" s="9">
        <f t="shared" si="0"/>
        <v>0.48051948051948057</v>
      </c>
      <c r="O15" s="9">
        <f t="shared" si="0"/>
        <v>0.36842105263157887</v>
      </c>
      <c r="P15" s="9">
        <f t="shared" si="0"/>
        <v>0.43689320388349506</v>
      </c>
    </row>
    <row r="16" spans="1:16" x14ac:dyDescent="0.3">
      <c r="A16" s="8" t="s">
        <v>62</v>
      </c>
      <c r="B16" s="17">
        <v>5.4078906134028271E-2</v>
      </c>
      <c r="C16" s="17">
        <v>4.6413502109704644E-2</v>
      </c>
      <c r="D16" s="17">
        <v>5.8064516129032261E-2</v>
      </c>
      <c r="E16" s="17">
        <v>2.6845637583892617E-2</v>
      </c>
      <c r="F16" s="17">
        <v>6.0606060606060608E-2</v>
      </c>
      <c r="G16" s="17">
        <v>5.7894736842105263E-2</v>
      </c>
      <c r="H16" s="17">
        <v>4.8543689320388349E-2</v>
      </c>
      <c r="I16" s="9">
        <v>0.46605584786158444</v>
      </c>
      <c r="J16" s="9">
        <f t="shared" si="0"/>
        <v>0.46605584786158444</v>
      </c>
      <c r="K16" s="9">
        <f t="shared" si="0"/>
        <v>0.48523206751054848</v>
      </c>
      <c r="L16" s="9">
        <f t="shared" si="0"/>
        <v>0.47741935483870962</v>
      </c>
      <c r="M16" s="9">
        <f t="shared" si="0"/>
        <v>0.52348993288590606</v>
      </c>
      <c r="N16" s="9">
        <f t="shared" si="0"/>
        <v>0.54112554112554112</v>
      </c>
      <c r="O16" s="9">
        <f t="shared" si="0"/>
        <v>0.42631578947368415</v>
      </c>
      <c r="P16" s="9">
        <f t="shared" si="0"/>
        <v>0.48543689320388339</v>
      </c>
    </row>
    <row r="17" spans="1:16" x14ac:dyDescent="0.3">
      <c r="A17" s="8" t="s">
        <v>57</v>
      </c>
      <c r="B17" s="17">
        <v>7.2622012568242925E-2</v>
      </c>
      <c r="C17" s="17">
        <v>6.3291139240506333E-2</v>
      </c>
      <c r="D17" s="17">
        <v>9.0322580645161285E-2</v>
      </c>
      <c r="E17" s="17">
        <v>2.6845637583892617E-2</v>
      </c>
      <c r="F17" s="17">
        <v>4.7619047619047616E-2</v>
      </c>
      <c r="G17" s="17">
        <v>6.3157894736842107E-2</v>
      </c>
      <c r="H17" s="17">
        <v>0.11650485436893204</v>
      </c>
      <c r="I17" s="9">
        <v>0.53867786042982735</v>
      </c>
      <c r="J17" s="9">
        <f t="shared" si="0"/>
        <v>0.53867786042982735</v>
      </c>
      <c r="K17" s="9">
        <f t="shared" si="0"/>
        <v>0.54852320675105481</v>
      </c>
      <c r="L17" s="9">
        <f t="shared" si="0"/>
        <v>0.56774193548387086</v>
      </c>
      <c r="M17" s="9">
        <f t="shared" si="0"/>
        <v>0.55033557046979864</v>
      </c>
      <c r="N17" s="9">
        <f t="shared" si="0"/>
        <v>0.58874458874458879</v>
      </c>
      <c r="O17" s="9">
        <f t="shared" si="0"/>
        <v>0.48947368421052628</v>
      </c>
      <c r="P17" s="9">
        <f t="shared" si="0"/>
        <v>0.60194174757281549</v>
      </c>
    </row>
    <row r="18" spans="1:16" x14ac:dyDescent="0.3">
      <c r="A18" s="8" t="s">
        <v>56</v>
      </c>
      <c r="B18" s="17">
        <v>8.6513879496610532E-2</v>
      </c>
      <c r="C18" s="17">
        <v>9.7046413502109699E-2</v>
      </c>
      <c r="D18" s="17">
        <v>0.12903225806451613</v>
      </c>
      <c r="E18" s="17">
        <v>0.10067114093959731</v>
      </c>
      <c r="F18" s="17">
        <v>0.12987012987012986</v>
      </c>
      <c r="G18" s="17">
        <v>0.18947368421052632</v>
      </c>
      <c r="H18" s="17">
        <v>7.7669902912621352E-2</v>
      </c>
      <c r="I18" s="9">
        <v>0.62519173992643784</v>
      </c>
      <c r="J18" s="9">
        <f t="shared" si="0"/>
        <v>0.62519173992643784</v>
      </c>
      <c r="K18" s="9">
        <f t="shared" si="0"/>
        <v>0.64556962025316456</v>
      </c>
      <c r="L18" s="9">
        <f t="shared" si="0"/>
        <v>0.69677419354838699</v>
      </c>
      <c r="M18" s="9">
        <f t="shared" si="0"/>
        <v>0.65100671140939592</v>
      </c>
      <c r="N18" s="9">
        <f t="shared" si="0"/>
        <v>0.71861471861471871</v>
      </c>
      <c r="O18" s="9">
        <f t="shared" si="0"/>
        <v>0.67894736842105263</v>
      </c>
      <c r="P18" s="9">
        <f t="shared" si="0"/>
        <v>0.67961165048543681</v>
      </c>
    </row>
    <row r="19" spans="1:16" x14ac:dyDescent="0.3">
      <c r="A19" s="8" t="s">
        <v>55</v>
      </c>
      <c r="B19" s="17">
        <v>0.37480826007356216</v>
      </c>
      <c r="C19" s="17">
        <v>0.35443037974683544</v>
      </c>
      <c r="D19" s="17">
        <v>0.3032258064516129</v>
      </c>
      <c r="E19" s="17">
        <v>0.34899328859060402</v>
      </c>
      <c r="F19" s="17">
        <v>0.2813852813852814</v>
      </c>
      <c r="G19" s="17">
        <v>0.32105263157894737</v>
      </c>
      <c r="H19" s="17">
        <v>0.32038834951456313</v>
      </c>
      <c r="I19" s="9">
        <v>1</v>
      </c>
      <c r="J19" s="9">
        <f t="shared" ref="J19:P19" si="1">J18+B19</f>
        <v>1</v>
      </c>
      <c r="K19" s="9">
        <f t="shared" si="1"/>
        <v>1</v>
      </c>
      <c r="L19" s="9">
        <f t="shared" si="1"/>
        <v>0.99999999999999989</v>
      </c>
      <c r="M19" s="9">
        <f t="shared" si="1"/>
        <v>1</v>
      </c>
      <c r="N19" s="9">
        <f t="shared" si="1"/>
        <v>1</v>
      </c>
      <c r="O19" s="9">
        <f t="shared" si="1"/>
        <v>1</v>
      </c>
      <c r="P19" s="9">
        <f t="shared" si="1"/>
        <v>1</v>
      </c>
    </row>
    <row r="21" spans="1:16" ht="28.8" x14ac:dyDescent="0.3">
      <c r="B21" s="2" t="s">
        <v>15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J21" s="2" t="s">
        <v>15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33</v>
      </c>
      <c r="P21" s="10" t="s">
        <v>34</v>
      </c>
    </row>
    <row r="22" spans="1:16" x14ac:dyDescent="0.3">
      <c r="B22" s="1" t="s">
        <v>61</v>
      </c>
      <c r="C22" s="9">
        <f>C2-B2</f>
        <v>2.7553969556699982E-4</v>
      </c>
      <c r="D22" s="9">
        <f>D2-B2</f>
        <v>5.2053765391734709E-4</v>
      </c>
      <c r="E22" s="9">
        <f>E2-B2</f>
        <v>7.751540035385196E-3</v>
      </c>
      <c r="F22" s="9">
        <f>F2-B2</f>
        <v>1.359133782149171E-2</v>
      </c>
      <c r="G22" s="9">
        <f>G2-B2</f>
        <v>8.6699434264131021E-3</v>
      </c>
      <c r="H22" s="9">
        <f>H2-B2</f>
        <v>1.6743525439698745E-2</v>
      </c>
      <c r="J22" s="1" t="s">
        <v>61</v>
      </c>
      <c r="K22" s="8">
        <f>(J2-0) * ((K2+0))</f>
        <v>1.5674288800676285E-4</v>
      </c>
      <c r="L22" s="8">
        <f>(J2-0) * ((L2+0))</f>
        <v>1.5977662132302277E-4</v>
      </c>
      <c r="M22" s="8">
        <f>(J2-0) * ((M2+0))</f>
        <v>2.4931586884297181E-4</v>
      </c>
      <c r="N22" s="8">
        <f>(J2-0) * ((N2+0))</f>
        <v>3.2162826370218874E-4</v>
      </c>
      <c r="O22" s="8">
        <f>(J2-0) * ((O2+0))</f>
        <v>2.6068817163230035E-4</v>
      </c>
      <c r="P22" s="8">
        <f>(J2-0) * ((P2+0))</f>
        <v>3.6066081997672617E-4</v>
      </c>
    </row>
    <row r="23" spans="1:16" x14ac:dyDescent="0.3">
      <c r="B23" s="1" t="s">
        <v>59</v>
      </c>
      <c r="C23" s="9">
        <f t="shared" ref="C23:C39" si="2">C3-B3</f>
        <v>-1.5593907832467686E-3</v>
      </c>
      <c r="D23" s="9">
        <f t="shared" ref="D23:D39" si="3">D3-B3</f>
        <v>1.1588832981555192E-2</v>
      </c>
      <c r="E23" s="9">
        <f t="shared" ref="E23:E39" si="4">E3-B3</f>
        <v>1.2628018952544583E-2</v>
      </c>
      <c r="F23" s="9">
        <f t="shared" ref="F23:F39" si="5">F3-B3</f>
        <v>7.4274030136736099E-3</v>
      </c>
      <c r="G23" s="9">
        <f t="shared" ref="G23:G39" si="6">G3-B3</f>
        <v>6.8350129475993338E-3</v>
      </c>
      <c r="H23" s="9">
        <f t="shared" ref="H23:H39" si="7">H3-B3</f>
        <v>1.4908594960884976E-2</v>
      </c>
      <c r="J23" s="1" t="s">
        <v>59</v>
      </c>
      <c r="K23" s="8">
        <f>(J3-J2) * ((K3+K2))</f>
        <v>5.3990956827903926E-4</v>
      </c>
      <c r="L23" s="8">
        <f>(J3-J2) * ((L3+L2))</f>
        <v>7.338125745211889E-4</v>
      </c>
      <c r="M23" s="8">
        <f>(J3-J2) * ((M3+M2))</f>
        <v>9.5420259270792172E-4</v>
      </c>
      <c r="N23" s="8">
        <f>(J3-J2) * ((N3+N2))</f>
        <v>1.0463182542550502E-3</v>
      </c>
      <c r="O23" s="8">
        <f>(J3-J2) * ((O3+O2))</f>
        <v>8.9795486092724428E-4</v>
      </c>
      <c r="P23" s="8">
        <f>(J3-J2) * ((P3+P2))</f>
        <v>1.2423161910886632E-3</v>
      </c>
    </row>
    <row r="24" spans="1:16" x14ac:dyDescent="0.3">
      <c r="B24" s="1" t="s">
        <v>58</v>
      </c>
      <c r="C24" s="9">
        <f t="shared" si="2"/>
        <v>6.3540981384115763E-4</v>
      </c>
      <c r="D24" s="9">
        <f t="shared" si="3"/>
        <v>-9.7906144137347231E-3</v>
      </c>
      <c r="E24" s="9">
        <f t="shared" si="4"/>
        <v>-2.8194085250142203E-3</v>
      </c>
      <c r="F24" s="9">
        <f t="shared" si="5"/>
        <v>-3.2552143299475408E-3</v>
      </c>
      <c r="G24" s="9">
        <f t="shared" si="6"/>
        <v>4.8104042619868392E-3</v>
      </c>
      <c r="H24" s="9">
        <f t="shared" si="7"/>
        <v>1.2883986275272482E-2</v>
      </c>
      <c r="J24" s="1" t="s">
        <v>58</v>
      </c>
      <c r="K24" s="8">
        <f t="shared" ref="K24:K39" si="8">(J4-J3) * ((K4+K3))</f>
        <v>1.0965216754066178E-3</v>
      </c>
      <c r="L24" s="8">
        <f t="shared" ref="L24:L39" si="9">(J4-J3) * ((L4+L3))</f>
        <v>1.36225132335798E-3</v>
      </c>
      <c r="M24" s="8">
        <f t="shared" ref="M24:M39" si="10">(J4-J3) * ((M4+M3))</f>
        <v>1.7441317924252919E-3</v>
      </c>
      <c r="N24" s="8">
        <f t="shared" ref="N24:N39" si="11">(J4-J3) * ((N4+N3))</f>
        <v>1.7578168091948623E-3</v>
      </c>
      <c r="O24" s="8">
        <f t="shared" ref="O24:O39" si="12">(J4-J3) * ((O4+O3))</f>
        <v>1.7097081386274239E-3</v>
      </c>
      <c r="P24" s="8">
        <f t="shared" ref="P24:P39" si="13">(J4-J3) * ((P4+P3))</f>
        <v>2.3653729102369701E-3</v>
      </c>
    </row>
    <row r="25" spans="1:16" x14ac:dyDescent="0.3">
      <c r="B25" s="1" t="s">
        <v>65</v>
      </c>
      <c r="C25" s="9">
        <f t="shared" si="2"/>
        <v>-1.8291576638242425E-2</v>
      </c>
      <c r="D25" s="9">
        <f t="shared" si="3"/>
        <v>1.0632620714349957E-3</v>
      </c>
      <c r="E25" s="9">
        <f t="shared" si="4"/>
        <v>-1.8291576638242425E-2</v>
      </c>
      <c r="F25" s="9">
        <f t="shared" si="5"/>
        <v>7.6824493357835512E-3</v>
      </c>
      <c r="G25" s="9">
        <f t="shared" si="6"/>
        <v>-7.7652608487687406E-3</v>
      </c>
      <c r="H25" s="9">
        <f t="shared" si="7"/>
        <v>-8.5828387741647555E-3</v>
      </c>
      <c r="J25" s="1" t="s">
        <v>65</v>
      </c>
      <c r="K25" s="8">
        <f t="shared" si="8"/>
        <v>1.5435929652525256E-3</v>
      </c>
      <c r="L25" s="8">
        <f t="shared" si="9"/>
        <v>2.0061729216136856E-3</v>
      </c>
      <c r="M25" s="8">
        <f t="shared" si="10"/>
        <v>2.2097206677071392E-3</v>
      </c>
      <c r="N25" s="8">
        <f t="shared" si="11"/>
        <v>2.6922666913430414E-3</v>
      </c>
      <c r="O25" s="8">
        <f t="shared" si="12"/>
        <v>2.5030578557594901E-3</v>
      </c>
      <c r="P25" s="8">
        <f t="shared" si="13"/>
        <v>3.374174331326273E-3</v>
      </c>
    </row>
    <row r="26" spans="1:16" x14ac:dyDescent="0.3">
      <c r="B26" s="1" t="s">
        <v>68</v>
      </c>
      <c r="C26" s="9">
        <f t="shared" si="2"/>
        <v>1.5113205284711127E-2</v>
      </c>
      <c r="D26" s="9">
        <f t="shared" si="3"/>
        <v>1.3615995539236786E-2</v>
      </c>
      <c r="E26" s="9">
        <f t="shared" si="4"/>
        <v>1.4921592110272164E-3</v>
      </c>
      <c r="F26" s="9">
        <f t="shared" si="5"/>
        <v>1.1660961326138058E-2</v>
      </c>
      <c r="G26" s="9">
        <f t="shared" si="6"/>
        <v>7.6737204967919637E-3</v>
      </c>
      <c r="H26" s="9">
        <f t="shared" si="7"/>
        <v>1.0484144615340765E-2</v>
      </c>
      <c r="J26" s="1" t="s">
        <v>68</v>
      </c>
      <c r="K26" s="8">
        <f t="shared" si="8"/>
        <v>2.2024385289155391E-3</v>
      </c>
      <c r="L26" s="8">
        <f t="shared" si="9"/>
        <v>3.0067853188535877E-3</v>
      </c>
      <c r="M26" s="8">
        <f t="shared" si="10"/>
        <v>2.6274056947297795E-3</v>
      </c>
      <c r="N26" s="8">
        <f t="shared" si="11"/>
        <v>3.7929750732205005E-3</v>
      </c>
      <c r="O26" s="8">
        <f t="shared" si="12"/>
        <v>3.2378330328286533E-3</v>
      </c>
      <c r="P26" s="8">
        <f t="shared" si="13"/>
        <v>4.1627921016361329E-3</v>
      </c>
    </row>
    <row r="27" spans="1:16" x14ac:dyDescent="0.3">
      <c r="B27" s="1" t="s">
        <v>63</v>
      </c>
      <c r="C27" s="9">
        <f t="shared" si="2"/>
        <v>-1.2669067099874849E-2</v>
      </c>
      <c r="D27" s="9">
        <f t="shared" si="3"/>
        <v>-1.4656272762049886E-2</v>
      </c>
      <c r="E27" s="9">
        <f t="shared" si="4"/>
        <v>2.587198010653639E-2</v>
      </c>
      <c r="F27" s="9">
        <f t="shared" si="5"/>
        <v>-3.791868349258376E-3</v>
      </c>
      <c r="G27" s="9">
        <f t="shared" si="6"/>
        <v>-1.5844727770538851E-2</v>
      </c>
      <c r="H27" s="9">
        <f t="shared" si="7"/>
        <v>-1.6904099371203539E-3</v>
      </c>
      <c r="J27" s="1" t="s">
        <v>63</v>
      </c>
      <c r="K27" s="8">
        <f t="shared" si="8"/>
        <v>3.3843867311412492E-3</v>
      </c>
      <c r="L27" s="8">
        <f t="shared" si="9"/>
        <v>4.2215771330551379E-3</v>
      </c>
      <c r="M27" s="8">
        <f t="shared" si="10"/>
        <v>4.3915735276748068E-3</v>
      </c>
      <c r="N27" s="8">
        <f t="shared" si="11"/>
        <v>5.2998154484241999E-3</v>
      </c>
      <c r="O27" s="8">
        <f t="shared" si="12"/>
        <v>4.332671268135537E-3</v>
      </c>
      <c r="P27" s="8">
        <f t="shared" si="13"/>
        <v>5.738066006094362E-3</v>
      </c>
    </row>
    <row r="28" spans="1:16" x14ac:dyDescent="0.3">
      <c r="B28" s="1" t="s">
        <v>71</v>
      </c>
      <c r="C28" s="9">
        <f t="shared" si="2"/>
        <v>3.0814931485141736E-2</v>
      </c>
      <c r="D28" s="9">
        <f t="shared" si="3"/>
        <v>6.4297985793022497E-2</v>
      </c>
      <c r="E28" s="9">
        <f t="shared" si="4"/>
        <v>4.1349295600340105E-2</v>
      </c>
      <c r="F28" s="9">
        <f t="shared" si="5"/>
        <v>6.4848312056743629E-3</v>
      </c>
      <c r="G28" s="9">
        <f t="shared" si="6"/>
        <v>4.3658975077932941E-3</v>
      </c>
      <c r="H28" s="9">
        <f t="shared" si="7"/>
        <v>1.6067481565023752E-2</v>
      </c>
      <c r="J28" s="1" t="s">
        <v>71</v>
      </c>
      <c r="K28" s="8">
        <f t="shared" si="8"/>
        <v>7.5366726858441058E-3</v>
      </c>
      <c r="L28" s="8">
        <f t="shared" si="9"/>
        <v>9.8476242871105586E-3</v>
      </c>
      <c r="M28" s="8">
        <f t="shared" si="10"/>
        <v>1.0680095167871582E-2</v>
      </c>
      <c r="N28" s="8">
        <f t="shared" si="11"/>
        <v>9.9818647213458338E-3</v>
      </c>
      <c r="O28" s="8">
        <f t="shared" si="12"/>
        <v>8.0335882342217717E-3</v>
      </c>
      <c r="P28" s="8">
        <f t="shared" si="13"/>
        <v>1.1035604577065643E-2</v>
      </c>
    </row>
    <row r="29" spans="1:16" x14ac:dyDescent="0.3">
      <c r="B29" s="1" t="s">
        <v>72</v>
      </c>
      <c r="C29" s="9">
        <f t="shared" si="2"/>
        <v>4.3274190339209762E-3</v>
      </c>
      <c r="D29" s="9">
        <f t="shared" si="3"/>
        <v>-1.4292425800705402E-2</v>
      </c>
      <c r="E29" s="9">
        <f t="shared" si="4"/>
        <v>1.333260126142926E-2</v>
      </c>
      <c r="F29" s="9">
        <f t="shared" si="5"/>
        <v>-2.9318260181378494E-2</v>
      </c>
      <c r="G29" s="9">
        <f t="shared" si="6"/>
        <v>-1.7857790826172296E-2</v>
      </c>
      <c r="H29" s="9">
        <f t="shared" si="7"/>
        <v>-1.4229788782227484E-2</v>
      </c>
      <c r="J29" s="1" t="s">
        <v>72</v>
      </c>
      <c r="K29" s="8">
        <f t="shared" si="8"/>
        <v>1.1215754836794274E-2</v>
      </c>
      <c r="L29" s="8">
        <f t="shared" si="9"/>
        <v>1.4110143181773446E-2</v>
      </c>
      <c r="M29" s="8">
        <f t="shared" si="10"/>
        <v>1.5129978001313084E-2</v>
      </c>
      <c r="N29" s="8">
        <f t="shared" si="11"/>
        <v>1.179839145169268E-2</v>
      </c>
      <c r="O29" s="8">
        <f t="shared" si="12"/>
        <v>1.0094179353114848E-2</v>
      </c>
      <c r="P29" s="8">
        <f t="shared" si="13"/>
        <v>1.3720243780932805E-2</v>
      </c>
    </row>
    <row r="30" spans="1:16" x14ac:dyDescent="0.3">
      <c r="B30" s="1" t="s">
        <v>64</v>
      </c>
      <c r="C30" s="9">
        <f t="shared" si="2"/>
        <v>-2.7476337548010231E-2</v>
      </c>
      <c r="D30" s="9">
        <f t="shared" si="3"/>
        <v>-2.946354321018527E-2</v>
      </c>
      <c r="E30" s="9">
        <f t="shared" si="4"/>
        <v>-2.9203746717437921E-2</v>
      </c>
      <c r="F30" s="9">
        <f t="shared" si="5"/>
        <v>-3.1586151784406748E-2</v>
      </c>
      <c r="G30" s="9">
        <f t="shared" si="6"/>
        <v>-3.0651998218674235E-2</v>
      </c>
      <c r="H30" s="9">
        <f t="shared" si="7"/>
        <v>-3.5915156113411076E-2</v>
      </c>
      <c r="J30" s="1" t="s">
        <v>64</v>
      </c>
      <c r="K30" s="8">
        <f t="shared" si="8"/>
        <v>1.3638666878510539E-2</v>
      </c>
      <c r="L30" s="8">
        <f t="shared" si="9"/>
        <v>1.5988037237583002E-2</v>
      </c>
      <c r="M30" s="8">
        <f t="shared" si="10"/>
        <v>1.8078098714804237E-2</v>
      </c>
      <c r="N30" s="8">
        <f t="shared" si="11"/>
        <v>1.2904579902221302E-2</v>
      </c>
      <c r="O30" s="8">
        <f t="shared" si="12"/>
        <v>1.1530655383779349E-2</v>
      </c>
      <c r="P30" s="8">
        <f t="shared" si="13"/>
        <v>1.5342396786311533E-2</v>
      </c>
    </row>
    <row r="31" spans="1:16" x14ac:dyDescent="0.3">
      <c r="B31" s="1" t="s">
        <v>69</v>
      </c>
      <c r="C31" s="9">
        <f t="shared" si="2"/>
        <v>1.0444741285676538E-2</v>
      </c>
      <c r="D31" s="9">
        <f t="shared" si="3"/>
        <v>-1.6613922114350685E-2</v>
      </c>
      <c r="E31" s="9">
        <f t="shared" si="4"/>
        <v>3.1145333135703439E-2</v>
      </c>
      <c r="F31" s="9">
        <f t="shared" si="5"/>
        <v>5.4940330085062807E-2</v>
      </c>
      <c r="G31" s="9">
        <f t="shared" si="6"/>
        <v>-9.652971350343896E-3</v>
      </c>
      <c r="H31" s="9">
        <f t="shared" si="7"/>
        <v>-1.6551285095872767E-2</v>
      </c>
      <c r="J31" s="1" t="s">
        <v>69</v>
      </c>
      <c r="K31" s="8">
        <f t="shared" si="8"/>
        <v>1.5631993100737956E-2</v>
      </c>
      <c r="L31" s="8">
        <f t="shared" si="9"/>
        <v>1.6940126065510014E-2</v>
      </c>
      <c r="M31" s="8">
        <f t="shared" si="10"/>
        <v>2.0760492824606829E-2</v>
      </c>
      <c r="N31" s="8">
        <f t="shared" si="11"/>
        <v>1.6349436738194594E-2</v>
      </c>
      <c r="O31" s="8">
        <f t="shared" si="12"/>
        <v>1.2683720922157282E-2</v>
      </c>
      <c r="P31" s="8">
        <f t="shared" si="13"/>
        <v>1.6063718426264979E-2</v>
      </c>
    </row>
    <row r="32" spans="1:16" x14ac:dyDescent="0.3">
      <c r="B32" s="1" t="s">
        <v>66</v>
      </c>
      <c r="C32" s="9">
        <f t="shared" si="2"/>
        <v>8.7747483779920948E-3</v>
      </c>
      <c r="D32" s="9">
        <f t="shared" si="3"/>
        <v>-5.3806892155835173E-3</v>
      </c>
      <c r="E32" s="9">
        <f t="shared" si="4"/>
        <v>2.9475340228018995E-2</v>
      </c>
      <c r="F32" s="9">
        <f t="shared" si="5"/>
        <v>1.4309298216339403E-2</v>
      </c>
      <c r="G32" s="9">
        <f t="shared" si="6"/>
        <v>-6.059806363291495E-3</v>
      </c>
      <c r="H32" s="9">
        <f t="shared" si="7"/>
        <v>2.0613673452753473E-2</v>
      </c>
      <c r="J32" s="1" t="s">
        <v>66</v>
      </c>
      <c r="K32" s="8">
        <f t="shared" si="8"/>
        <v>1.9851663360607886E-2</v>
      </c>
      <c r="L32" s="8">
        <f t="shared" si="9"/>
        <v>1.9669284208185266E-2</v>
      </c>
      <c r="M32" s="8">
        <f t="shared" si="10"/>
        <v>2.6776563057459932E-2</v>
      </c>
      <c r="N32" s="8">
        <f t="shared" si="11"/>
        <v>2.2485489242321782E-2</v>
      </c>
      <c r="O32" s="8">
        <f t="shared" si="12"/>
        <v>1.5451698900387254E-2</v>
      </c>
      <c r="P32" s="8">
        <f t="shared" si="13"/>
        <v>1.9732938849635704E-2</v>
      </c>
    </row>
    <row r="33" spans="2:16" x14ac:dyDescent="0.3">
      <c r="B33" s="1" t="s">
        <v>60</v>
      </c>
      <c r="C33" s="9">
        <f t="shared" si="2"/>
        <v>3.979188497406895E-3</v>
      </c>
      <c r="D33" s="9">
        <f t="shared" si="3"/>
        <v>-1.6627861999394523E-2</v>
      </c>
      <c r="E33" s="9">
        <f t="shared" si="4"/>
        <v>-1.5588676028405132E-2</v>
      </c>
      <c r="F33" s="9">
        <f t="shared" si="5"/>
        <v>9.513738335754203E-3</v>
      </c>
      <c r="G33" s="9">
        <f t="shared" si="6"/>
        <v>-1.6118524138613539E-2</v>
      </c>
      <c r="H33" s="9">
        <f t="shared" si="7"/>
        <v>6.1093757080906003E-3</v>
      </c>
      <c r="J33" s="1" t="s">
        <v>60</v>
      </c>
      <c r="K33" s="8">
        <f t="shared" si="8"/>
        <v>2.6320017303830261E-2</v>
      </c>
      <c r="L33" s="8">
        <f t="shared" si="9"/>
        <v>2.4639278871656765E-2</v>
      </c>
      <c r="M33" s="8">
        <f t="shared" si="10"/>
        <v>3.4175286130709609E-2</v>
      </c>
      <c r="N33" s="8">
        <f t="shared" si="11"/>
        <v>2.975912902680623E-2</v>
      </c>
      <c r="O33" s="8">
        <f t="shared" si="12"/>
        <v>1.9877125849971058E-2</v>
      </c>
      <c r="P33" s="8">
        <f t="shared" si="13"/>
        <v>2.6778935774751017E-2</v>
      </c>
    </row>
    <row r="34" spans="2:16" x14ac:dyDescent="0.3">
      <c r="B34" s="1" t="s">
        <v>70</v>
      </c>
      <c r="C34" s="9">
        <f t="shared" si="2"/>
        <v>-3.2613011987620913E-2</v>
      </c>
      <c r="D34" s="9">
        <f t="shared" si="3"/>
        <v>-3.2368014029270566E-2</v>
      </c>
      <c r="E34" s="9">
        <f t="shared" si="4"/>
        <v>-2.5137011647802715E-2</v>
      </c>
      <c r="F34" s="9">
        <f t="shared" si="5"/>
        <v>-6.3102008746832167E-3</v>
      </c>
      <c r="G34" s="9">
        <f t="shared" si="6"/>
        <v>-8.4291345725642855E-3</v>
      </c>
      <c r="H34" s="9">
        <f t="shared" si="7"/>
        <v>3.272449484666172E-3</v>
      </c>
      <c r="J34" s="1" t="s">
        <v>70</v>
      </c>
      <c r="K34" s="8">
        <f t="shared" si="8"/>
        <v>3.0753880225954724E-2</v>
      </c>
      <c r="L34" s="8">
        <f t="shared" si="9"/>
        <v>2.8038961446640833E-2</v>
      </c>
      <c r="M34" s="8">
        <f t="shared" si="10"/>
        <v>3.8586895698904139E-2</v>
      </c>
      <c r="N34" s="8">
        <f t="shared" si="11"/>
        <v>3.5864228960766922E-2</v>
      </c>
      <c r="O34" s="8">
        <f t="shared" si="12"/>
        <v>2.406523801793652E-2</v>
      </c>
      <c r="P34" s="8">
        <f t="shared" si="13"/>
        <v>3.2964495026011287E-2</v>
      </c>
    </row>
    <row r="35" spans="2:16" x14ac:dyDescent="0.3">
      <c r="B35" s="1" t="s">
        <v>67</v>
      </c>
      <c r="C35" s="9">
        <f t="shared" si="2"/>
        <v>4.5085824256025427E-2</v>
      </c>
      <c r="D35" s="9">
        <f t="shared" si="3"/>
        <v>5.5484626488229043E-2</v>
      </c>
      <c r="E35" s="9">
        <f t="shared" si="4"/>
        <v>1.2661504600374532E-2</v>
      </c>
      <c r="F35" s="9">
        <f t="shared" si="5"/>
        <v>1.7193884971681068E-2</v>
      </c>
      <c r="G35" s="9">
        <f t="shared" si="6"/>
        <v>3.6469346352405611E-2</v>
      </c>
      <c r="H35" s="9">
        <f t="shared" si="7"/>
        <v>8.0250935700448833E-4</v>
      </c>
      <c r="J35" s="1" t="s">
        <v>67</v>
      </c>
      <c r="K35" s="8">
        <f t="shared" si="8"/>
        <v>3.7467761490250606E-2</v>
      </c>
      <c r="L35" s="8">
        <f t="shared" si="9"/>
        <v>3.5112867844037138E-2</v>
      </c>
      <c r="M35" s="8">
        <f t="shared" si="10"/>
        <v>4.4537073925572851E-2</v>
      </c>
      <c r="N35" s="8">
        <f t="shared" si="11"/>
        <v>4.2781057369785519E-2</v>
      </c>
      <c r="O35" s="8">
        <f t="shared" si="12"/>
        <v>3.1157401660313656E-2</v>
      </c>
      <c r="P35" s="8">
        <f t="shared" si="13"/>
        <v>3.9398061134831318E-2</v>
      </c>
    </row>
    <row r="36" spans="2:16" x14ac:dyDescent="0.3">
      <c r="B36" s="1" t="s">
        <v>62</v>
      </c>
      <c r="C36" s="9">
        <f t="shared" si="2"/>
        <v>-7.6654040243236271E-3</v>
      </c>
      <c r="D36" s="9">
        <f t="shared" si="3"/>
        <v>3.98560999500399E-3</v>
      </c>
      <c r="E36" s="9">
        <f t="shared" si="4"/>
        <v>-2.7233268550135654E-2</v>
      </c>
      <c r="F36" s="9">
        <f t="shared" si="5"/>
        <v>6.5271544720323371E-3</v>
      </c>
      <c r="G36" s="9">
        <f t="shared" si="6"/>
        <v>3.8158307080769921E-3</v>
      </c>
      <c r="H36" s="9">
        <f t="shared" si="7"/>
        <v>-5.5352168136399219E-3</v>
      </c>
      <c r="J36" s="1" t="s">
        <v>62</v>
      </c>
      <c r="K36" s="8">
        <f t="shared" si="8"/>
        <v>4.9971647440304599E-2</v>
      </c>
      <c r="L36" s="8">
        <f t="shared" si="9"/>
        <v>4.8496567436322122E-2</v>
      </c>
      <c r="M36" s="8">
        <f t="shared" si="10"/>
        <v>5.5167743170283876E-2</v>
      </c>
      <c r="N36" s="8">
        <f t="shared" si="11"/>
        <v>5.5249445227838409E-2</v>
      </c>
      <c r="O36" s="8">
        <f t="shared" si="12"/>
        <v>4.2978499085464562E-2</v>
      </c>
      <c r="P36" s="8">
        <f t="shared" si="13"/>
        <v>4.9878602744977518E-2</v>
      </c>
    </row>
    <row r="37" spans="2:16" x14ac:dyDescent="0.3">
      <c r="B37" s="1" t="s">
        <v>57</v>
      </c>
      <c r="C37" s="9">
        <f t="shared" si="2"/>
        <v>-9.3308733277365913E-3</v>
      </c>
      <c r="D37" s="9">
        <f t="shared" si="3"/>
        <v>1.770056807691836E-2</v>
      </c>
      <c r="E37" s="9">
        <f t="shared" si="4"/>
        <v>-4.5776374984350304E-2</v>
      </c>
      <c r="F37" s="9">
        <f t="shared" si="5"/>
        <v>-2.5002964949195308E-2</v>
      </c>
      <c r="G37" s="9">
        <f t="shared" si="6"/>
        <v>-9.4641178314008173E-3</v>
      </c>
      <c r="H37" s="9">
        <f t="shared" si="7"/>
        <v>4.3882841800689118E-2</v>
      </c>
      <c r="J37" s="1" t="s">
        <v>57</v>
      </c>
      <c r="K37" s="8">
        <f t="shared" si="8"/>
        <v>7.5073388519913561E-2</v>
      </c>
      <c r="L37" s="8">
        <f t="shared" si="9"/>
        <v>7.5901716361647414E-2</v>
      </c>
      <c r="M37" s="8">
        <f t="shared" si="10"/>
        <v>7.798336920079775E-2</v>
      </c>
      <c r="N37" s="8">
        <f t="shared" si="11"/>
        <v>8.2053442771910831E-2</v>
      </c>
      <c r="O37" s="8">
        <f t="shared" si="12"/>
        <v>6.6506474667759288E-2</v>
      </c>
      <c r="P37" s="8">
        <f t="shared" si="13"/>
        <v>7.8967625316924334E-2</v>
      </c>
    </row>
    <row r="38" spans="2:16" x14ac:dyDescent="0.3">
      <c r="B38" s="1" t="s">
        <v>56</v>
      </c>
      <c r="C38" s="9">
        <f t="shared" si="2"/>
        <v>1.0532534005499167E-2</v>
      </c>
      <c r="D38" s="9">
        <f t="shared" si="3"/>
        <v>4.2518378567905593E-2</v>
      </c>
      <c r="E38" s="9">
        <f t="shared" si="4"/>
        <v>1.4157261442986777E-2</v>
      </c>
      <c r="F38" s="9">
        <f t="shared" si="5"/>
        <v>4.3356250373519326E-2</v>
      </c>
      <c r="G38" s="9">
        <f t="shared" si="6"/>
        <v>0.10295980471391579</v>
      </c>
      <c r="H38" s="9">
        <f t="shared" si="7"/>
        <v>-8.8439765839891799E-3</v>
      </c>
      <c r="J38" s="1" t="s">
        <v>56</v>
      </c>
      <c r="K38" s="8">
        <f t="shared" si="8"/>
        <v>0.10330560294320998</v>
      </c>
      <c r="L38" s="8">
        <f t="shared" si="9"/>
        <v>0.10939819600861711</v>
      </c>
      <c r="M38" s="8">
        <f t="shared" si="10"/>
        <v>0.10393278140867972</v>
      </c>
      <c r="N38" s="8">
        <f t="shared" si="11"/>
        <v>0.11310472557565529</v>
      </c>
      <c r="O38" s="8">
        <f t="shared" si="12"/>
        <v>0.10108463814867122</v>
      </c>
      <c r="P38" s="8">
        <f t="shared" si="13"/>
        <v>0.11087215624808333</v>
      </c>
    </row>
    <row r="39" spans="2:16" x14ac:dyDescent="0.3">
      <c r="B39" s="1" t="s">
        <v>55</v>
      </c>
      <c r="C39" s="9">
        <f t="shared" si="2"/>
        <v>-2.0377880326726716E-2</v>
      </c>
      <c r="D39" s="9">
        <f t="shared" si="3"/>
        <v>-7.158245362194926E-2</v>
      </c>
      <c r="E39" s="9">
        <f t="shared" si="4"/>
        <v>-2.5814971482958138E-2</v>
      </c>
      <c r="F39" s="9">
        <f t="shared" si="5"/>
        <v>-9.3422978688280756E-2</v>
      </c>
      <c r="G39" s="9">
        <f t="shared" si="6"/>
        <v>-5.3755628494614793E-2</v>
      </c>
      <c r="H39" s="9">
        <f t="shared" si="7"/>
        <v>-5.441991055899903E-2</v>
      </c>
      <c r="J39" s="1" t="s">
        <v>55</v>
      </c>
      <c r="K39" s="8">
        <f t="shared" si="8"/>
        <v>0.616773086197001</v>
      </c>
      <c r="L39" s="8">
        <f t="shared" si="9"/>
        <v>0.63596498322159245</v>
      </c>
      <c r="M39" s="8">
        <f t="shared" si="10"/>
        <v>0.61881095287312948</v>
      </c>
      <c r="N39" s="8">
        <f t="shared" si="11"/>
        <v>0.64415099242079732</v>
      </c>
      <c r="O39" s="8">
        <f t="shared" si="12"/>
        <v>0.62928334191298074</v>
      </c>
      <c r="P39" s="8">
        <f t="shared" si="13"/>
        <v>0.62953232031773054</v>
      </c>
    </row>
    <row r="40" spans="2:16" x14ac:dyDescent="0.3">
      <c r="J40" s="11" t="s">
        <v>35</v>
      </c>
      <c r="K40" s="10">
        <f>SUM(K22:K39)</f>
        <v>1.0164637273399613</v>
      </c>
      <c r="L40" s="10">
        <f t="shared" ref="L40:P40" si="14">SUM(L22:L39)</f>
        <v>1.0455981620634007</v>
      </c>
      <c r="M40" s="10">
        <f t="shared" si="14"/>
        <v>1.076795680318221</v>
      </c>
      <c r="N40" s="10">
        <f t="shared" si="14"/>
        <v>1.0913936039494767</v>
      </c>
      <c r="O40" s="10">
        <f t="shared" si="14"/>
        <v>0.9856884754646682</v>
      </c>
      <c r="P40" s="10">
        <f t="shared" si="14"/>
        <v>1.0615304813438793</v>
      </c>
    </row>
    <row r="41" spans="2:16" x14ac:dyDescent="0.3">
      <c r="J41" s="12" t="s">
        <v>36</v>
      </c>
      <c r="K41" s="13">
        <f>1-K40</f>
        <v>-1.6463727339961265E-2</v>
      </c>
      <c r="L41" s="13">
        <f t="shared" ref="L41:P41" si="15">1-L40</f>
        <v>-4.5598162063400727E-2</v>
      </c>
      <c r="M41" s="13">
        <f t="shared" si="15"/>
        <v>-7.6795680318221038E-2</v>
      </c>
      <c r="N41" s="13">
        <f t="shared" si="15"/>
        <v>-9.1393603949476709E-2</v>
      </c>
      <c r="O41" s="13">
        <f t="shared" si="15"/>
        <v>1.4311524535331799E-2</v>
      </c>
      <c r="P41" s="13">
        <f t="shared" si="15"/>
        <v>-6.1530481343879284E-2</v>
      </c>
    </row>
  </sheetData>
  <sortState xmlns:xlrd2="http://schemas.microsoft.com/office/spreadsheetml/2017/richdata2" ref="A2:P20">
    <sortCondition ref="B1:B2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BARBACENA</vt:lpstr>
      <vt:lpstr>CONGONHAS</vt:lpstr>
      <vt:lpstr>C. LAFAIETE</vt:lpstr>
      <vt:lpstr>SÃO JOÃO DEL 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2025-04-19T23:33:37Z</dcterms:created>
  <dcterms:modified xsi:type="dcterms:W3CDTF">2025-11-26T01:14:27Z</dcterms:modified>
</cp:coreProperties>
</file>