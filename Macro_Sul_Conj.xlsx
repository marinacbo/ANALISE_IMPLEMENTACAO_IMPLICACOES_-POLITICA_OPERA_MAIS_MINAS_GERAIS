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104" documentId="8_{DBCAF990-ED7A-4201-8413-5C92C3DA89BD}" xr6:coauthVersionLast="47" xr6:coauthVersionMax="47" xr10:uidLastSave="{1B5A1E8E-1AB8-45A3-A37B-88ACB23253A8}"/>
  <bookViews>
    <workbookView xWindow="-108" yWindow="-108" windowWidth="23256" windowHeight="12456" firstSheet="10" activeTab="13" xr2:uid="{03639413-2B29-4D5E-8F8E-861E641BE113}"/>
  </bookViews>
  <sheets>
    <sheet name="ALFENAS-MACHADO" sheetId="1" r:id="rId1"/>
    <sheet name="CÁSSIA" sheetId="2" r:id="rId2"/>
    <sheet name="GUAXUPÉ" sheetId="3" r:id="rId3"/>
    <sheet name="ITAJUBÁ" sheetId="4" r:id="rId4"/>
    <sheet name="LAVRAS" sheetId="5" r:id="rId5"/>
    <sheet name="PASSOS" sheetId="6" r:id="rId6"/>
    <sheet name="PINHUÍ" sheetId="7" r:id="rId7"/>
    <sheet name="POÇOS DE CALDA" sheetId="8" r:id="rId8"/>
    <sheet name="POUSO ALEGRE" sheetId="9" r:id="rId9"/>
    <sheet name="SÃO LOURENÇO" sheetId="10" r:id="rId10"/>
    <sheet name="SÃO SEBASTIÃO DO PARAÍSO" sheetId="11" r:id="rId11"/>
    <sheet name="TRÊS CORAÇÕES" sheetId="12" r:id="rId12"/>
    <sheet name="TRÊS PONTAS" sheetId="13" r:id="rId13"/>
    <sheet name="VARGINHA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4" l="1"/>
  <c r="O9" i="14"/>
  <c r="N9" i="14"/>
  <c r="M9" i="14"/>
  <c r="L9" i="14"/>
  <c r="K9" i="14"/>
  <c r="P9" i="13"/>
  <c r="O9" i="13"/>
  <c r="N9" i="13"/>
  <c r="M9" i="13"/>
  <c r="L9" i="13"/>
  <c r="K9" i="13"/>
  <c r="P10" i="12"/>
  <c r="O10" i="12"/>
  <c r="N10" i="12"/>
  <c r="M10" i="12"/>
  <c r="L10" i="12"/>
  <c r="K10" i="12"/>
  <c r="P10" i="11"/>
  <c r="O10" i="11"/>
  <c r="N10" i="11"/>
  <c r="M10" i="11"/>
  <c r="L10" i="11"/>
  <c r="K10" i="11"/>
  <c r="P28" i="10"/>
  <c r="O28" i="10"/>
  <c r="N28" i="10"/>
  <c r="M28" i="10"/>
  <c r="L28" i="10"/>
  <c r="K28" i="10"/>
  <c r="P36" i="9"/>
  <c r="O36" i="9"/>
  <c r="N36" i="9"/>
  <c r="M36" i="9"/>
  <c r="L36" i="9"/>
  <c r="K36" i="9"/>
  <c r="K12" i="8"/>
  <c r="P10" i="8"/>
  <c r="O10" i="8"/>
  <c r="N10" i="8"/>
  <c r="M10" i="8"/>
  <c r="L10" i="8"/>
  <c r="K10" i="8"/>
  <c r="P11" i="7"/>
  <c r="O11" i="7"/>
  <c r="N11" i="7"/>
  <c r="M11" i="7"/>
  <c r="L11" i="7"/>
  <c r="K11" i="7"/>
  <c r="L14" i="6"/>
  <c r="P13" i="6"/>
  <c r="O13" i="6"/>
  <c r="N13" i="6"/>
  <c r="M13" i="6"/>
  <c r="L13" i="6"/>
  <c r="K13" i="6"/>
  <c r="P14" i="5"/>
  <c r="O14" i="5"/>
  <c r="N14" i="5"/>
  <c r="M14" i="5"/>
  <c r="L14" i="5"/>
  <c r="K14" i="5"/>
  <c r="P19" i="4"/>
  <c r="O19" i="4"/>
  <c r="N19" i="4"/>
  <c r="M19" i="4"/>
  <c r="L19" i="4"/>
  <c r="K19" i="4"/>
  <c r="P12" i="3"/>
  <c r="O12" i="3"/>
  <c r="N12" i="3"/>
  <c r="M12" i="3"/>
  <c r="L12" i="3"/>
  <c r="K12" i="3"/>
  <c r="P9" i="2"/>
  <c r="O9" i="2"/>
  <c r="N9" i="2"/>
  <c r="M9" i="2"/>
  <c r="L9" i="2"/>
  <c r="K9" i="2"/>
  <c r="P20" i="1"/>
  <c r="O20" i="1"/>
  <c r="N20" i="1"/>
  <c r="M20" i="1"/>
  <c r="L20" i="1"/>
  <c r="K20" i="1"/>
  <c r="H13" i="14"/>
  <c r="G13" i="14"/>
  <c r="F13" i="14"/>
  <c r="E13" i="14"/>
  <c r="D13" i="14"/>
  <c r="C13" i="14"/>
  <c r="H12" i="14"/>
  <c r="G12" i="14"/>
  <c r="F12" i="14"/>
  <c r="E12" i="14"/>
  <c r="D12" i="14"/>
  <c r="C12" i="14"/>
  <c r="H11" i="14"/>
  <c r="G11" i="14"/>
  <c r="F11" i="14"/>
  <c r="E11" i="14"/>
  <c r="D11" i="14"/>
  <c r="C11" i="14"/>
  <c r="H10" i="14"/>
  <c r="G10" i="14"/>
  <c r="F10" i="14"/>
  <c r="E10" i="14"/>
  <c r="D10" i="14"/>
  <c r="C10" i="14"/>
  <c r="H9" i="14"/>
  <c r="G9" i="14"/>
  <c r="F9" i="14"/>
  <c r="E9" i="14"/>
  <c r="D9" i="14"/>
  <c r="C9" i="14"/>
  <c r="H13" i="13"/>
  <c r="G13" i="13"/>
  <c r="F13" i="13"/>
  <c r="E13" i="13"/>
  <c r="D13" i="13"/>
  <c r="C13" i="13"/>
  <c r="H12" i="13"/>
  <c r="G12" i="13"/>
  <c r="F12" i="13"/>
  <c r="E12" i="13"/>
  <c r="D12" i="13"/>
  <c r="C12" i="13"/>
  <c r="H11" i="13"/>
  <c r="G11" i="13"/>
  <c r="F11" i="13"/>
  <c r="E11" i="13"/>
  <c r="D11" i="13"/>
  <c r="C11" i="13"/>
  <c r="H10" i="13"/>
  <c r="G10" i="13"/>
  <c r="F10" i="13"/>
  <c r="E10" i="13"/>
  <c r="D10" i="13"/>
  <c r="C10" i="13"/>
  <c r="H9" i="13"/>
  <c r="G9" i="13"/>
  <c r="F9" i="13"/>
  <c r="E9" i="13"/>
  <c r="D9" i="13"/>
  <c r="C9" i="13"/>
  <c r="P3" i="13"/>
  <c r="P4" i="13" s="1"/>
  <c r="P5" i="13" s="1"/>
  <c r="P6" i="13" s="1"/>
  <c r="O3" i="13"/>
  <c r="O4" i="13" s="1"/>
  <c r="O5" i="13" s="1"/>
  <c r="O6" i="13" s="1"/>
  <c r="N3" i="13"/>
  <c r="N4" i="13" s="1"/>
  <c r="N5" i="13" s="1"/>
  <c r="N6" i="13" s="1"/>
  <c r="M3" i="13"/>
  <c r="M4" i="13" s="1"/>
  <c r="M5" i="13" s="1"/>
  <c r="M6" i="13" s="1"/>
  <c r="L3" i="13"/>
  <c r="L4" i="13" s="1"/>
  <c r="L5" i="13" s="1"/>
  <c r="L6" i="13" s="1"/>
  <c r="K3" i="13"/>
  <c r="K4" i="13" s="1"/>
  <c r="K5" i="13" s="1"/>
  <c r="K6" i="13" s="1"/>
  <c r="J3" i="13"/>
  <c r="J4" i="13" s="1"/>
  <c r="J5" i="13" s="1"/>
  <c r="J6" i="13" s="1"/>
  <c r="P3" i="14"/>
  <c r="P4" i="14" s="1"/>
  <c r="P5" i="14" s="1"/>
  <c r="P6" i="14" s="1"/>
  <c r="O3" i="14"/>
  <c r="O4" i="14" s="1"/>
  <c r="O5" i="14" s="1"/>
  <c r="O6" i="14" s="1"/>
  <c r="N3" i="14"/>
  <c r="N4" i="14" s="1"/>
  <c r="N5" i="14" s="1"/>
  <c r="N6" i="14" s="1"/>
  <c r="M3" i="14"/>
  <c r="M4" i="14" s="1"/>
  <c r="M5" i="14" s="1"/>
  <c r="M6" i="14" s="1"/>
  <c r="L3" i="14"/>
  <c r="L4" i="14" s="1"/>
  <c r="L5" i="14" s="1"/>
  <c r="L6" i="14" s="1"/>
  <c r="K3" i="14"/>
  <c r="K4" i="14" s="1"/>
  <c r="K5" i="14" s="1"/>
  <c r="K6" i="14" s="1"/>
  <c r="J3" i="14"/>
  <c r="J4" i="14" s="1"/>
  <c r="J5" i="14" s="1"/>
  <c r="J6" i="14" s="1"/>
  <c r="P13" i="14" s="1"/>
  <c r="H15" i="12"/>
  <c r="G15" i="12"/>
  <c r="F15" i="12"/>
  <c r="E15" i="12"/>
  <c r="D15" i="12"/>
  <c r="C15" i="12"/>
  <c r="H14" i="12"/>
  <c r="G14" i="12"/>
  <c r="F14" i="12"/>
  <c r="E14" i="12"/>
  <c r="D14" i="12"/>
  <c r="C14" i="12"/>
  <c r="H13" i="12"/>
  <c r="G13" i="12"/>
  <c r="F13" i="12"/>
  <c r="E13" i="12"/>
  <c r="D13" i="12"/>
  <c r="C13" i="12"/>
  <c r="H12" i="12"/>
  <c r="G12" i="12"/>
  <c r="F12" i="12"/>
  <c r="E12" i="12"/>
  <c r="D12" i="12"/>
  <c r="C12" i="12"/>
  <c r="H11" i="12"/>
  <c r="G11" i="12"/>
  <c r="F11" i="12"/>
  <c r="E11" i="12"/>
  <c r="D11" i="12"/>
  <c r="C11" i="12"/>
  <c r="H10" i="12"/>
  <c r="G10" i="12"/>
  <c r="F10" i="12"/>
  <c r="E10" i="12"/>
  <c r="D10" i="12"/>
  <c r="C10" i="12"/>
  <c r="P3" i="12"/>
  <c r="P4" i="12" s="1"/>
  <c r="P5" i="12" s="1"/>
  <c r="P6" i="12" s="1"/>
  <c r="P7" i="12" s="1"/>
  <c r="O3" i="12"/>
  <c r="O4" i="12" s="1"/>
  <c r="O5" i="12" s="1"/>
  <c r="O6" i="12" s="1"/>
  <c r="O7" i="12" s="1"/>
  <c r="N3" i="12"/>
  <c r="N4" i="12" s="1"/>
  <c r="N5" i="12" s="1"/>
  <c r="N6" i="12" s="1"/>
  <c r="N7" i="12" s="1"/>
  <c r="M3" i="12"/>
  <c r="M4" i="12" s="1"/>
  <c r="M5" i="12" s="1"/>
  <c r="M6" i="12" s="1"/>
  <c r="M7" i="12" s="1"/>
  <c r="L3" i="12"/>
  <c r="L4" i="12" s="1"/>
  <c r="L5" i="12" s="1"/>
  <c r="L6" i="12" s="1"/>
  <c r="L7" i="12" s="1"/>
  <c r="K3" i="12"/>
  <c r="K4" i="12" s="1"/>
  <c r="K5" i="12" s="1"/>
  <c r="K6" i="12" s="1"/>
  <c r="K7" i="12" s="1"/>
  <c r="J3" i="12"/>
  <c r="J4" i="12" s="1"/>
  <c r="J5" i="12" s="1"/>
  <c r="J6" i="12" s="1"/>
  <c r="J7" i="12" s="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G13" i="11"/>
  <c r="F13" i="11"/>
  <c r="E13" i="11"/>
  <c r="D13" i="11"/>
  <c r="C13" i="11"/>
  <c r="H12" i="11"/>
  <c r="G12" i="11"/>
  <c r="F12" i="11"/>
  <c r="E12" i="11"/>
  <c r="D12" i="11"/>
  <c r="C12" i="11"/>
  <c r="H11" i="11"/>
  <c r="G11" i="11"/>
  <c r="F11" i="11"/>
  <c r="E11" i="11"/>
  <c r="D11" i="11"/>
  <c r="C11" i="11"/>
  <c r="H10" i="11"/>
  <c r="G10" i="11"/>
  <c r="F10" i="11"/>
  <c r="E10" i="11"/>
  <c r="D10" i="11"/>
  <c r="C10" i="11"/>
  <c r="P3" i="11"/>
  <c r="P4" i="11" s="1"/>
  <c r="P5" i="11" s="1"/>
  <c r="P6" i="11" s="1"/>
  <c r="P7" i="11" s="1"/>
  <c r="O3" i="11"/>
  <c r="O4" i="11" s="1"/>
  <c r="O5" i="11" s="1"/>
  <c r="O6" i="11" s="1"/>
  <c r="O7" i="11" s="1"/>
  <c r="N3" i="11"/>
  <c r="N4" i="11" s="1"/>
  <c r="N5" i="11" s="1"/>
  <c r="N6" i="11" s="1"/>
  <c r="N7" i="11" s="1"/>
  <c r="M3" i="11"/>
  <c r="M4" i="11" s="1"/>
  <c r="M5" i="11" s="1"/>
  <c r="M6" i="11" s="1"/>
  <c r="M7" i="11" s="1"/>
  <c r="L3" i="11"/>
  <c r="L4" i="11" s="1"/>
  <c r="L5" i="11" s="1"/>
  <c r="L6" i="11" s="1"/>
  <c r="L7" i="11" s="1"/>
  <c r="K3" i="11"/>
  <c r="K4" i="11" s="1"/>
  <c r="K5" i="11" s="1"/>
  <c r="K6" i="11" s="1"/>
  <c r="K7" i="11" s="1"/>
  <c r="J3" i="11"/>
  <c r="J4" i="11" s="1"/>
  <c r="J5" i="11" s="1"/>
  <c r="J6" i="11" s="1"/>
  <c r="J7" i="11" s="1"/>
  <c r="P15" i="11" s="1"/>
  <c r="H51" i="10"/>
  <c r="G51" i="10"/>
  <c r="F51" i="10"/>
  <c r="E51" i="10"/>
  <c r="D51" i="10"/>
  <c r="C51" i="10"/>
  <c r="H50" i="10"/>
  <c r="G50" i="10"/>
  <c r="F50" i="10"/>
  <c r="E50" i="10"/>
  <c r="D50" i="10"/>
  <c r="C50" i="10"/>
  <c r="H49" i="10"/>
  <c r="G49" i="10"/>
  <c r="F49" i="10"/>
  <c r="E49" i="10"/>
  <c r="D49" i="10"/>
  <c r="C49" i="10"/>
  <c r="H48" i="10"/>
  <c r="G48" i="10"/>
  <c r="F48" i="10"/>
  <c r="E48" i="10"/>
  <c r="D48" i="10"/>
  <c r="C48" i="10"/>
  <c r="H47" i="10"/>
  <c r="G47" i="10"/>
  <c r="F47" i="10"/>
  <c r="E47" i="10"/>
  <c r="D47" i="10"/>
  <c r="C47" i="10"/>
  <c r="H46" i="10"/>
  <c r="G46" i="10"/>
  <c r="F46" i="10"/>
  <c r="E46" i="10"/>
  <c r="D46" i="10"/>
  <c r="C46" i="10"/>
  <c r="H45" i="10"/>
  <c r="G45" i="10"/>
  <c r="F45" i="10"/>
  <c r="E45" i="10"/>
  <c r="D45" i="10"/>
  <c r="C45" i="10"/>
  <c r="H44" i="10"/>
  <c r="G44" i="10"/>
  <c r="F44" i="10"/>
  <c r="E44" i="10"/>
  <c r="D44" i="10"/>
  <c r="C44" i="10"/>
  <c r="H43" i="10"/>
  <c r="G43" i="10"/>
  <c r="F43" i="10"/>
  <c r="E43" i="10"/>
  <c r="D43" i="10"/>
  <c r="C43" i="10"/>
  <c r="H42" i="10"/>
  <c r="G42" i="10"/>
  <c r="F42" i="10"/>
  <c r="E42" i="10"/>
  <c r="D42" i="10"/>
  <c r="C42" i="10"/>
  <c r="H41" i="10"/>
  <c r="G41" i="10"/>
  <c r="F41" i="10"/>
  <c r="E41" i="10"/>
  <c r="D41" i="10"/>
  <c r="C41" i="10"/>
  <c r="H40" i="10"/>
  <c r="G40" i="10"/>
  <c r="F40" i="10"/>
  <c r="E40" i="10"/>
  <c r="D40" i="10"/>
  <c r="C40" i="10"/>
  <c r="H39" i="10"/>
  <c r="G39" i="10"/>
  <c r="F39" i="10"/>
  <c r="E39" i="10"/>
  <c r="D39" i="10"/>
  <c r="C39" i="10"/>
  <c r="H38" i="10"/>
  <c r="G38" i="10"/>
  <c r="F38" i="10"/>
  <c r="E38" i="10"/>
  <c r="D38" i="10"/>
  <c r="C38" i="10"/>
  <c r="H37" i="10"/>
  <c r="G37" i="10"/>
  <c r="F37" i="10"/>
  <c r="E37" i="10"/>
  <c r="D37" i="10"/>
  <c r="C37" i="10"/>
  <c r="H36" i="10"/>
  <c r="G36" i="10"/>
  <c r="F36" i="10"/>
  <c r="E36" i="10"/>
  <c r="D36" i="10"/>
  <c r="C36" i="10"/>
  <c r="H35" i="10"/>
  <c r="G35" i="10"/>
  <c r="F35" i="10"/>
  <c r="E35" i="10"/>
  <c r="D35" i="10"/>
  <c r="C35" i="10"/>
  <c r="H34" i="10"/>
  <c r="G34" i="10"/>
  <c r="F34" i="10"/>
  <c r="E34" i="10"/>
  <c r="D34" i="10"/>
  <c r="C34" i="10"/>
  <c r="H33" i="10"/>
  <c r="G33" i="10"/>
  <c r="F33" i="10"/>
  <c r="E33" i="10"/>
  <c r="D33" i="10"/>
  <c r="C33" i="10"/>
  <c r="H32" i="10"/>
  <c r="G32" i="10"/>
  <c r="F32" i="10"/>
  <c r="E32" i="10"/>
  <c r="D32" i="10"/>
  <c r="C32" i="10"/>
  <c r="H31" i="10"/>
  <c r="G31" i="10"/>
  <c r="F31" i="10"/>
  <c r="E31" i="10"/>
  <c r="D31" i="10"/>
  <c r="C31" i="10"/>
  <c r="H30" i="10"/>
  <c r="G30" i="10"/>
  <c r="F30" i="10"/>
  <c r="E30" i="10"/>
  <c r="D30" i="10"/>
  <c r="C30" i="10"/>
  <c r="H29" i="10"/>
  <c r="G29" i="10"/>
  <c r="F29" i="10"/>
  <c r="E29" i="10"/>
  <c r="D29" i="10"/>
  <c r="C29" i="10"/>
  <c r="H28" i="10"/>
  <c r="G28" i="10"/>
  <c r="F28" i="10"/>
  <c r="E28" i="10"/>
  <c r="D28" i="10"/>
  <c r="C28" i="10"/>
  <c r="P3" i="10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O3" i="10"/>
  <c r="O4" i="10" s="1"/>
  <c r="O5" i="10" s="1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N3" i="10"/>
  <c r="N4" i="10" s="1"/>
  <c r="N5" i="10" s="1"/>
  <c r="N6" i="10" s="1"/>
  <c r="N7" i="10" s="1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M3" i="10"/>
  <c r="M4" i="10" s="1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L3" i="10"/>
  <c r="L4" i="10" s="1"/>
  <c r="L5" i="10" s="1"/>
  <c r="L6" i="10" s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K3" i="10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J3" i="10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P51" i="10" s="1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F41" i="9"/>
  <c r="G41" i="9"/>
  <c r="H41" i="9"/>
  <c r="C42" i="9"/>
  <c r="D42" i="9"/>
  <c r="E42" i="9"/>
  <c r="F42" i="9"/>
  <c r="G42" i="9"/>
  <c r="H42" i="9"/>
  <c r="C43" i="9"/>
  <c r="D43" i="9"/>
  <c r="E43" i="9"/>
  <c r="F43" i="9"/>
  <c r="G43" i="9"/>
  <c r="H43" i="9"/>
  <c r="C44" i="9"/>
  <c r="D44" i="9"/>
  <c r="E44" i="9"/>
  <c r="F44" i="9"/>
  <c r="G44" i="9"/>
  <c r="H44" i="9"/>
  <c r="C45" i="9"/>
  <c r="D45" i="9"/>
  <c r="E45" i="9"/>
  <c r="F45" i="9"/>
  <c r="G45" i="9"/>
  <c r="H45" i="9"/>
  <c r="C46" i="9"/>
  <c r="D46" i="9"/>
  <c r="E46" i="9"/>
  <c r="F46" i="9"/>
  <c r="G46" i="9"/>
  <c r="H46" i="9"/>
  <c r="C47" i="9"/>
  <c r="D47" i="9"/>
  <c r="E47" i="9"/>
  <c r="F47" i="9"/>
  <c r="G47" i="9"/>
  <c r="H47" i="9"/>
  <c r="C48" i="9"/>
  <c r="D48" i="9"/>
  <c r="E48" i="9"/>
  <c r="F48" i="9"/>
  <c r="G48" i="9"/>
  <c r="H48" i="9"/>
  <c r="C49" i="9"/>
  <c r="D49" i="9"/>
  <c r="E49" i="9"/>
  <c r="F49" i="9"/>
  <c r="G49" i="9"/>
  <c r="H49" i="9"/>
  <c r="C50" i="9"/>
  <c r="D50" i="9"/>
  <c r="E50" i="9"/>
  <c r="F50" i="9"/>
  <c r="G50" i="9"/>
  <c r="H50" i="9"/>
  <c r="C51" i="9"/>
  <c r="D51" i="9"/>
  <c r="E51" i="9"/>
  <c r="F51" i="9"/>
  <c r="G51" i="9"/>
  <c r="H51" i="9"/>
  <c r="C52" i="9"/>
  <c r="D52" i="9"/>
  <c r="E52" i="9"/>
  <c r="F52" i="9"/>
  <c r="G52" i="9"/>
  <c r="H52" i="9"/>
  <c r="C53" i="9"/>
  <c r="D53" i="9"/>
  <c r="E53" i="9"/>
  <c r="F53" i="9"/>
  <c r="G53" i="9"/>
  <c r="H53" i="9"/>
  <c r="C54" i="9"/>
  <c r="D54" i="9"/>
  <c r="E54" i="9"/>
  <c r="F54" i="9"/>
  <c r="G54" i="9"/>
  <c r="H54" i="9"/>
  <c r="C55" i="9"/>
  <c r="D55" i="9"/>
  <c r="E55" i="9"/>
  <c r="F55" i="9"/>
  <c r="G55" i="9"/>
  <c r="H55" i="9"/>
  <c r="C56" i="9"/>
  <c r="D56" i="9"/>
  <c r="E56" i="9"/>
  <c r="F56" i="9"/>
  <c r="G56" i="9"/>
  <c r="H56" i="9"/>
  <c r="C57" i="9"/>
  <c r="D57" i="9"/>
  <c r="E57" i="9"/>
  <c r="F57" i="9"/>
  <c r="G57" i="9"/>
  <c r="H57" i="9"/>
  <c r="C58" i="9"/>
  <c r="D58" i="9"/>
  <c r="E58" i="9"/>
  <c r="F58" i="9"/>
  <c r="G58" i="9"/>
  <c r="H58" i="9"/>
  <c r="C59" i="9"/>
  <c r="D59" i="9"/>
  <c r="E59" i="9"/>
  <c r="F59" i="9"/>
  <c r="G59" i="9"/>
  <c r="H59" i="9"/>
  <c r="C60" i="9"/>
  <c r="D60" i="9"/>
  <c r="E60" i="9"/>
  <c r="F60" i="9"/>
  <c r="G60" i="9"/>
  <c r="H60" i="9"/>
  <c r="C61" i="9"/>
  <c r="D61" i="9"/>
  <c r="E61" i="9"/>
  <c r="F61" i="9"/>
  <c r="G61" i="9"/>
  <c r="H61" i="9"/>
  <c r="C62" i="9"/>
  <c r="D62" i="9"/>
  <c r="E62" i="9"/>
  <c r="F62" i="9"/>
  <c r="G62" i="9"/>
  <c r="H62" i="9"/>
  <c r="C63" i="9"/>
  <c r="D63" i="9"/>
  <c r="E63" i="9"/>
  <c r="F63" i="9"/>
  <c r="G63" i="9"/>
  <c r="H63" i="9"/>
  <c r="C64" i="9"/>
  <c r="D64" i="9"/>
  <c r="E64" i="9"/>
  <c r="F64" i="9"/>
  <c r="G64" i="9"/>
  <c r="H64" i="9"/>
  <c r="C65" i="9"/>
  <c r="D65" i="9"/>
  <c r="E65" i="9"/>
  <c r="F65" i="9"/>
  <c r="G65" i="9"/>
  <c r="H65" i="9"/>
  <c r="C66" i="9"/>
  <c r="D66" i="9"/>
  <c r="E66" i="9"/>
  <c r="F66" i="9"/>
  <c r="G66" i="9"/>
  <c r="H66" i="9"/>
  <c r="C67" i="9"/>
  <c r="D67" i="9"/>
  <c r="E67" i="9"/>
  <c r="F67" i="9"/>
  <c r="G67" i="9"/>
  <c r="H67" i="9"/>
  <c r="H36" i="9"/>
  <c r="G36" i="9"/>
  <c r="F36" i="9"/>
  <c r="E36" i="9"/>
  <c r="D36" i="9"/>
  <c r="C36" i="9"/>
  <c r="P3" i="9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M3" i="9"/>
  <c r="M4" i="9" s="1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K3" i="9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J3" i="9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P3" i="8"/>
  <c r="P4" i="8" s="1"/>
  <c r="P5" i="8" s="1"/>
  <c r="P6" i="8" s="1"/>
  <c r="P7" i="8" s="1"/>
  <c r="O3" i="8"/>
  <c r="O4" i="8" s="1"/>
  <c r="O5" i="8" s="1"/>
  <c r="O6" i="8" s="1"/>
  <c r="O7" i="8" s="1"/>
  <c r="N3" i="8"/>
  <c r="N4" i="8" s="1"/>
  <c r="N5" i="8" s="1"/>
  <c r="N6" i="8" s="1"/>
  <c r="N7" i="8" s="1"/>
  <c r="M3" i="8"/>
  <c r="M4" i="8" s="1"/>
  <c r="M5" i="8" s="1"/>
  <c r="M6" i="8" s="1"/>
  <c r="M7" i="8" s="1"/>
  <c r="M15" i="8" s="1"/>
  <c r="L3" i="8"/>
  <c r="L4" i="8" s="1"/>
  <c r="L5" i="8" s="1"/>
  <c r="L6" i="8" s="1"/>
  <c r="L7" i="8" s="1"/>
  <c r="K3" i="8"/>
  <c r="K4" i="8" s="1"/>
  <c r="K5" i="8" s="1"/>
  <c r="K6" i="8" s="1"/>
  <c r="K7" i="8" s="1"/>
  <c r="J3" i="8"/>
  <c r="J4" i="8" s="1"/>
  <c r="J5" i="8" s="1"/>
  <c r="J6" i="8" s="1"/>
  <c r="J7" i="8" s="1"/>
  <c r="P15" i="8" s="1"/>
  <c r="H17" i="7"/>
  <c r="G17" i="7"/>
  <c r="F17" i="7"/>
  <c r="E17" i="7"/>
  <c r="D17" i="7"/>
  <c r="C17" i="7"/>
  <c r="H16" i="7"/>
  <c r="G16" i="7"/>
  <c r="F16" i="7"/>
  <c r="E16" i="7"/>
  <c r="D16" i="7"/>
  <c r="C16" i="7"/>
  <c r="H15" i="7"/>
  <c r="G15" i="7"/>
  <c r="F15" i="7"/>
  <c r="E15" i="7"/>
  <c r="D15" i="7"/>
  <c r="C15" i="7"/>
  <c r="H14" i="7"/>
  <c r="G14" i="7"/>
  <c r="F14" i="7"/>
  <c r="E14" i="7"/>
  <c r="D14" i="7"/>
  <c r="C14" i="7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P3" i="7"/>
  <c r="P4" i="7" s="1"/>
  <c r="P5" i="7" s="1"/>
  <c r="P6" i="7" s="1"/>
  <c r="P7" i="7" s="1"/>
  <c r="P8" i="7" s="1"/>
  <c r="O3" i="7"/>
  <c r="O4" i="7" s="1"/>
  <c r="O5" i="7" s="1"/>
  <c r="O6" i="7" s="1"/>
  <c r="O7" i="7" s="1"/>
  <c r="O8" i="7" s="1"/>
  <c r="N3" i="7"/>
  <c r="N4" i="7" s="1"/>
  <c r="N5" i="7" s="1"/>
  <c r="N6" i="7" s="1"/>
  <c r="N7" i="7" s="1"/>
  <c r="N8" i="7" s="1"/>
  <c r="M3" i="7"/>
  <c r="M4" i="7" s="1"/>
  <c r="M5" i="7" s="1"/>
  <c r="M6" i="7" s="1"/>
  <c r="M7" i="7" s="1"/>
  <c r="M8" i="7" s="1"/>
  <c r="L3" i="7"/>
  <c r="L4" i="7" s="1"/>
  <c r="L5" i="7" s="1"/>
  <c r="L6" i="7" s="1"/>
  <c r="L7" i="7" s="1"/>
  <c r="L8" i="7" s="1"/>
  <c r="K3" i="7"/>
  <c r="K4" i="7" s="1"/>
  <c r="K5" i="7" s="1"/>
  <c r="K6" i="7" s="1"/>
  <c r="K7" i="7" s="1"/>
  <c r="K8" i="7" s="1"/>
  <c r="J3" i="7"/>
  <c r="J4" i="7" s="1"/>
  <c r="J5" i="7" s="1"/>
  <c r="J6" i="7" s="1"/>
  <c r="J7" i="7" s="1"/>
  <c r="J8" i="7" s="1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H15" i="6"/>
  <c r="G15" i="6"/>
  <c r="F15" i="6"/>
  <c r="E15" i="6"/>
  <c r="D15" i="6"/>
  <c r="C15" i="6"/>
  <c r="H14" i="6"/>
  <c r="G14" i="6"/>
  <c r="F14" i="6"/>
  <c r="E14" i="6"/>
  <c r="D14" i="6"/>
  <c r="C14" i="6"/>
  <c r="H13" i="6"/>
  <c r="G13" i="6"/>
  <c r="F13" i="6"/>
  <c r="E13" i="6"/>
  <c r="D13" i="6"/>
  <c r="C13" i="6"/>
  <c r="P3" i="6"/>
  <c r="P4" i="6" s="1"/>
  <c r="P5" i="6" s="1"/>
  <c r="P6" i="6" s="1"/>
  <c r="P7" i="6" s="1"/>
  <c r="P8" i="6" s="1"/>
  <c r="P9" i="6" s="1"/>
  <c r="P10" i="6" s="1"/>
  <c r="O3" i="6"/>
  <c r="O4" i="6" s="1"/>
  <c r="O5" i="6" s="1"/>
  <c r="O6" i="6" s="1"/>
  <c r="O7" i="6" s="1"/>
  <c r="O8" i="6" s="1"/>
  <c r="O9" i="6" s="1"/>
  <c r="O10" i="6" s="1"/>
  <c r="N3" i="6"/>
  <c r="N4" i="6" s="1"/>
  <c r="N5" i="6" s="1"/>
  <c r="N6" i="6" s="1"/>
  <c r="N7" i="6" s="1"/>
  <c r="N8" i="6" s="1"/>
  <c r="N9" i="6" s="1"/>
  <c r="N10" i="6" s="1"/>
  <c r="M3" i="6"/>
  <c r="M4" i="6" s="1"/>
  <c r="M5" i="6" s="1"/>
  <c r="M6" i="6" s="1"/>
  <c r="M7" i="6" s="1"/>
  <c r="M8" i="6" s="1"/>
  <c r="M9" i="6" s="1"/>
  <c r="M10" i="6" s="1"/>
  <c r="L3" i="6"/>
  <c r="L4" i="6" s="1"/>
  <c r="L5" i="6" s="1"/>
  <c r="L6" i="6" s="1"/>
  <c r="L7" i="6" s="1"/>
  <c r="L8" i="6" s="1"/>
  <c r="L9" i="6" s="1"/>
  <c r="L10" i="6" s="1"/>
  <c r="K3" i="6"/>
  <c r="K4" i="6" s="1"/>
  <c r="K5" i="6" s="1"/>
  <c r="K6" i="6" s="1"/>
  <c r="K7" i="6" s="1"/>
  <c r="K8" i="6" s="1"/>
  <c r="K9" i="6" s="1"/>
  <c r="K10" i="6" s="1"/>
  <c r="J3" i="6"/>
  <c r="J4" i="6" s="1"/>
  <c r="J5" i="6" s="1"/>
  <c r="J6" i="6" s="1"/>
  <c r="J7" i="6" s="1"/>
  <c r="J8" i="6" s="1"/>
  <c r="J9" i="6" s="1"/>
  <c r="J10" i="6" s="1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5" i="5"/>
  <c r="G15" i="5"/>
  <c r="F15" i="5"/>
  <c r="E15" i="5"/>
  <c r="D15" i="5"/>
  <c r="C15" i="5"/>
  <c r="H14" i="5"/>
  <c r="G14" i="5"/>
  <c r="F14" i="5"/>
  <c r="E14" i="5"/>
  <c r="D14" i="5"/>
  <c r="C14" i="5"/>
  <c r="P3" i="5"/>
  <c r="P4" i="5" s="1"/>
  <c r="P5" i="5" s="1"/>
  <c r="P6" i="5" s="1"/>
  <c r="P7" i="5" s="1"/>
  <c r="P8" i="5" s="1"/>
  <c r="P9" i="5" s="1"/>
  <c r="P10" i="5" s="1"/>
  <c r="P11" i="5" s="1"/>
  <c r="O3" i="5"/>
  <c r="O4" i="5" s="1"/>
  <c r="O5" i="5" s="1"/>
  <c r="O6" i="5" s="1"/>
  <c r="O7" i="5" s="1"/>
  <c r="O8" i="5" s="1"/>
  <c r="O9" i="5" s="1"/>
  <c r="O10" i="5" s="1"/>
  <c r="O11" i="5" s="1"/>
  <c r="N3" i="5"/>
  <c r="N4" i="5" s="1"/>
  <c r="N5" i="5" s="1"/>
  <c r="N6" i="5" s="1"/>
  <c r="N7" i="5" s="1"/>
  <c r="N8" i="5" s="1"/>
  <c r="N9" i="5" s="1"/>
  <c r="N10" i="5" s="1"/>
  <c r="N11" i="5" s="1"/>
  <c r="M3" i="5"/>
  <c r="M4" i="5" s="1"/>
  <c r="M5" i="5" s="1"/>
  <c r="M6" i="5" s="1"/>
  <c r="M7" i="5" s="1"/>
  <c r="M8" i="5" s="1"/>
  <c r="M9" i="5" s="1"/>
  <c r="M10" i="5" s="1"/>
  <c r="M11" i="5" s="1"/>
  <c r="L3" i="5"/>
  <c r="L4" i="5" s="1"/>
  <c r="L5" i="5" s="1"/>
  <c r="L6" i="5" s="1"/>
  <c r="L7" i="5" s="1"/>
  <c r="L8" i="5" s="1"/>
  <c r="L9" i="5" s="1"/>
  <c r="L10" i="5" s="1"/>
  <c r="L11" i="5" s="1"/>
  <c r="K3" i="5"/>
  <c r="K4" i="5" s="1"/>
  <c r="K5" i="5" s="1"/>
  <c r="K6" i="5" s="1"/>
  <c r="K7" i="5" s="1"/>
  <c r="K8" i="5" s="1"/>
  <c r="K9" i="5" s="1"/>
  <c r="K10" i="5" s="1"/>
  <c r="K11" i="5" s="1"/>
  <c r="J3" i="5"/>
  <c r="J4" i="5" s="1"/>
  <c r="J5" i="5" s="1"/>
  <c r="J6" i="5" s="1"/>
  <c r="J7" i="5" s="1"/>
  <c r="J8" i="5" s="1"/>
  <c r="J9" i="5" s="1"/>
  <c r="J10" i="5" s="1"/>
  <c r="J11" i="5" s="1"/>
  <c r="M11" i="14" l="1"/>
  <c r="N11" i="14"/>
  <c r="O12" i="14"/>
  <c r="P12" i="14"/>
  <c r="N13" i="13"/>
  <c r="L11" i="13"/>
  <c r="O11" i="13"/>
  <c r="M12" i="13"/>
  <c r="K13" i="13"/>
  <c r="O13" i="13"/>
  <c r="P13" i="13"/>
  <c r="K11" i="13"/>
  <c r="P15" i="12"/>
  <c r="K12" i="12"/>
  <c r="K11" i="12"/>
  <c r="L15" i="12"/>
  <c r="L12" i="12"/>
  <c r="M15" i="12"/>
  <c r="K14" i="12"/>
  <c r="L11" i="12"/>
  <c r="O14" i="12"/>
  <c r="P14" i="12"/>
  <c r="K15" i="12"/>
  <c r="N13" i="11"/>
  <c r="K12" i="11"/>
  <c r="O14" i="11"/>
  <c r="L12" i="11"/>
  <c r="M13" i="11"/>
  <c r="P30" i="10"/>
  <c r="P34" i="10"/>
  <c r="P38" i="10"/>
  <c r="P42" i="10"/>
  <c r="P46" i="10"/>
  <c r="P50" i="10"/>
  <c r="O29" i="10"/>
  <c r="K31" i="10"/>
  <c r="M32" i="10"/>
  <c r="O33" i="10"/>
  <c r="K35" i="10"/>
  <c r="M36" i="10"/>
  <c r="O37" i="10"/>
  <c r="K39" i="10"/>
  <c r="M40" i="10"/>
  <c r="O41" i="10"/>
  <c r="K43" i="10"/>
  <c r="M44" i="10"/>
  <c r="O45" i="10"/>
  <c r="K47" i="10"/>
  <c r="M48" i="10"/>
  <c r="O49" i="10"/>
  <c r="K51" i="10"/>
  <c r="N29" i="10"/>
  <c r="N33" i="10"/>
  <c r="N37" i="10"/>
  <c r="N41" i="10"/>
  <c r="N45" i="10"/>
  <c r="N49" i="10"/>
  <c r="P29" i="10"/>
  <c r="L31" i="10"/>
  <c r="N32" i="10"/>
  <c r="P33" i="10"/>
  <c r="L35" i="10"/>
  <c r="N36" i="10"/>
  <c r="P37" i="10"/>
  <c r="L39" i="10"/>
  <c r="N40" i="10"/>
  <c r="P41" i="10"/>
  <c r="L43" i="10"/>
  <c r="N44" i="10"/>
  <c r="P45" i="10"/>
  <c r="L47" i="10"/>
  <c r="N48" i="10"/>
  <c r="P49" i="10"/>
  <c r="L51" i="10"/>
  <c r="L32" i="10"/>
  <c r="L36" i="10"/>
  <c r="L40" i="10"/>
  <c r="L44" i="10"/>
  <c r="L48" i="10"/>
  <c r="K30" i="10"/>
  <c r="M31" i="10"/>
  <c r="O32" i="10"/>
  <c r="K34" i="10"/>
  <c r="M35" i="10"/>
  <c r="O36" i="10"/>
  <c r="K38" i="10"/>
  <c r="M39" i="10"/>
  <c r="O40" i="10"/>
  <c r="K42" i="10"/>
  <c r="M43" i="10"/>
  <c r="O44" i="10"/>
  <c r="K46" i="10"/>
  <c r="M47" i="10"/>
  <c r="O48" i="10"/>
  <c r="K50" i="10"/>
  <c r="M51" i="10"/>
  <c r="L30" i="10"/>
  <c r="N31" i="10"/>
  <c r="P32" i="10"/>
  <c r="L34" i="10"/>
  <c r="N35" i="10"/>
  <c r="P36" i="10"/>
  <c r="L38" i="10"/>
  <c r="N39" i="10"/>
  <c r="P40" i="10"/>
  <c r="L42" i="10"/>
  <c r="N43" i="10"/>
  <c r="P44" i="10"/>
  <c r="L46" i="10"/>
  <c r="N47" i="10"/>
  <c r="P48" i="10"/>
  <c r="L50" i="10"/>
  <c r="N51" i="10"/>
  <c r="K29" i="10"/>
  <c r="M30" i="10"/>
  <c r="M52" i="10" s="1"/>
  <c r="M53" i="10" s="1"/>
  <c r="O31" i="10"/>
  <c r="K33" i="10"/>
  <c r="M34" i="10"/>
  <c r="O35" i="10"/>
  <c r="K37" i="10"/>
  <c r="M38" i="10"/>
  <c r="O39" i="10"/>
  <c r="K41" i="10"/>
  <c r="M42" i="10"/>
  <c r="O43" i="10"/>
  <c r="K45" i="10"/>
  <c r="M46" i="10"/>
  <c r="O47" i="10"/>
  <c r="K49" i="10"/>
  <c r="M50" i="10"/>
  <c r="O51" i="10"/>
  <c r="L29" i="10"/>
  <c r="N30" i="10"/>
  <c r="P31" i="10"/>
  <c r="L33" i="10"/>
  <c r="N34" i="10"/>
  <c r="P35" i="10"/>
  <c r="L37" i="10"/>
  <c r="N38" i="10"/>
  <c r="P39" i="10"/>
  <c r="L41" i="10"/>
  <c r="N42" i="10"/>
  <c r="P43" i="10"/>
  <c r="L45" i="10"/>
  <c r="N46" i="10"/>
  <c r="P47" i="10"/>
  <c r="L49" i="10"/>
  <c r="N50" i="10"/>
  <c r="M29" i="10"/>
  <c r="O30" i="10"/>
  <c r="K32" i="10"/>
  <c r="M33" i="10"/>
  <c r="O34" i="10"/>
  <c r="K36" i="10"/>
  <c r="M37" i="10"/>
  <c r="O38" i="10"/>
  <c r="K40" i="10"/>
  <c r="M41" i="10"/>
  <c r="O42" i="10"/>
  <c r="K44" i="10"/>
  <c r="M45" i="10"/>
  <c r="O46" i="10"/>
  <c r="K48" i="10"/>
  <c r="M49" i="10"/>
  <c r="O50" i="10"/>
  <c r="M37" i="9"/>
  <c r="N37" i="9"/>
  <c r="P37" i="9"/>
  <c r="K37" i="9"/>
  <c r="L37" i="9"/>
  <c r="O37" i="9"/>
  <c r="L12" i="8"/>
  <c r="K14" i="8"/>
  <c r="O14" i="8"/>
  <c r="P14" i="8"/>
  <c r="K15" i="8"/>
  <c r="K11" i="8"/>
  <c r="L15" i="8"/>
  <c r="L11" i="8"/>
  <c r="P17" i="7"/>
  <c r="P12" i="7"/>
  <c r="M15" i="7"/>
  <c r="L17" i="7"/>
  <c r="P15" i="7"/>
  <c r="P16" i="7"/>
  <c r="K14" i="7"/>
  <c r="N15" i="7"/>
  <c r="O15" i="7"/>
  <c r="O12" i="7"/>
  <c r="O16" i="7"/>
  <c r="K13" i="7"/>
  <c r="K17" i="7"/>
  <c r="K14" i="6"/>
  <c r="L18" i="6"/>
  <c r="M18" i="6"/>
  <c r="K18" i="6"/>
  <c r="P21" i="6"/>
  <c r="M14" i="6"/>
  <c r="M19" i="6"/>
  <c r="M15" i="6"/>
  <c r="O20" i="6"/>
  <c r="O16" i="6"/>
  <c r="P20" i="6"/>
  <c r="P16" i="6"/>
  <c r="K21" i="6"/>
  <c r="K17" i="6"/>
  <c r="K23" i="5"/>
  <c r="N17" i="5"/>
  <c r="P18" i="5"/>
  <c r="N21" i="5"/>
  <c r="P22" i="5"/>
  <c r="L15" i="5"/>
  <c r="N16" i="5"/>
  <c r="N24" i="5" s="1"/>
  <c r="N25" i="5" s="1"/>
  <c r="P17" i="5"/>
  <c r="L19" i="5"/>
  <c r="N20" i="5"/>
  <c r="P21" i="5"/>
  <c r="L23" i="5"/>
  <c r="M19" i="5"/>
  <c r="N15" i="5"/>
  <c r="P16" i="5"/>
  <c r="P24" i="5" s="1"/>
  <c r="P25" i="5" s="1"/>
  <c r="L18" i="5"/>
  <c r="N19" i="5"/>
  <c r="P20" i="5"/>
  <c r="L22" i="5"/>
  <c r="N23" i="5"/>
  <c r="M15" i="5"/>
  <c r="O16" i="5"/>
  <c r="K18" i="5"/>
  <c r="K24" i="5" s="1"/>
  <c r="K25" i="5" s="1"/>
  <c r="O20" i="5"/>
  <c r="K22" i="5"/>
  <c r="M23" i="5"/>
  <c r="O15" i="5"/>
  <c r="K17" i="5"/>
  <c r="M18" i="5"/>
  <c r="O19" i="5"/>
  <c r="K21" i="5"/>
  <c r="M22" i="5"/>
  <c r="O23" i="5"/>
  <c r="P15" i="5"/>
  <c r="L17" i="5"/>
  <c r="N18" i="5"/>
  <c r="P19" i="5"/>
  <c r="L21" i="5"/>
  <c r="N22" i="5"/>
  <c r="P23" i="5"/>
  <c r="K16" i="5"/>
  <c r="M17" i="5"/>
  <c r="O18" i="5"/>
  <c r="K20" i="5"/>
  <c r="M21" i="5"/>
  <c r="O22" i="5"/>
  <c r="L16" i="5"/>
  <c r="L24" i="5" s="1"/>
  <c r="L25" i="5" s="1"/>
  <c r="L20" i="5"/>
  <c r="K15" i="5"/>
  <c r="M16" i="5"/>
  <c r="O17" i="5"/>
  <c r="K19" i="5"/>
  <c r="M20" i="5"/>
  <c r="O21" i="5"/>
  <c r="M10" i="14"/>
  <c r="O11" i="14"/>
  <c r="K13" i="14"/>
  <c r="K10" i="14"/>
  <c r="N10" i="14"/>
  <c r="P11" i="14"/>
  <c r="L13" i="14"/>
  <c r="O10" i="14"/>
  <c r="K12" i="14"/>
  <c r="M13" i="14"/>
  <c r="L10" i="14"/>
  <c r="P10" i="14"/>
  <c r="L12" i="14"/>
  <c r="N13" i="14"/>
  <c r="K11" i="14"/>
  <c r="M12" i="14"/>
  <c r="O13" i="14"/>
  <c r="L11" i="14"/>
  <c r="N12" i="14"/>
  <c r="N12" i="13"/>
  <c r="K10" i="13"/>
  <c r="M11" i="13"/>
  <c r="O12" i="13"/>
  <c r="L10" i="13"/>
  <c r="L14" i="13" s="1"/>
  <c r="L15" i="13" s="1"/>
  <c r="N11" i="13"/>
  <c r="P12" i="13"/>
  <c r="N10" i="13"/>
  <c r="P11" i="13"/>
  <c r="L13" i="13"/>
  <c r="O10" i="13"/>
  <c r="K12" i="13"/>
  <c r="M13" i="13"/>
  <c r="M10" i="13"/>
  <c r="P10" i="13"/>
  <c r="L12" i="13"/>
  <c r="M13" i="12"/>
  <c r="O13" i="12"/>
  <c r="N15" i="12"/>
  <c r="O11" i="12"/>
  <c r="K13" i="12"/>
  <c r="K16" i="12" s="1"/>
  <c r="K17" i="12" s="1"/>
  <c r="M14" i="12"/>
  <c r="O15" i="12"/>
  <c r="N13" i="12"/>
  <c r="M12" i="12"/>
  <c r="N12" i="12"/>
  <c r="P13" i="12"/>
  <c r="M11" i="12"/>
  <c r="M16" i="12" s="1"/>
  <c r="M17" i="12" s="1"/>
  <c r="O12" i="12"/>
  <c r="N11" i="12"/>
  <c r="P12" i="12"/>
  <c r="L14" i="12"/>
  <c r="P11" i="12"/>
  <c r="L13" i="12"/>
  <c r="N14" i="12"/>
  <c r="K15" i="11"/>
  <c r="L11" i="11"/>
  <c r="M15" i="11"/>
  <c r="K11" i="11"/>
  <c r="L15" i="11"/>
  <c r="M11" i="11"/>
  <c r="M16" i="11" s="1"/>
  <c r="M17" i="11" s="1"/>
  <c r="N11" i="11"/>
  <c r="P12" i="11"/>
  <c r="L14" i="11"/>
  <c r="N15" i="11"/>
  <c r="P14" i="11"/>
  <c r="O13" i="11"/>
  <c r="P13" i="11"/>
  <c r="K14" i="11"/>
  <c r="O11" i="11"/>
  <c r="K13" i="11"/>
  <c r="M14" i="11"/>
  <c r="O15" i="11"/>
  <c r="M12" i="11"/>
  <c r="N12" i="11"/>
  <c r="O12" i="11"/>
  <c r="P11" i="11"/>
  <c r="P16" i="11" s="1"/>
  <c r="P17" i="11" s="1"/>
  <c r="L13" i="11"/>
  <c r="N14" i="11"/>
  <c r="J4" i="9"/>
  <c r="M13" i="8"/>
  <c r="M12" i="8"/>
  <c r="O13" i="8"/>
  <c r="M11" i="8"/>
  <c r="N11" i="8"/>
  <c r="N15" i="8"/>
  <c r="O11" i="8"/>
  <c r="K13" i="8"/>
  <c r="K16" i="8" s="1"/>
  <c r="K17" i="8" s="1"/>
  <c r="M14" i="8"/>
  <c r="O15" i="8"/>
  <c r="N13" i="8"/>
  <c r="N12" i="8"/>
  <c r="P13" i="8"/>
  <c r="O12" i="8"/>
  <c r="P12" i="8"/>
  <c r="L14" i="8"/>
  <c r="P11" i="8"/>
  <c r="P16" i="8" s="1"/>
  <c r="P17" i="8" s="1"/>
  <c r="L13" i="8"/>
  <c r="N14" i="8"/>
  <c r="K12" i="7"/>
  <c r="M13" i="7"/>
  <c r="O14" i="7"/>
  <c r="K16" i="7"/>
  <c r="M17" i="7"/>
  <c r="L12" i="7"/>
  <c r="N13" i="7"/>
  <c r="P14" i="7"/>
  <c r="L16" i="7"/>
  <c r="N17" i="7"/>
  <c r="L13" i="7"/>
  <c r="M12" i="7"/>
  <c r="O13" i="7"/>
  <c r="K15" i="7"/>
  <c r="M16" i="7"/>
  <c r="O17" i="7"/>
  <c r="L14" i="7"/>
  <c r="M14" i="7"/>
  <c r="N14" i="7"/>
  <c r="N12" i="7"/>
  <c r="P13" i="7"/>
  <c r="P18" i="7" s="1"/>
  <c r="P19" i="7" s="1"/>
  <c r="L15" i="7"/>
  <c r="N16" i="7"/>
  <c r="N19" i="6"/>
  <c r="N14" i="6"/>
  <c r="P15" i="6"/>
  <c r="L17" i="6"/>
  <c r="N18" i="6"/>
  <c r="P19" i="6"/>
  <c r="L21" i="6"/>
  <c r="N15" i="6"/>
  <c r="O19" i="6"/>
  <c r="O14" i="6"/>
  <c r="K16" i="6"/>
  <c r="M17" i="6"/>
  <c r="O18" i="6"/>
  <c r="K20" i="6"/>
  <c r="M21" i="6"/>
  <c r="P14" i="6"/>
  <c r="L16" i="6"/>
  <c r="N17" i="6"/>
  <c r="P18" i="6"/>
  <c r="L20" i="6"/>
  <c r="N21" i="6"/>
  <c r="K15" i="6"/>
  <c r="K22" i="6" s="1"/>
  <c r="K23" i="6" s="1"/>
  <c r="M16" i="6"/>
  <c r="O17" i="6"/>
  <c r="K19" i="6"/>
  <c r="M20" i="6"/>
  <c r="O21" i="6"/>
  <c r="O15" i="6"/>
  <c r="L15" i="6"/>
  <c r="N16" i="6"/>
  <c r="P17" i="6"/>
  <c r="L19" i="6"/>
  <c r="N20" i="6"/>
  <c r="M24" i="5"/>
  <c r="M25" i="5" s="1"/>
  <c r="H33" i="4"/>
  <c r="G33" i="4"/>
  <c r="F33" i="4"/>
  <c r="E33" i="4"/>
  <c r="D33" i="4"/>
  <c r="C33" i="4"/>
  <c r="H32" i="4"/>
  <c r="G32" i="4"/>
  <c r="F32" i="4"/>
  <c r="E32" i="4"/>
  <c r="D32" i="4"/>
  <c r="C32" i="4"/>
  <c r="H31" i="4"/>
  <c r="G31" i="4"/>
  <c r="F31" i="4"/>
  <c r="E31" i="4"/>
  <c r="D31" i="4"/>
  <c r="C31" i="4"/>
  <c r="H30" i="4"/>
  <c r="G30" i="4"/>
  <c r="F30" i="4"/>
  <c r="E30" i="4"/>
  <c r="D30" i="4"/>
  <c r="C30" i="4"/>
  <c r="H29" i="4"/>
  <c r="G29" i="4"/>
  <c r="F29" i="4"/>
  <c r="E29" i="4"/>
  <c r="D29" i="4"/>
  <c r="C29" i="4"/>
  <c r="H28" i="4"/>
  <c r="G28" i="4"/>
  <c r="F28" i="4"/>
  <c r="E28" i="4"/>
  <c r="D28" i="4"/>
  <c r="C28" i="4"/>
  <c r="H27" i="4"/>
  <c r="G27" i="4"/>
  <c r="F27" i="4"/>
  <c r="E27" i="4"/>
  <c r="D27" i="4"/>
  <c r="C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J3" i="4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P3" i="3"/>
  <c r="P4" i="3" s="1"/>
  <c r="P5" i="3" s="1"/>
  <c r="P6" i="3" s="1"/>
  <c r="P7" i="3" s="1"/>
  <c r="P8" i="3" s="1"/>
  <c r="P9" i="3" s="1"/>
  <c r="O3" i="3"/>
  <c r="O4" i="3" s="1"/>
  <c r="O5" i="3" s="1"/>
  <c r="O6" i="3" s="1"/>
  <c r="O7" i="3" s="1"/>
  <c r="O8" i="3" s="1"/>
  <c r="O9" i="3" s="1"/>
  <c r="N3" i="3"/>
  <c r="N4" i="3" s="1"/>
  <c r="N5" i="3" s="1"/>
  <c r="N6" i="3" s="1"/>
  <c r="N7" i="3" s="1"/>
  <c r="N8" i="3" s="1"/>
  <c r="N9" i="3" s="1"/>
  <c r="M3" i="3"/>
  <c r="M4" i="3" s="1"/>
  <c r="M5" i="3" s="1"/>
  <c r="M6" i="3" s="1"/>
  <c r="M7" i="3" s="1"/>
  <c r="M8" i="3" s="1"/>
  <c r="M9" i="3" s="1"/>
  <c r="L3" i="3"/>
  <c r="L4" i="3" s="1"/>
  <c r="L5" i="3" s="1"/>
  <c r="L6" i="3" s="1"/>
  <c r="L7" i="3" s="1"/>
  <c r="L8" i="3" s="1"/>
  <c r="L9" i="3" s="1"/>
  <c r="K3" i="3"/>
  <c r="K4" i="3" s="1"/>
  <c r="K5" i="3" s="1"/>
  <c r="K6" i="3" s="1"/>
  <c r="K7" i="3" s="1"/>
  <c r="K8" i="3" s="1"/>
  <c r="K9" i="3" s="1"/>
  <c r="J3" i="3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H10" i="2"/>
  <c r="G10" i="2"/>
  <c r="F10" i="2"/>
  <c r="E10" i="2"/>
  <c r="D10" i="2"/>
  <c r="C10" i="2"/>
  <c r="H9" i="2"/>
  <c r="G9" i="2"/>
  <c r="F9" i="2"/>
  <c r="E9" i="2"/>
  <c r="D9" i="2"/>
  <c r="C9" i="2"/>
  <c r="P3" i="2"/>
  <c r="P4" i="2" s="1"/>
  <c r="P5" i="2" s="1"/>
  <c r="P6" i="2" s="1"/>
  <c r="O3" i="2"/>
  <c r="O4" i="2" s="1"/>
  <c r="O5" i="2" s="1"/>
  <c r="O6" i="2" s="1"/>
  <c r="N3" i="2"/>
  <c r="N4" i="2" s="1"/>
  <c r="N5" i="2" s="1"/>
  <c r="N6" i="2" s="1"/>
  <c r="M3" i="2"/>
  <c r="M4" i="2" s="1"/>
  <c r="M5" i="2" s="1"/>
  <c r="M6" i="2" s="1"/>
  <c r="L3" i="2"/>
  <c r="L4" i="2" s="1"/>
  <c r="L5" i="2" s="1"/>
  <c r="L6" i="2" s="1"/>
  <c r="K3" i="2"/>
  <c r="K4" i="2" s="1"/>
  <c r="K5" i="2" s="1"/>
  <c r="K6" i="2" s="1"/>
  <c r="J3" i="2"/>
  <c r="O14" i="14" l="1"/>
  <c r="O15" i="14" s="1"/>
  <c r="P14" i="14"/>
  <c r="P15" i="14" s="1"/>
  <c r="L14" i="14"/>
  <c r="L15" i="14" s="1"/>
  <c r="O14" i="13"/>
  <c r="O15" i="13" s="1"/>
  <c r="P14" i="13"/>
  <c r="P15" i="13" s="1"/>
  <c r="M14" i="13"/>
  <c r="M15" i="13" s="1"/>
  <c r="O16" i="12"/>
  <c r="O17" i="12" s="1"/>
  <c r="L16" i="12"/>
  <c r="L17" i="12" s="1"/>
  <c r="P16" i="12"/>
  <c r="P17" i="12" s="1"/>
  <c r="K16" i="11"/>
  <c r="K17" i="11" s="1"/>
  <c r="N16" i="11"/>
  <c r="N17" i="11" s="1"/>
  <c r="P52" i="10"/>
  <c r="P53" i="10" s="1"/>
  <c r="L52" i="10"/>
  <c r="L53" i="10" s="1"/>
  <c r="N52" i="10"/>
  <c r="N53" i="10" s="1"/>
  <c r="K52" i="10"/>
  <c r="K53" i="10" s="1"/>
  <c r="O38" i="9"/>
  <c r="P38" i="9"/>
  <c r="K38" i="9"/>
  <c r="L38" i="9"/>
  <c r="M38" i="9"/>
  <c r="N38" i="9"/>
  <c r="O16" i="8"/>
  <c r="O17" i="8" s="1"/>
  <c r="M16" i="8"/>
  <c r="M17" i="8" s="1"/>
  <c r="L16" i="8"/>
  <c r="L17" i="8" s="1"/>
  <c r="O18" i="7"/>
  <c r="O19" i="7" s="1"/>
  <c r="N18" i="7"/>
  <c r="N19" i="7" s="1"/>
  <c r="M18" i="7"/>
  <c r="M19" i="7" s="1"/>
  <c r="L18" i="7"/>
  <c r="L19" i="7" s="1"/>
  <c r="M22" i="6"/>
  <c r="M23" i="6" s="1"/>
  <c r="L22" i="6"/>
  <c r="L23" i="6" s="1"/>
  <c r="O24" i="5"/>
  <c r="O25" i="5" s="1"/>
  <c r="N14" i="14"/>
  <c r="N15" i="14" s="1"/>
  <c r="K14" i="14"/>
  <c r="K15" i="14" s="1"/>
  <c r="M14" i="14"/>
  <c r="M15" i="14" s="1"/>
  <c r="N14" i="13"/>
  <c r="N15" i="13" s="1"/>
  <c r="K14" i="13"/>
  <c r="K15" i="13" s="1"/>
  <c r="N16" i="12"/>
  <c r="N17" i="12" s="1"/>
  <c r="L16" i="11"/>
  <c r="L17" i="11" s="1"/>
  <c r="O16" i="11"/>
  <c r="O17" i="11" s="1"/>
  <c r="O52" i="10"/>
  <c r="O53" i="10" s="1"/>
  <c r="J5" i="9"/>
  <c r="N16" i="8"/>
  <c r="N17" i="8" s="1"/>
  <c r="K18" i="7"/>
  <c r="K19" i="7" s="1"/>
  <c r="N22" i="6"/>
  <c r="N23" i="6" s="1"/>
  <c r="P22" i="6"/>
  <c r="P23" i="6" s="1"/>
  <c r="O22" i="6"/>
  <c r="O23" i="6" s="1"/>
  <c r="J4" i="4"/>
  <c r="N20" i="4"/>
  <c r="M20" i="4"/>
  <c r="L20" i="4"/>
  <c r="P20" i="4"/>
  <c r="K20" i="4"/>
  <c r="O20" i="4"/>
  <c r="J4" i="3"/>
  <c r="L13" i="3"/>
  <c r="K13" i="3"/>
  <c r="P13" i="3"/>
  <c r="O13" i="3"/>
  <c r="N13" i="3"/>
  <c r="M13" i="3"/>
  <c r="J4" i="2"/>
  <c r="P10" i="2"/>
  <c r="M10" i="2"/>
  <c r="L10" i="2"/>
  <c r="K10" i="2"/>
  <c r="O10" i="2"/>
  <c r="N10" i="2"/>
  <c r="L39" i="9" l="1"/>
  <c r="M39" i="9"/>
  <c r="N39" i="9"/>
  <c r="O39" i="9"/>
  <c r="P39" i="9"/>
  <c r="K39" i="9"/>
  <c r="J6" i="9"/>
  <c r="J5" i="4"/>
  <c r="P21" i="4"/>
  <c r="O21" i="4"/>
  <c r="N21" i="4"/>
  <c r="K21" i="4"/>
  <c r="M21" i="4"/>
  <c r="L21" i="4"/>
  <c r="J5" i="3"/>
  <c r="N14" i="3"/>
  <c r="M14" i="3"/>
  <c r="L14" i="3"/>
  <c r="K14" i="3"/>
  <c r="O14" i="3"/>
  <c r="P14" i="3"/>
  <c r="J5" i="2"/>
  <c r="L11" i="2"/>
  <c r="O11" i="2"/>
  <c r="K11" i="2"/>
  <c r="P11" i="2"/>
  <c r="N11" i="2"/>
  <c r="M11" i="2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H20" i="1"/>
  <c r="G20" i="1"/>
  <c r="F20" i="1"/>
  <c r="E20" i="1"/>
  <c r="D20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1" i="1"/>
  <c r="C22" i="1"/>
  <c r="C20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J3" i="1"/>
  <c r="N40" i="9" l="1"/>
  <c r="O40" i="9"/>
  <c r="P40" i="9"/>
  <c r="K40" i="9"/>
  <c r="L40" i="9"/>
  <c r="M40" i="9"/>
  <c r="J7" i="9"/>
  <c r="J6" i="4"/>
  <c r="P22" i="4"/>
  <c r="K22" i="4"/>
  <c r="O22" i="4"/>
  <c r="N22" i="4"/>
  <c r="M22" i="4"/>
  <c r="L22" i="4"/>
  <c r="J6" i="3"/>
  <c r="P15" i="3"/>
  <c r="O15" i="3"/>
  <c r="N15" i="3"/>
  <c r="L15" i="3"/>
  <c r="M15" i="3"/>
  <c r="K15" i="3"/>
  <c r="J6" i="2"/>
  <c r="N12" i="2"/>
  <c r="P12" i="2"/>
  <c r="O12" i="2"/>
  <c r="M12" i="2"/>
  <c r="L12" i="2"/>
  <c r="K12" i="2"/>
  <c r="J4" i="1"/>
  <c r="L21" i="1"/>
  <c r="P21" i="1"/>
  <c r="O21" i="1"/>
  <c r="N21" i="1"/>
  <c r="M21" i="1"/>
  <c r="K21" i="1"/>
  <c r="P41" i="9" l="1"/>
  <c r="M41" i="9"/>
  <c r="K41" i="9"/>
  <c r="N41" i="9"/>
  <c r="L41" i="9"/>
  <c r="O41" i="9"/>
  <c r="J8" i="9"/>
  <c r="J7" i="4"/>
  <c r="L23" i="4"/>
  <c r="K23" i="4"/>
  <c r="O23" i="4"/>
  <c r="N23" i="4"/>
  <c r="P23" i="4"/>
  <c r="M23" i="4"/>
  <c r="J7" i="3"/>
  <c r="K16" i="3"/>
  <c r="N16" i="3"/>
  <c r="P16" i="3"/>
  <c r="O16" i="3"/>
  <c r="M16" i="3"/>
  <c r="L16" i="3"/>
  <c r="P13" i="2"/>
  <c r="P14" i="2" s="1"/>
  <c r="P15" i="2" s="1"/>
  <c r="L13" i="2"/>
  <c r="L14" i="2" s="1"/>
  <c r="L15" i="2" s="1"/>
  <c r="O13" i="2"/>
  <c r="O14" i="2" s="1"/>
  <c r="O15" i="2" s="1"/>
  <c r="K13" i="2"/>
  <c r="K14" i="2" s="1"/>
  <c r="K15" i="2" s="1"/>
  <c r="N13" i="2"/>
  <c r="N14" i="2" s="1"/>
  <c r="N15" i="2" s="1"/>
  <c r="M13" i="2"/>
  <c r="M14" i="2" s="1"/>
  <c r="M15" i="2" s="1"/>
  <c r="J5" i="1"/>
  <c r="K22" i="1"/>
  <c r="M22" i="1"/>
  <c r="O22" i="1"/>
  <c r="P22" i="1"/>
  <c r="L22" i="1"/>
  <c r="N22" i="1"/>
  <c r="O42" i="9" l="1"/>
  <c r="K42" i="9"/>
  <c r="L42" i="9"/>
  <c r="P42" i="9"/>
  <c r="M42" i="9"/>
  <c r="N42" i="9"/>
  <c r="J9" i="9"/>
  <c r="J8" i="4"/>
  <c r="N24" i="4"/>
  <c r="M24" i="4"/>
  <c r="L24" i="4"/>
  <c r="O24" i="4"/>
  <c r="K24" i="4"/>
  <c r="P24" i="4"/>
  <c r="J8" i="3"/>
  <c r="L17" i="3"/>
  <c r="P17" i="3"/>
  <c r="K17" i="3"/>
  <c r="M17" i="3"/>
  <c r="O17" i="3"/>
  <c r="N17" i="3"/>
  <c r="J6" i="1"/>
  <c r="M23" i="1"/>
  <c r="P23" i="1"/>
  <c r="K23" i="1"/>
  <c r="L23" i="1"/>
  <c r="N23" i="1"/>
  <c r="O23" i="1"/>
  <c r="L43" i="9" l="1"/>
  <c r="M43" i="9"/>
  <c r="N43" i="9"/>
  <c r="O43" i="9"/>
  <c r="P43" i="9"/>
  <c r="K43" i="9"/>
  <c r="J10" i="9"/>
  <c r="J9" i="4"/>
  <c r="P25" i="4"/>
  <c r="O25" i="4"/>
  <c r="N25" i="4"/>
  <c r="M25" i="4"/>
  <c r="L25" i="4"/>
  <c r="K25" i="4"/>
  <c r="J9" i="3"/>
  <c r="N18" i="3"/>
  <c r="M18" i="3"/>
  <c r="O18" i="3"/>
  <c r="L18" i="3"/>
  <c r="K18" i="3"/>
  <c r="P18" i="3"/>
  <c r="J7" i="1"/>
  <c r="O24" i="1"/>
  <c r="P24" i="1"/>
  <c r="K24" i="1"/>
  <c r="L24" i="1"/>
  <c r="M24" i="1"/>
  <c r="N24" i="1"/>
  <c r="N44" i="9" l="1"/>
  <c r="O44" i="9"/>
  <c r="L44" i="9"/>
  <c r="P44" i="9"/>
  <c r="K44" i="9"/>
  <c r="M44" i="9"/>
  <c r="J11" i="9"/>
  <c r="J10" i="4"/>
  <c r="P26" i="4"/>
  <c r="M26" i="4"/>
  <c r="L26" i="4"/>
  <c r="O26" i="4"/>
  <c r="N26" i="4"/>
  <c r="K26" i="4"/>
  <c r="P19" i="3"/>
  <c r="P20" i="3" s="1"/>
  <c r="P21" i="3" s="1"/>
  <c r="O19" i="3"/>
  <c r="O20" i="3" s="1"/>
  <c r="O21" i="3" s="1"/>
  <c r="N19" i="3"/>
  <c r="N20" i="3" s="1"/>
  <c r="N21" i="3" s="1"/>
  <c r="M19" i="3"/>
  <c r="M20" i="3" s="1"/>
  <c r="M21" i="3" s="1"/>
  <c r="L19" i="3"/>
  <c r="L20" i="3" s="1"/>
  <c r="L21" i="3" s="1"/>
  <c r="K19" i="3"/>
  <c r="K20" i="3" s="1"/>
  <c r="K21" i="3" s="1"/>
  <c r="J8" i="1"/>
  <c r="K25" i="1"/>
  <c r="L25" i="1"/>
  <c r="M25" i="1"/>
  <c r="N25" i="1"/>
  <c r="O25" i="1"/>
  <c r="P25" i="1"/>
  <c r="P45" i="9" l="1"/>
  <c r="M45" i="9"/>
  <c r="N45" i="9"/>
  <c r="K45" i="9"/>
  <c r="L45" i="9"/>
  <c r="O45" i="9"/>
  <c r="J12" i="9"/>
  <c r="J11" i="4"/>
  <c r="L27" i="4"/>
  <c r="K27" i="4"/>
  <c r="M27" i="4"/>
  <c r="P27" i="4"/>
  <c r="O27" i="4"/>
  <c r="N27" i="4"/>
  <c r="J9" i="1"/>
  <c r="K26" i="1"/>
  <c r="M26" i="1"/>
  <c r="N26" i="1"/>
  <c r="O26" i="1"/>
  <c r="P26" i="1"/>
  <c r="L26" i="1"/>
  <c r="K46" i="9" l="1"/>
  <c r="L46" i="9"/>
  <c r="O46" i="9"/>
  <c r="P46" i="9"/>
  <c r="M46" i="9"/>
  <c r="N46" i="9"/>
  <c r="J13" i="9"/>
  <c r="J12" i="4"/>
  <c r="N28" i="4"/>
  <c r="M28" i="4"/>
  <c r="L28" i="4"/>
  <c r="P28" i="4"/>
  <c r="K28" i="4"/>
  <c r="O28" i="4"/>
  <c r="J10" i="1"/>
  <c r="M27" i="1"/>
  <c r="O27" i="1"/>
  <c r="P27" i="1"/>
  <c r="K27" i="1"/>
  <c r="L27" i="1"/>
  <c r="N27" i="1"/>
  <c r="L47" i="9" l="1"/>
  <c r="M47" i="9"/>
  <c r="N47" i="9"/>
  <c r="O47" i="9"/>
  <c r="P47" i="9"/>
  <c r="K47" i="9"/>
  <c r="J14" i="9"/>
  <c r="J13" i="4"/>
  <c r="P29" i="4"/>
  <c r="O29" i="4"/>
  <c r="N29" i="4"/>
  <c r="K29" i="4"/>
  <c r="M29" i="4"/>
  <c r="L29" i="4"/>
  <c r="J11" i="1"/>
  <c r="O28" i="1"/>
  <c r="K28" i="1"/>
  <c r="L28" i="1"/>
  <c r="M28" i="1"/>
  <c r="N28" i="1"/>
  <c r="P28" i="1"/>
  <c r="N48" i="9" l="1"/>
  <c r="K48" i="9"/>
  <c r="O48" i="9"/>
  <c r="P48" i="9"/>
  <c r="L48" i="9"/>
  <c r="M48" i="9"/>
  <c r="J15" i="9"/>
  <c r="J14" i="4"/>
  <c r="M30" i="4"/>
  <c r="L30" i="4"/>
  <c r="K30" i="4"/>
  <c r="P30" i="4"/>
  <c r="O30" i="4"/>
  <c r="N30" i="4"/>
  <c r="J12" i="1"/>
  <c r="K29" i="1"/>
  <c r="L29" i="1"/>
  <c r="M29" i="1"/>
  <c r="N29" i="1"/>
  <c r="O29" i="1"/>
  <c r="P29" i="1"/>
  <c r="P49" i="9" l="1"/>
  <c r="M49" i="9"/>
  <c r="K49" i="9"/>
  <c r="L49" i="9"/>
  <c r="N49" i="9"/>
  <c r="O49" i="9"/>
  <c r="J16" i="9"/>
  <c r="J15" i="4"/>
  <c r="L31" i="4"/>
  <c r="K31" i="4"/>
  <c r="O31" i="4"/>
  <c r="N31" i="4"/>
  <c r="P31" i="4"/>
  <c r="M31" i="4"/>
  <c r="J13" i="1"/>
  <c r="K30" i="1"/>
  <c r="M30" i="1"/>
  <c r="N30" i="1"/>
  <c r="O30" i="1"/>
  <c r="P30" i="1"/>
  <c r="L30" i="1"/>
  <c r="O50" i="9" l="1"/>
  <c r="K50" i="9"/>
  <c r="L50" i="9"/>
  <c r="P50" i="9"/>
  <c r="M50" i="9"/>
  <c r="N50" i="9"/>
  <c r="J17" i="9"/>
  <c r="J16" i="4"/>
  <c r="N32" i="4"/>
  <c r="L32" i="4"/>
  <c r="M32" i="4"/>
  <c r="O32" i="4"/>
  <c r="K32" i="4"/>
  <c r="P32" i="4"/>
  <c r="J14" i="1"/>
  <c r="M31" i="1"/>
  <c r="O31" i="1"/>
  <c r="P31" i="1"/>
  <c r="K31" i="1"/>
  <c r="L31" i="1"/>
  <c r="N31" i="1"/>
  <c r="L51" i="9" l="1"/>
  <c r="M51" i="9"/>
  <c r="N51" i="9"/>
  <c r="O51" i="9"/>
  <c r="P51" i="9"/>
  <c r="K51" i="9"/>
  <c r="J18" i="9"/>
  <c r="P33" i="4"/>
  <c r="P34" i="4" s="1"/>
  <c r="P35" i="4" s="1"/>
  <c r="O33" i="4"/>
  <c r="O34" i="4" s="1"/>
  <c r="O35" i="4" s="1"/>
  <c r="N33" i="4"/>
  <c r="N34" i="4" s="1"/>
  <c r="N35" i="4" s="1"/>
  <c r="M33" i="4"/>
  <c r="M34" i="4" s="1"/>
  <c r="M35" i="4" s="1"/>
  <c r="L33" i="4"/>
  <c r="L34" i="4" s="1"/>
  <c r="L35" i="4" s="1"/>
  <c r="K33" i="4"/>
  <c r="K34" i="4" s="1"/>
  <c r="K35" i="4" s="1"/>
  <c r="J15" i="1"/>
  <c r="O32" i="1"/>
  <c r="K32" i="1"/>
  <c r="L32" i="1"/>
  <c r="M32" i="1"/>
  <c r="N32" i="1"/>
  <c r="P32" i="1"/>
  <c r="N52" i="9" l="1"/>
  <c r="L52" i="9"/>
  <c r="O52" i="9"/>
  <c r="K52" i="9"/>
  <c r="P52" i="9"/>
  <c r="M52" i="9"/>
  <c r="J19" i="9"/>
  <c r="J16" i="1"/>
  <c r="K33" i="1"/>
  <c r="L33" i="1"/>
  <c r="M33" i="1"/>
  <c r="N33" i="1"/>
  <c r="O33" i="1"/>
  <c r="P33" i="1"/>
  <c r="P53" i="9" l="1"/>
  <c r="N53" i="9"/>
  <c r="K53" i="9"/>
  <c r="M53" i="9"/>
  <c r="L53" i="9"/>
  <c r="O53" i="9"/>
  <c r="J20" i="9"/>
  <c r="J17" i="1"/>
  <c r="K34" i="1"/>
  <c r="M34" i="1"/>
  <c r="N34" i="1"/>
  <c r="O34" i="1"/>
  <c r="P34" i="1"/>
  <c r="L34" i="1"/>
  <c r="K54" i="9" l="1"/>
  <c r="L54" i="9"/>
  <c r="M54" i="9"/>
  <c r="N54" i="9"/>
  <c r="O54" i="9"/>
  <c r="P54" i="9"/>
  <c r="J21" i="9"/>
  <c r="M35" i="1"/>
  <c r="M36" i="1" s="1"/>
  <c r="M37" i="1" s="1"/>
  <c r="O35" i="1"/>
  <c r="O36" i="1" s="1"/>
  <c r="O37" i="1" s="1"/>
  <c r="P35" i="1"/>
  <c r="P36" i="1" s="1"/>
  <c r="P37" i="1" s="1"/>
  <c r="K35" i="1"/>
  <c r="K36" i="1" s="1"/>
  <c r="K37" i="1" s="1"/>
  <c r="L35" i="1"/>
  <c r="L36" i="1" s="1"/>
  <c r="L37" i="1" s="1"/>
  <c r="N35" i="1"/>
  <c r="N36" i="1" s="1"/>
  <c r="N37" i="1" s="1"/>
  <c r="L55" i="9" l="1"/>
  <c r="M55" i="9"/>
  <c r="N55" i="9"/>
  <c r="O55" i="9"/>
  <c r="P55" i="9"/>
  <c r="K55" i="9"/>
  <c r="J22" i="9"/>
  <c r="N56" i="9" l="1"/>
  <c r="O56" i="9"/>
  <c r="P56" i="9"/>
  <c r="K56" i="9"/>
  <c r="L56" i="9"/>
  <c r="M56" i="9"/>
  <c r="J23" i="9"/>
  <c r="P57" i="9" l="1"/>
  <c r="M57" i="9"/>
  <c r="N57" i="9"/>
  <c r="K57" i="9"/>
  <c r="L57" i="9"/>
  <c r="O57" i="9"/>
  <c r="J24" i="9"/>
  <c r="K58" i="9" l="1"/>
  <c r="L58" i="9"/>
  <c r="O58" i="9"/>
  <c r="P58" i="9"/>
  <c r="M58" i="9"/>
  <c r="N58" i="9"/>
  <c r="J25" i="9"/>
  <c r="L59" i="9" l="1"/>
  <c r="M59" i="9"/>
  <c r="N59" i="9"/>
  <c r="O59" i="9"/>
  <c r="P59" i="9"/>
  <c r="K59" i="9"/>
  <c r="J26" i="9"/>
  <c r="N60" i="9" l="1"/>
  <c r="K60" i="9"/>
  <c r="O60" i="9"/>
  <c r="P60" i="9"/>
  <c r="L60" i="9"/>
  <c r="M60" i="9"/>
  <c r="J27" i="9"/>
  <c r="P61" i="9" l="1"/>
  <c r="N61" i="9"/>
  <c r="M61" i="9"/>
  <c r="K61" i="9"/>
  <c r="L61" i="9"/>
  <c r="O61" i="9"/>
  <c r="J28" i="9"/>
  <c r="O62" i="9" l="1"/>
  <c r="K62" i="9"/>
  <c r="P62" i="9"/>
  <c r="L62" i="9"/>
  <c r="M62" i="9"/>
  <c r="N62" i="9"/>
  <c r="J29" i="9"/>
  <c r="L63" i="9" l="1"/>
  <c r="M63" i="9"/>
  <c r="N63" i="9"/>
  <c r="O63" i="9"/>
  <c r="P63" i="9"/>
  <c r="K63" i="9"/>
  <c r="J30" i="9"/>
  <c r="N64" i="9" l="1"/>
  <c r="O64" i="9"/>
  <c r="P64" i="9"/>
  <c r="K64" i="9"/>
  <c r="L64" i="9"/>
  <c r="M64" i="9"/>
  <c r="J31" i="9"/>
  <c r="P65" i="9" l="1"/>
  <c r="M65" i="9"/>
  <c r="K65" i="9"/>
  <c r="N65" i="9"/>
  <c r="L65" i="9"/>
  <c r="O65" i="9"/>
  <c r="J32" i="9"/>
  <c r="K66" i="9" l="1"/>
  <c r="O66" i="9"/>
  <c r="L66" i="9"/>
  <c r="M66" i="9"/>
  <c r="N66" i="9"/>
  <c r="P66" i="9"/>
  <c r="J33" i="9"/>
  <c r="L67" i="9" l="1"/>
  <c r="M67" i="9"/>
  <c r="M68" i="9" s="1"/>
  <c r="M69" i="9" s="1"/>
  <c r="N67" i="9"/>
  <c r="O67" i="9"/>
  <c r="O68" i="9" s="1"/>
  <c r="O69" i="9" s="1"/>
  <c r="P67" i="9"/>
  <c r="P68" i="9" s="1"/>
  <c r="P69" i="9" s="1"/>
  <c r="K67" i="9"/>
  <c r="K68" i="9"/>
  <c r="K69" i="9" s="1"/>
  <c r="L68" i="9"/>
  <c r="L69" i="9" s="1"/>
  <c r="N68" i="9"/>
  <c r="N69" i="9" s="1"/>
</calcChain>
</file>

<file path=xl/sharedStrings.xml><?xml version="1.0" encoding="utf-8"?>
<sst xmlns="http://schemas.openxmlformats.org/spreadsheetml/2006/main" count="899" uniqueCount="176">
  <si>
    <t>ALFENAS</t>
  </si>
  <si>
    <t>ALTEROSA</t>
  </si>
  <si>
    <t>AREADO</t>
  </si>
  <si>
    <t>BANDEIRA DO SUL</t>
  </si>
  <si>
    <t>BOTELHOS</t>
  </si>
  <si>
    <t>CAMPESTRE</t>
  </si>
  <si>
    <t>CAMPO DO MEIO</t>
  </si>
  <si>
    <t>CAMPOS GERAIS</t>
  </si>
  <si>
    <t>CARVALHóPOLIS</t>
  </si>
  <si>
    <t>CONCEIÇÃO DA APARECIDA</t>
  </si>
  <si>
    <t>DIVISA NOVA</t>
  </si>
  <si>
    <t>FAMA</t>
  </si>
  <si>
    <t>MACHADO</t>
  </si>
  <si>
    <t>PARAGUAÇU</t>
  </si>
  <si>
    <t>POÇO FUNDO</t>
  </si>
  <si>
    <t>SERRANIA</t>
  </si>
  <si>
    <t>CÁSSIA</t>
  </si>
  <si>
    <t>CAPETINGA</t>
  </si>
  <si>
    <t>CLARAVAL</t>
  </si>
  <si>
    <t>DELFINÓPOLIS</t>
  </si>
  <si>
    <t>IBIRACI</t>
  </si>
  <si>
    <t>GUAXUPÉ</t>
  </si>
  <si>
    <t>ARCEBURGO</t>
  </si>
  <si>
    <t>CABO VERDE</t>
  </si>
  <si>
    <t>GUARANÉSIA</t>
  </si>
  <si>
    <t>JURUAIA</t>
  </si>
  <si>
    <t>MONTE BELO</t>
  </si>
  <si>
    <t>MUZAMBINHO</t>
  </si>
  <si>
    <t>SÃO PEDRO DA UNIÃO</t>
  </si>
  <si>
    <t>ITAJUBÁ</t>
  </si>
  <si>
    <t>BRAZÓPOLIS</t>
  </si>
  <si>
    <t>CONCEIÇÃO DAS PEDRAS</t>
  </si>
  <si>
    <t>CONSOLAÇÃO</t>
  </si>
  <si>
    <t>DELFIM MOREIRA</t>
  </si>
  <si>
    <t>GONÇALVES</t>
  </si>
  <si>
    <t>MARIA DA FÉ</t>
  </si>
  <si>
    <t>MARMELÓPOLIS</t>
  </si>
  <si>
    <t>PARAISÓPOLIS</t>
  </si>
  <si>
    <t>PEDRALVA</t>
  </si>
  <si>
    <t>PIRANGUÇU</t>
  </si>
  <si>
    <t>PIRANGUINHO</t>
  </si>
  <si>
    <t>SÃO JOSÉ DO ALEGRE</t>
  </si>
  <si>
    <t>SAPUCAÍ-MIRIM</t>
  </si>
  <si>
    <t>WENCESLAU BRAZ</t>
  </si>
  <si>
    <t>LAVRAS</t>
  </si>
  <si>
    <t>CARRANCAS</t>
  </si>
  <si>
    <t>IJACI</t>
  </si>
  <si>
    <t>INGAÍ</t>
  </si>
  <si>
    <t>ITUMIRIM</t>
  </si>
  <si>
    <t>ITUTINGA</t>
  </si>
  <si>
    <t>LUMINÁRIAS</t>
  </si>
  <si>
    <t>NEPOMUCENO</t>
  </si>
  <si>
    <t>PERDÕES</t>
  </si>
  <si>
    <t>RIBEIRÃO VERMELHO</t>
  </si>
  <si>
    <t>PASSOS</t>
  </si>
  <si>
    <t>ALPINÓPOLIS</t>
  </si>
  <si>
    <t>BOM JESUS DA PENHA</t>
  </si>
  <si>
    <t>CARMO DO RIO CLARO</t>
  </si>
  <si>
    <t>FORTALEZA DE MINAS</t>
  </si>
  <si>
    <t>ITAÚ DE MINAS</t>
  </si>
  <si>
    <t>NOVA RESENDE</t>
  </si>
  <si>
    <t>SÃO JOÃO BATISTA DO GLÓRIA</t>
  </si>
  <si>
    <t>SÃO JOSÉ DA BARRA</t>
  </si>
  <si>
    <t>PIUMHI</t>
  </si>
  <si>
    <t>CAPITÓLIO</t>
  </si>
  <si>
    <t>DORESÓPOLIS</t>
  </si>
  <si>
    <t>GUAPÉ</t>
  </si>
  <si>
    <t>PIMENTA</t>
  </si>
  <si>
    <t>SÃO ROQUE DE MINAS</t>
  </si>
  <si>
    <t>VARGEM BONITA</t>
  </si>
  <si>
    <t>POÇOS DE CALDAS</t>
  </si>
  <si>
    <t>ALBERTINA</t>
  </si>
  <si>
    <t>ANDRADAS</t>
  </si>
  <si>
    <t>CALDAS</t>
  </si>
  <si>
    <t>IBITIÚRA DE MINAS</t>
  </si>
  <si>
    <t>SANTA RITA DE CALDAS</t>
  </si>
  <si>
    <t>POUSO ALEGRE</t>
  </si>
  <si>
    <t>BOM REPOUSO</t>
  </si>
  <si>
    <t>BORDA DA MATA</t>
  </si>
  <si>
    <t>BUENO BRANDÃO</t>
  </si>
  <si>
    <t>CACHOEIRA DE MINAS</t>
  </si>
  <si>
    <t>CAMANDUCAIA</t>
  </si>
  <si>
    <t>CAMBUÍ</t>
  </si>
  <si>
    <t>CAREAÇU</t>
  </si>
  <si>
    <t>CONCEIÇÃO DOS OUROS</t>
  </si>
  <si>
    <t>CONGONHAL</t>
  </si>
  <si>
    <t>CÓRREGO DO BOM JESUS</t>
  </si>
  <si>
    <t>ESPÍRITO SANTO DO DOURADO</t>
  </si>
  <si>
    <t>ESTIVA</t>
  </si>
  <si>
    <t>EXTREMA</t>
  </si>
  <si>
    <t>HELIODORA</t>
  </si>
  <si>
    <t>INCONFIDENTES</t>
  </si>
  <si>
    <t>IPUIÚNA</t>
  </si>
  <si>
    <t>ITAPEVA</t>
  </si>
  <si>
    <t>JACUTINGA</t>
  </si>
  <si>
    <t>MONTE SIÃO</t>
  </si>
  <si>
    <t>MUNHOZ</t>
  </si>
  <si>
    <t>NATÉRCIA</t>
  </si>
  <si>
    <t>OURO FINO</t>
  </si>
  <si>
    <t>SANTA RITA DO SAPUCAÍ</t>
  </si>
  <si>
    <t>SÃO JOÃO DA MATA</t>
  </si>
  <si>
    <t>SÃO SEBASTIÃO DA BELA VISTA</t>
  </si>
  <si>
    <t>SENADOR AMARAL</t>
  </si>
  <si>
    <t>SENADOR JOSÉ BENTO</t>
  </si>
  <si>
    <t>SILVIANÓPOLIS</t>
  </si>
  <si>
    <t>TOCOS DO MOJI</t>
  </si>
  <si>
    <t>TOLEDO</t>
  </si>
  <si>
    <t>TURVOLÂNDIA</t>
  </si>
  <si>
    <t>SÃO LOURENÇO</t>
  </si>
  <si>
    <t>AIURUOCA</t>
  </si>
  <si>
    <t>ALAGOA</t>
  </si>
  <si>
    <t>BAEPENDI</t>
  </si>
  <si>
    <t>CARMO DE MINAS</t>
  </si>
  <si>
    <t>CARVALHOS</t>
  </si>
  <si>
    <t>CAXAMBU</t>
  </si>
  <si>
    <t>CONCEIÇÃO DO RIO VERDE</t>
  </si>
  <si>
    <t>CRISTINA</t>
  </si>
  <si>
    <t>CRUZÍLIA</t>
  </si>
  <si>
    <t>DOM VIÇOSO</t>
  </si>
  <si>
    <t>ITAMONTE</t>
  </si>
  <si>
    <t>ITANHANDU</t>
  </si>
  <si>
    <t>JESUÂNIA</t>
  </si>
  <si>
    <t>LAMBARI</t>
  </si>
  <si>
    <t>MINDURI</t>
  </si>
  <si>
    <t>OLÍMPIO NORONHA</t>
  </si>
  <si>
    <t>PASSA QUATRO</t>
  </si>
  <si>
    <t>POUSO ALTO</t>
  </si>
  <si>
    <t>SÃO SEBASTIÃO DO RIO VERDE</t>
  </si>
  <si>
    <t>SERITINGA</t>
  </si>
  <si>
    <t>SERRANOS</t>
  </si>
  <si>
    <t>SOLEDADE DE MINAS</t>
  </si>
  <si>
    <t>VIRGíNIA</t>
  </si>
  <si>
    <t>SÃO SEBASTIÃO DO PARAÍSO</t>
  </si>
  <si>
    <t>ITAMOGI</t>
  </si>
  <si>
    <t>JACUÍ</t>
  </si>
  <si>
    <t>MONTE SANTO DE MINAS</t>
  </si>
  <si>
    <t>PRATÁPOLIS</t>
  </si>
  <si>
    <t>SÃO TOMÁS DE AQUINO</t>
  </si>
  <si>
    <t>TRÊS CORAÇÕES</t>
  </si>
  <si>
    <t>CAMBUQUIRA</t>
  </si>
  <si>
    <t>CAMPANHA</t>
  </si>
  <si>
    <t>CARMO DA CACHOEIRA</t>
  </si>
  <si>
    <t>SÃO BENTO ABADE</t>
  </si>
  <si>
    <t>SÃO TOMÉ DAS LETRAS</t>
  </si>
  <si>
    <t>TRÊS PONTAS</t>
  </si>
  <si>
    <t>BOA ESPERANÇA</t>
  </si>
  <si>
    <t>COQUEIRAL</t>
  </si>
  <si>
    <t>ILICÍNEA</t>
  </si>
  <si>
    <t>SANTANA DA VARGEM</t>
  </si>
  <si>
    <t>VARGINHA</t>
  </si>
  <si>
    <t>CORDISLÂNDIA</t>
  </si>
  <si>
    <t>ELÓI MENDES</t>
  </si>
  <si>
    <t>MONSENHOR PAULO</t>
  </si>
  <si>
    <t>SÃO GONÇALO DO SAPUCAÍ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</si>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</sst>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'ALFENAS-MACHADO'!$J$1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'ALFENAS-MACHADO'!$J$2:$J$17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35-433A-8685-3389AE695151}"/>
            </c:ext>
          </c:extLst>
        </c:ser>
        <c:ser>
          <c:idx val="1"/>
          <c:order val="1"/>
          <c:tx>
            <c:strRef>
              <c:f>'ALFENAS-MACHADO'!$K$1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'ALFENAS-MACHADO'!$K$2:$K$17</c:f>
              <c:numCache>
                <c:formatCode>0.00</c:formatCode>
                <c:ptCount val="16"/>
                <c:pt idx="0">
                  <c:v>0</c:v>
                </c:pt>
                <c:pt idx="1">
                  <c:v>4.1493775933609959E-3</c:v>
                </c:pt>
                <c:pt idx="2">
                  <c:v>1.2448132780082988E-2</c:v>
                </c:pt>
                <c:pt idx="3">
                  <c:v>3.3195020746887967E-2</c:v>
                </c:pt>
                <c:pt idx="4">
                  <c:v>4.1493775933609957E-2</c:v>
                </c:pt>
                <c:pt idx="5">
                  <c:v>7.0539419087136929E-2</c:v>
                </c:pt>
                <c:pt idx="6">
                  <c:v>0.12033195020746887</c:v>
                </c:pt>
                <c:pt idx="7">
                  <c:v>0.18672199170124482</c:v>
                </c:pt>
                <c:pt idx="8">
                  <c:v>0.23651452282157676</c:v>
                </c:pt>
                <c:pt idx="9">
                  <c:v>0.24896265560165975</c:v>
                </c:pt>
                <c:pt idx="10">
                  <c:v>0.34024896265560167</c:v>
                </c:pt>
                <c:pt idx="11">
                  <c:v>0.38589211618257263</c:v>
                </c:pt>
                <c:pt idx="12">
                  <c:v>0.41078838174273863</c:v>
                </c:pt>
                <c:pt idx="13">
                  <c:v>0.48132780082987559</c:v>
                </c:pt>
                <c:pt idx="14">
                  <c:v>0.5726141078838175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35-433A-8685-3389AE695151}"/>
            </c:ext>
          </c:extLst>
        </c:ser>
        <c:ser>
          <c:idx val="2"/>
          <c:order val="2"/>
          <c:tx>
            <c:strRef>
              <c:f>'ALFENAS-MACHADO'!$L$1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'ALFENAS-MACHADO'!$L$2:$L$17</c:f>
              <c:numCache>
                <c:formatCode>0.00</c:formatCode>
                <c:ptCount val="16"/>
                <c:pt idx="0">
                  <c:v>0</c:v>
                </c:pt>
                <c:pt idx="1">
                  <c:v>9.8039215686274508E-3</c:v>
                </c:pt>
                <c:pt idx="2">
                  <c:v>4.9019607843137254E-2</c:v>
                </c:pt>
                <c:pt idx="3">
                  <c:v>5.8823529411764705E-2</c:v>
                </c:pt>
                <c:pt idx="4">
                  <c:v>5.8823529411764705E-2</c:v>
                </c:pt>
                <c:pt idx="5">
                  <c:v>5.8823529411764705E-2</c:v>
                </c:pt>
                <c:pt idx="6">
                  <c:v>8.8235294117647051E-2</c:v>
                </c:pt>
                <c:pt idx="7">
                  <c:v>0.11764705882352941</c:v>
                </c:pt>
                <c:pt idx="8">
                  <c:v>0.13725490196078433</c:v>
                </c:pt>
                <c:pt idx="9">
                  <c:v>0.18627450980392157</c:v>
                </c:pt>
                <c:pt idx="10">
                  <c:v>0.46078431372549022</c:v>
                </c:pt>
                <c:pt idx="11">
                  <c:v>0.49019607843137258</c:v>
                </c:pt>
                <c:pt idx="12">
                  <c:v>0.49019607843137258</c:v>
                </c:pt>
                <c:pt idx="13">
                  <c:v>0.53921568627450989</c:v>
                </c:pt>
                <c:pt idx="14">
                  <c:v>0.61764705882352944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35-433A-8685-3389AE695151}"/>
            </c:ext>
          </c:extLst>
        </c:ser>
        <c:ser>
          <c:idx val="3"/>
          <c:order val="3"/>
          <c:tx>
            <c:strRef>
              <c:f>'ALFENAS-MACHADO'!$M$1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'ALFENAS-MACHADO'!$M$2:$M$17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1.0869565217391304E-2</c:v>
                </c:pt>
                <c:pt idx="3">
                  <c:v>1.0869565217391304E-2</c:v>
                </c:pt>
                <c:pt idx="4">
                  <c:v>1.0869565217391304E-2</c:v>
                </c:pt>
                <c:pt idx="5">
                  <c:v>5.434782608695652E-2</c:v>
                </c:pt>
                <c:pt idx="6">
                  <c:v>0.10869565217391304</c:v>
                </c:pt>
                <c:pt idx="7">
                  <c:v>0.13043478260869565</c:v>
                </c:pt>
                <c:pt idx="8">
                  <c:v>0.15217391304347827</c:v>
                </c:pt>
                <c:pt idx="9">
                  <c:v>0.17391304347826086</c:v>
                </c:pt>
                <c:pt idx="10">
                  <c:v>0.40217391304347827</c:v>
                </c:pt>
                <c:pt idx="11">
                  <c:v>0.44565217391304346</c:v>
                </c:pt>
                <c:pt idx="12">
                  <c:v>0.45652173913043476</c:v>
                </c:pt>
                <c:pt idx="13">
                  <c:v>0.5</c:v>
                </c:pt>
                <c:pt idx="14">
                  <c:v>0.54347826086956519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35-433A-8685-3389AE69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51168"/>
        <c:axId val="562843488"/>
      </c:scatterChart>
      <c:valAx>
        <c:axId val="562851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43488"/>
        <c:crosses val="autoZero"/>
        <c:crossBetween val="midCat"/>
      </c:valAx>
      <c:valAx>
        <c:axId val="5628434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5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'ALFENAS-MACHADO'!$J$1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'ALFENAS-MACHADO'!$J$2:$J$17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0E-42E5-84B1-0C180E3920F6}"/>
            </c:ext>
          </c:extLst>
        </c:ser>
        <c:ser>
          <c:idx val="1"/>
          <c:order val="1"/>
          <c:tx>
            <c:strRef>
              <c:f>'ALFENAS-MACHADO'!$N$1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'ALFENAS-MACHADO'!$N$2:$N$17</c:f>
              <c:numCache>
                <c:formatCode>0.00</c:formatCode>
                <c:ptCount val="16"/>
                <c:pt idx="0">
                  <c:v>5.0505050505050509E-3</c:v>
                </c:pt>
                <c:pt idx="1">
                  <c:v>2.0202020202020204E-2</c:v>
                </c:pt>
                <c:pt idx="2">
                  <c:v>2.2727272727272728E-2</c:v>
                </c:pt>
                <c:pt idx="3">
                  <c:v>4.5454545454545456E-2</c:v>
                </c:pt>
                <c:pt idx="4">
                  <c:v>6.0606060606060608E-2</c:v>
                </c:pt>
                <c:pt idx="5">
                  <c:v>9.5959595959595967E-2</c:v>
                </c:pt>
                <c:pt idx="6">
                  <c:v>0.13131313131313133</c:v>
                </c:pt>
                <c:pt idx="7">
                  <c:v>0.2373737373737374</c:v>
                </c:pt>
                <c:pt idx="8">
                  <c:v>0.28030303030303033</c:v>
                </c:pt>
                <c:pt idx="9">
                  <c:v>0.28535353535353536</c:v>
                </c:pt>
                <c:pt idx="10">
                  <c:v>0.38636363636363635</c:v>
                </c:pt>
                <c:pt idx="11">
                  <c:v>0.41919191919191917</c:v>
                </c:pt>
                <c:pt idx="12">
                  <c:v>0.45202020202020199</c:v>
                </c:pt>
                <c:pt idx="13">
                  <c:v>0.51515151515151514</c:v>
                </c:pt>
                <c:pt idx="14">
                  <c:v>0.64393939393939392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0E-42E5-84B1-0C180E3920F6}"/>
            </c:ext>
          </c:extLst>
        </c:ser>
        <c:ser>
          <c:idx val="2"/>
          <c:order val="2"/>
          <c:tx>
            <c:strRef>
              <c:f>'ALFENAS-MACHADO'!$O$1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'ALFENAS-MACHADO'!$O$2:$O$17</c:f>
              <c:numCache>
                <c:formatCode>0.00</c:formatCode>
                <c:ptCount val="16"/>
                <c:pt idx="0">
                  <c:v>1.0958904109589041E-2</c:v>
                </c:pt>
                <c:pt idx="1">
                  <c:v>1.3698630136986301E-2</c:v>
                </c:pt>
                <c:pt idx="2">
                  <c:v>3.0136986301369861E-2</c:v>
                </c:pt>
                <c:pt idx="3">
                  <c:v>4.1095890410958902E-2</c:v>
                </c:pt>
                <c:pt idx="4">
                  <c:v>8.4931506849315067E-2</c:v>
                </c:pt>
                <c:pt idx="5">
                  <c:v>0.10410958904109589</c:v>
                </c:pt>
                <c:pt idx="6">
                  <c:v>0.17260273972602741</c:v>
                </c:pt>
                <c:pt idx="7">
                  <c:v>0.26575342465753427</c:v>
                </c:pt>
                <c:pt idx="8">
                  <c:v>0.31506849315068497</c:v>
                </c:pt>
                <c:pt idx="9">
                  <c:v>0.38904109589041103</c:v>
                </c:pt>
                <c:pt idx="10">
                  <c:v>0.49589041095890418</c:v>
                </c:pt>
                <c:pt idx="11">
                  <c:v>0.52054794520547953</c:v>
                </c:pt>
                <c:pt idx="12">
                  <c:v>0.53150684931506853</c:v>
                </c:pt>
                <c:pt idx="13">
                  <c:v>0.58082191780821923</c:v>
                </c:pt>
                <c:pt idx="14">
                  <c:v>0.72602739726027399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0E-42E5-84B1-0C180E3920F6}"/>
            </c:ext>
          </c:extLst>
        </c:ser>
        <c:ser>
          <c:idx val="3"/>
          <c:order val="3"/>
          <c:tx>
            <c:strRef>
              <c:f>'ALFENAS-MACHADO'!$P$1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'ALFENAS-MACHADO'!$P$2:$P$17</c:f>
              <c:numCache>
                <c:formatCode>0.00</c:formatCode>
                <c:ptCount val="16"/>
                <c:pt idx="0">
                  <c:v>1.4150943396226415E-2</c:v>
                </c:pt>
                <c:pt idx="1">
                  <c:v>1.8867924528301886E-2</c:v>
                </c:pt>
                <c:pt idx="2">
                  <c:v>5.1886792452830191E-2</c:v>
                </c:pt>
                <c:pt idx="3">
                  <c:v>5.6603773584905662E-2</c:v>
                </c:pt>
                <c:pt idx="4">
                  <c:v>0.12264150943396226</c:v>
                </c:pt>
                <c:pt idx="5">
                  <c:v>0.14150943396226415</c:v>
                </c:pt>
                <c:pt idx="6">
                  <c:v>0.21698113207547171</c:v>
                </c:pt>
                <c:pt idx="7">
                  <c:v>0.29245283018867924</c:v>
                </c:pt>
                <c:pt idx="8">
                  <c:v>0.35377358490566035</c:v>
                </c:pt>
                <c:pt idx="9">
                  <c:v>0.38679245283018865</c:v>
                </c:pt>
                <c:pt idx="10">
                  <c:v>0.47641509433962259</c:v>
                </c:pt>
                <c:pt idx="11">
                  <c:v>0.50471698113207542</c:v>
                </c:pt>
                <c:pt idx="12">
                  <c:v>0.54716981132075471</c:v>
                </c:pt>
                <c:pt idx="13">
                  <c:v>0.58018867924528306</c:v>
                </c:pt>
                <c:pt idx="14">
                  <c:v>0.69811320754716988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0E-42E5-84B1-0C180E392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48768"/>
        <c:axId val="562843008"/>
      </c:scatterChart>
      <c:valAx>
        <c:axId val="562848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43008"/>
        <c:crosses val="autoZero"/>
        <c:crossBetween val="midCat"/>
      </c:valAx>
      <c:valAx>
        <c:axId val="562843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4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CÁSSIA!$J$1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CÁSSIA!$J$2:$J$6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0-4570-ABB7-6DD6437B4E43}"/>
            </c:ext>
          </c:extLst>
        </c:ser>
        <c:ser>
          <c:idx val="1"/>
          <c:order val="1"/>
          <c:tx>
            <c:strRef>
              <c:f>CÁSSIA!$K$1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CÁSSIA!$K$2:$K$6</c:f>
              <c:numCache>
                <c:formatCode>0.00</c:formatCode>
                <c:ptCount val="5"/>
                <c:pt idx="0">
                  <c:v>0.41935483870967744</c:v>
                </c:pt>
                <c:pt idx="1">
                  <c:v>0.467741935483871</c:v>
                </c:pt>
                <c:pt idx="2">
                  <c:v>0.62903225806451613</c:v>
                </c:pt>
                <c:pt idx="3">
                  <c:v>0.67741935483870963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B0-4570-ABB7-6DD6437B4E43}"/>
            </c:ext>
          </c:extLst>
        </c:ser>
        <c:ser>
          <c:idx val="2"/>
          <c:order val="2"/>
          <c:tx>
            <c:strRef>
              <c:f>CÁSSIA!$L$1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CÁSSIA!$L$2:$L$6</c:f>
              <c:numCache>
                <c:formatCode>0.00</c:formatCode>
                <c:ptCount val="5"/>
                <c:pt idx="0">
                  <c:v>0.18518518518518517</c:v>
                </c:pt>
                <c:pt idx="1">
                  <c:v>0.22222222222222221</c:v>
                </c:pt>
                <c:pt idx="2">
                  <c:v>0.51851851851851849</c:v>
                </c:pt>
                <c:pt idx="3">
                  <c:v>0.59259259259259256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B0-4570-ABB7-6DD6437B4E43}"/>
            </c:ext>
          </c:extLst>
        </c:ser>
        <c:ser>
          <c:idx val="3"/>
          <c:order val="3"/>
          <c:tx>
            <c:strRef>
              <c:f>CÁSSIA!$M$1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CÁSSIA!$M$2:$M$6</c:f>
              <c:numCache>
                <c:formatCode>0.00</c:formatCode>
                <c:ptCount val="5"/>
                <c:pt idx="0">
                  <c:v>8.1081081081081086E-2</c:v>
                </c:pt>
                <c:pt idx="1">
                  <c:v>0.16216216216216217</c:v>
                </c:pt>
                <c:pt idx="2">
                  <c:v>0.3783783783783784</c:v>
                </c:pt>
                <c:pt idx="3">
                  <c:v>0.70270270270270274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B0-4570-ABB7-6DD6437B4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960128"/>
        <c:axId val="562958208"/>
      </c:scatterChart>
      <c:valAx>
        <c:axId val="5629601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58208"/>
        <c:crosses val="autoZero"/>
        <c:crossBetween val="midCat"/>
      </c:valAx>
      <c:valAx>
        <c:axId val="5629582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6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CÁSSIA!$J$1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CÁSSIA!$J$2:$J$6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FA-4BD5-9A35-016C3C8C9EAC}"/>
            </c:ext>
          </c:extLst>
        </c:ser>
        <c:ser>
          <c:idx val="1"/>
          <c:order val="1"/>
          <c:tx>
            <c:strRef>
              <c:f>CÁSSIA!$N$1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CÁSSIA!$N$2:$N$6</c:f>
              <c:numCache>
                <c:formatCode>0.00</c:formatCode>
                <c:ptCount val="5"/>
                <c:pt idx="0">
                  <c:v>8.4210526315789472E-2</c:v>
                </c:pt>
                <c:pt idx="1">
                  <c:v>0.16315789473684211</c:v>
                </c:pt>
                <c:pt idx="2">
                  <c:v>0.36842105263157898</c:v>
                </c:pt>
                <c:pt idx="3">
                  <c:v>0.63684210526315788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FA-4BD5-9A35-016C3C8C9EAC}"/>
            </c:ext>
          </c:extLst>
        </c:ser>
        <c:ser>
          <c:idx val="2"/>
          <c:order val="2"/>
          <c:tx>
            <c:strRef>
              <c:f>CÁSSIA!$O$1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CÁSSIA!$O$2:$O$6</c:f>
              <c:numCache>
                <c:formatCode>0.00</c:formatCode>
                <c:ptCount val="5"/>
                <c:pt idx="0">
                  <c:v>0.14705882352941177</c:v>
                </c:pt>
                <c:pt idx="1">
                  <c:v>0.22352941176470589</c:v>
                </c:pt>
                <c:pt idx="2">
                  <c:v>0.34705882352941175</c:v>
                </c:pt>
                <c:pt idx="3">
                  <c:v>0.60588235294117654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FA-4BD5-9A35-016C3C8C9EAC}"/>
            </c:ext>
          </c:extLst>
        </c:ser>
        <c:ser>
          <c:idx val="3"/>
          <c:order val="3"/>
          <c:tx>
            <c:strRef>
              <c:f>CÁSSIA!$P$1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CÁSSIA!$P$2:$P$6</c:f>
              <c:numCache>
                <c:formatCode>0.00</c:formatCode>
                <c:ptCount val="5"/>
                <c:pt idx="0">
                  <c:v>0.16071428571428573</c:v>
                </c:pt>
                <c:pt idx="1">
                  <c:v>0.26785714285714285</c:v>
                </c:pt>
                <c:pt idx="2">
                  <c:v>0.4285714285714286</c:v>
                </c:pt>
                <c:pt idx="3">
                  <c:v>0.6517857142857143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FA-4BD5-9A35-016C3C8C9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781248"/>
        <c:axId val="2021782688"/>
      </c:scatterChart>
      <c:valAx>
        <c:axId val="2021781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82688"/>
        <c:crosses val="autoZero"/>
        <c:crossBetween val="midCat"/>
      </c:valAx>
      <c:valAx>
        <c:axId val="2021782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8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GUAXUPÉ!$J$1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GUAXUPÉ!$J$2:$J$9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2-442A-ADF3-724B3F2DC7AE}"/>
            </c:ext>
          </c:extLst>
        </c:ser>
        <c:ser>
          <c:idx val="1"/>
          <c:order val="1"/>
          <c:tx>
            <c:strRef>
              <c:f>GUAXUPÉ!$K$1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GUAXUPÉ!$K$2:$K$9</c:f>
              <c:numCache>
                <c:formatCode>0.00</c:formatCode>
                <c:ptCount val="8"/>
                <c:pt idx="0">
                  <c:v>0.14814814814814814</c:v>
                </c:pt>
                <c:pt idx="1">
                  <c:v>0.22222222222222221</c:v>
                </c:pt>
                <c:pt idx="2">
                  <c:v>0.27777777777777779</c:v>
                </c:pt>
                <c:pt idx="3">
                  <c:v>0.40740740740740744</c:v>
                </c:pt>
                <c:pt idx="4">
                  <c:v>0.5</c:v>
                </c:pt>
                <c:pt idx="5">
                  <c:v>0.59259259259259256</c:v>
                </c:pt>
                <c:pt idx="6">
                  <c:v>0.75925925925925919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12-442A-ADF3-724B3F2DC7AE}"/>
            </c:ext>
          </c:extLst>
        </c:ser>
        <c:ser>
          <c:idx val="2"/>
          <c:order val="2"/>
          <c:tx>
            <c:strRef>
              <c:f>GUAXUPÉ!$L$1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GUAXUPÉ!$L$2:$L$9</c:f>
              <c:numCache>
                <c:formatCode>0.00</c:formatCode>
                <c:ptCount val="8"/>
                <c:pt idx="0">
                  <c:v>2.7777777777777776E-2</c:v>
                </c:pt>
                <c:pt idx="1">
                  <c:v>0.1111111111111111</c:v>
                </c:pt>
                <c:pt idx="2">
                  <c:v>0.1111111111111111</c:v>
                </c:pt>
                <c:pt idx="3">
                  <c:v>0.22222222222222221</c:v>
                </c:pt>
                <c:pt idx="4">
                  <c:v>0.27777777777777779</c:v>
                </c:pt>
                <c:pt idx="5">
                  <c:v>0.3611111111111111</c:v>
                </c:pt>
                <c:pt idx="6">
                  <c:v>0.72222222222222221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12-442A-ADF3-724B3F2DC7AE}"/>
            </c:ext>
          </c:extLst>
        </c:ser>
        <c:ser>
          <c:idx val="3"/>
          <c:order val="3"/>
          <c:tx>
            <c:strRef>
              <c:f>GUAXUPÉ!$M$1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GUAXUPÉ!$M$2:$M$9</c:f>
              <c:numCache>
                <c:formatCode>0.00</c:formatCode>
                <c:ptCount val="8"/>
                <c:pt idx="0">
                  <c:v>3.2258064516129031E-2</c:v>
                </c:pt>
                <c:pt idx="1">
                  <c:v>9.6774193548387094E-2</c:v>
                </c:pt>
                <c:pt idx="2">
                  <c:v>0.19354838709677419</c:v>
                </c:pt>
                <c:pt idx="3">
                  <c:v>0.19354838709677419</c:v>
                </c:pt>
                <c:pt idx="4">
                  <c:v>0.29032258064516125</c:v>
                </c:pt>
                <c:pt idx="5">
                  <c:v>0.41935483870967738</c:v>
                </c:pt>
                <c:pt idx="6">
                  <c:v>0.67741935483870963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12-442A-ADF3-724B3F2D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105104"/>
        <c:axId val="309861776"/>
      </c:scatterChart>
      <c:valAx>
        <c:axId val="635105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61776"/>
        <c:crosses val="autoZero"/>
        <c:crossBetween val="midCat"/>
      </c:valAx>
      <c:valAx>
        <c:axId val="309861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510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GUAXUPÉ!$J$1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GUAXUPÉ!$J$2:$J$9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6D-4C0B-AB98-D014799B4679}"/>
            </c:ext>
          </c:extLst>
        </c:ser>
        <c:ser>
          <c:idx val="1"/>
          <c:order val="1"/>
          <c:tx>
            <c:strRef>
              <c:f>GUAXUPÉ!$N$1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GUAXUPÉ!$N$2:$N$9</c:f>
              <c:numCache>
                <c:formatCode>0.00</c:formatCode>
                <c:ptCount val="8"/>
                <c:pt idx="0">
                  <c:v>1.7391304347826087E-2</c:v>
                </c:pt>
                <c:pt idx="1">
                  <c:v>6.08695652173913E-2</c:v>
                </c:pt>
                <c:pt idx="2">
                  <c:v>7.8260869565217384E-2</c:v>
                </c:pt>
                <c:pt idx="3">
                  <c:v>0.21739130434782608</c:v>
                </c:pt>
                <c:pt idx="4">
                  <c:v>0.4</c:v>
                </c:pt>
                <c:pt idx="5">
                  <c:v>0.52173913043478259</c:v>
                </c:pt>
                <c:pt idx="6">
                  <c:v>0.66086956521739126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6D-4C0B-AB98-D014799B4679}"/>
            </c:ext>
          </c:extLst>
        </c:ser>
        <c:ser>
          <c:idx val="2"/>
          <c:order val="2"/>
          <c:tx>
            <c:strRef>
              <c:f>GUAXUPÉ!$O$1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GUAXUPÉ!$O$2:$O$9</c:f>
              <c:numCache>
                <c:formatCode>0.00</c:formatCode>
                <c:ptCount val="8"/>
                <c:pt idx="0">
                  <c:v>7.575757575757576E-3</c:v>
                </c:pt>
                <c:pt idx="1">
                  <c:v>0.15151515151515152</c:v>
                </c:pt>
                <c:pt idx="2">
                  <c:v>0.19696969696969696</c:v>
                </c:pt>
                <c:pt idx="3">
                  <c:v>0.32575757575757575</c:v>
                </c:pt>
                <c:pt idx="4">
                  <c:v>0.4242424242424242</c:v>
                </c:pt>
                <c:pt idx="5">
                  <c:v>0.52272727272727271</c:v>
                </c:pt>
                <c:pt idx="6">
                  <c:v>0.75757575757575757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6D-4C0B-AB98-D014799B4679}"/>
            </c:ext>
          </c:extLst>
        </c:ser>
        <c:ser>
          <c:idx val="3"/>
          <c:order val="3"/>
          <c:tx>
            <c:strRef>
              <c:f>GUAXUPÉ!$P$1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GUAXUPÉ!$P$2:$P$9</c:f>
              <c:numCache>
                <c:formatCode>0.00</c:formatCode>
                <c:ptCount val="8"/>
                <c:pt idx="0">
                  <c:v>1.2195121951219513E-2</c:v>
                </c:pt>
                <c:pt idx="1">
                  <c:v>0.21951219512195122</c:v>
                </c:pt>
                <c:pt idx="2">
                  <c:v>0.24390243902439024</c:v>
                </c:pt>
                <c:pt idx="3">
                  <c:v>0.31707317073170732</c:v>
                </c:pt>
                <c:pt idx="4">
                  <c:v>0.41463414634146345</c:v>
                </c:pt>
                <c:pt idx="5">
                  <c:v>0.46341463414634149</c:v>
                </c:pt>
                <c:pt idx="6">
                  <c:v>0.74390243902439024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6D-4C0B-AB98-D014799B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9424"/>
        <c:axId val="2055199344"/>
      </c:scatterChart>
      <c:valAx>
        <c:axId val="2055209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199344"/>
        <c:crosses val="autoZero"/>
        <c:crossBetween val="midCat"/>
      </c:valAx>
      <c:valAx>
        <c:axId val="2055199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ITAJUBÁ!$J$1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ITAJUBÁ!$J$2:$J$16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2-4D4E-860D-E6A6FB0EF06A}"/>
            </c:ext>
          </c:extLst>
        </c:ser>
        <c:ser>
          <c:idx val="1"/>
          <c:order val="1"/>
          <c:tx>
            <c:strRef>
              <c:f>ITAJUBÁ!$K$1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ITAJUBÁ!$K$2:$K$16</c:f>
              <c:numCache>
                <c:formatCode>0.00</c:formatCode>
                <c:ptCount val="15"/>
                <c:pt idx="0">
                  <c:v>1.7241379310344827E-2</c:v>
                </c:pt>
                <c:pt idx="1">
                  <c:v>4.3103448275862072E-2</c:v>
                </c:pt>
                <c:pt idx="2">
                  <c:v>7.7586206896551727E-2</c:v>
                </c:pt>
                <c:pt idx="3">
                  <c:v>9.4827586206896547E-2</c:v>
                </c:pt>
                <c:pt idx="4">
                  <c:v>0.14655172413793102</c:v>
                </c:pt>
                <c:pt idx="5">
                  <c:v>0.16379310344827586</c:v>
                </c:pt>
                <c:pt idx="6">
                  <c:v>0.18965517241379309</c:v>
                </c:pt>
                <c:pt idx="7">
                  <c:v>0.1982758620689655</c:v>
                </c:pt>
                <c:pt idx="8">
                  <c:v>0.22413793103448273</c:v>
                </c:pt>
                <c:pt idx="9">
                  <c:v>0.25862068965517238</c:v>
                </c:pt>
                <c:pt idx="10">
                  <c:v>0.31896551724137928</c:v>
                </c:pt>
                <c:pt idx="11">
                  <c:v>0.37931034482758619</c:v>
                </c:pt>
                <c:pt idx="12">
                  <c:v>0.43103448275862066</c:v>
                </c:pt>
                <c:pt idx="13">
                  <c:v>0.43965517241379309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A2-4D4E-860D-E6A6FB0EF06A}"/>
            </c:ext>
          </c:extLst>
        </c:ser>
        <c:ser>
          <c:idx val="2"/>
          <c:order val="2"/>
          <c:tx>
            <c:strRef>
              <c:f>ITAJUBÁ!$L$1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ITAJUBÁ!$L$2:$L$16</c:f>
              <c:numCache>
                <c:formatCode>0.00</c:formatCode>
                <c:ptCount val="15"/>
                <c:pt idx="0">
                  <c:v>3.7735849056603772E-2</c:v>
                </c:pt>
                <c:pt idx="1">
                  <c:v>5.6603773584905662E-2</c:v>
                </c:pt>
                <c:pt idx="2">
                  <c:v>5.6603773584905662E-2</c:v>
                </c:pt>
                <c:pt idx="3">
                  <c:v>9.4339622641509441E-2</c:v>
                </c:pt>
                <c:pt idx="4">
                  <c:v>0.11320754716981132</c:v>
                </c:pt>
                <c:pt idx="5">
                  <c:v>0.13207547169811321</c:v>
                </c:pt>
                <c:pt idx="6">
                  <c:v>0.16981132075471697</c:v>
                </c:pt>
                <c:pt idx="7">
                  <c:v>0.18867924528301885</c:v>
                </c:pt>
                <c:pt idx="8">
                  <c:v>0.18867924528301885</c:v>
                </c:pt>
                <c:pt idx="9">
                  <c:v>0.20754716981132074</c:v>
                </c:pt>
                <c:pt idx="10">
                  <c:v>0.33962264150943394</c:v>
                </c:pt>
                <c:pt idx="11">
                  <c:v>0.39622641509433959</c:v>
                </c:pt>
                <c:pt idx="12">
                  <c:v>0.41509433962264147</c:v>
                </c:pt>
                <c:pt idx="13">
                  <c:v>0.52830188679245282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A2-4D4E-860D-E6A6FB0EF06A}"/>
            </c:ext>
          </c:extLst>
        </c:ser>
        <c:ser>
          <c:idx val="3"/>
          <c:order val="3"/>
          <c:tx>
            <c:strRef>
              <c:f>ITAJUBÁ!$M$1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ITAJUBÁ!$M$2:$M$16</c:f>
              <c:numCache>
                <c:formatCode>0.00</c:formatCode>
                <c:ptCount val="15"/>
                <c:pt idx="0">
                  <c:v>4.7619047619047616E-2</c:v>
                </c:pt>
                <c:pt idx="1">
                  <c:v>9.5238095238095233E-2</c:v>
                </c:pt>
                <c:pt idx="2">
                  <c:v>9.5238095238095233E-2</c:v>
                </c:pt>
                <c:pt idx="3">
                  <c:v>9.5238095238095233E-2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0.23809523809523808</c:v>
                </c:pt>
                <c:pt idx="7">
                  <c:v>0.23809523809523808</c:v>
                </c:pt>
                <c:pt idx="8">
                  <c:v>0.23809523809523808</c:v>
                </c:pt>
                <c:pt idx="9">
                  <c:v>0.33333333333333331</c:v>
                </c:pt>
                <c:pt idx="10">
                  <c:v>0.38095238095238093</c:v>
                </c:pt>
                <c:pt idx="11">
                  <c:v>0.52380952380952372</c:v>
                </c:pt>
                <c:pt idx="12">
                  <c:v>0.5714285714285714</c:v>
                </c:pt>
                <c:pt idx="13">
                  <c:v>0.66666666666666663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A2-4D4E-860D-E6A6FB0EF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45584"/>
        <c:axId val="639335504"/>
      </c:scatterChart>
      <c:valAx>
        <c:axId val="6393455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5504"/>
        <c:crosses val="autoZero"/>
        <c:crossBetween val="midCat"/>
      </c:valAx>
      <c:valAx>
        <c:axId val="639335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4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ITAJUBÁ!$J$1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ITAJUBÁ!$J$2:$J$16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CE-4ACD-B115-596FEE94D027}"/>
            </c:ext>
          </c:extLst>
        </c:ser>
        <c:ser>
          <c:idx val="1"/>
          <c:order val="1"/>
          <c:tx>
            <c:strRef>
              <c:f>ITAJUBÁ!$N$1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ITAJUBÁ!$N$2:$N$16</c:f>
              <c:numCache>
                <c:formatCode>0.00</c:formatCode>
                <c:ptCount val="15"/>
                <c:pt idx="0">
                  <c:v>1.1363636363636364E-2</c:v>
                </c:pt>
                <c:pt idx="1">
                  <c:v>1.1363636363636364E-2</c:v>
                </c:pt>
                <c:pt idx="2">
                  <c:v>3.4090909090909088E-2</c:v>
                </c:pt>
                <c:pt idx="3">
                  <c:v>3.4090909090909088E-2</c:v>
                </c:pt>
                <c:pt idx="4">
                  <c:v>5.1136363636363633E-2</c:v>
                </c:pt>
                <c:pt idx="5">
                  <c:v>6.8181818181818177E-2</c:v>
                </c:pt>
                <c:pt idx="6">
                  <c:v>8.5227272727272721E-2</c:v>
                </c:pt>
                <c:pt idx="7">
                  <c:v>0.10227272727272727</c:v>
                </c:pt>
                <c:pt idx="8">
                  <c:v>0.13068181818181818</c:v>
                </c:pt>
                <c:pt idx="9">
                  <c:v>0.16477272727272727</c:v>
                </c:pt>
                <c:pt idx="10">
                  <c:v>0.19886363636363635</c:v>
                </c:pt>
                <c:pt idx="11">
                  <c:v>0.21022727272727271</c:v>
                </c:pt>
                <c:pt idx="12">
                  <c:v>0.27272727272727271</c:v>
                </c:pt>
                <c:pt idx="13">
                  <c:v>0.30681818181818177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CE-4ACD-B115-596FEE94D027}"/>
            </c:ext>
          </c:extLst>
        </c:ser>
        <c:ser>
          <c:idx val="2"/>
          <c:order val="2"/>
          <c:tx>
            <c:strRef>
              <c:f>ITAJUBÁ!$O$1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ITAJUBÁ!$O$2:$O$16</c:f>
              <c:numCache>
                <c:formatCode>0.00</c:formatCode>
                <c:ptCount val="15"/>
                <c:pt idx="0">
                  <c:v>6.9444444444444441E-3</c:v>
                </c:pt>
                <c:pt idx="1">
                  <c:v>3.8194444444444448E-2</c:v>
                </c:pt>
                <c:pt idx="2">
                  <c:v>3.8194444444444448E-2</c:v>
                </c:pt>
                <c:pt idx="3">
                  <c:v>3.8194444444444448E-2</c:v>
                </c:pt>
                <c:pt idx="4">
                  <c:v>4.5138888888888895E-2</c:v>
                </c:pt>
                <c:pt idx="5">
                  <c:v>0.12847222222222221</c:v>
                </c:pt>
                <c:pt idx="6">
                  <c:v>0.1423611111111111</c:v>
                </c:pt>
                <c:pt idx="7">
                  <c:v>0.1736111111111111</c:v>
                </c:pt>
                <c:pt idx="8">
                  <c:v>0.22916666666666666</c:v>
                </c:pt>
                <c:pt idx="9">
                  <c:v>0.27083333333333331</c:v>
                </c:pt>
                <c:pt idx="10">
                  <c:v>0.29166666666666663</c:v>
                </c:pt>
                <c:pt idx="11">
                  <c:v>0.35069444444444442</c:v>
                </c:pt>
                <c:pt idx="12">
                  <c:v>0.39583333333333331</c:v>
                </c:pt>
                <c:pt idx="13">
                  <c:v>0.4236111111111111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CE-4ACD-B115-596FEE94D027}"/>
            </c:ext>
          </c:extLst>
        </c:ser>
        <c:ser>
          <c:idx val="3"/>
          <c:order val="3"/>
          <c:tx>
            <c:strRef>
              <c:f>ITAJUBÁ!$P$1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ITAJUBÁ!$P$2:$P$16</c:f>
              <c:numCache>
                <c:formatCode>0.00</c:formatCode>
                <c:ptCount val="15"/>
                <c:pt idx="0">
                  <c:v>1.9867549668874173E-2</c:v>
                </c:pt>
                <c:pt idx="1">
                  <c:v>4.6357615894039736E-2</c:v>
                </c:pt>
                <c:pt idx="2">
                  <c:v>5.9602649006622516E-2</c:v>
                </c:pt>
                <c:pt idx="3">
                  <c:v>7.2847682119205295E-2</c:v>
                </c:pt>
                <c:pt idx="4">
                  <c:v>7.2847682119205295E-2</c:v>
                </c:pt>
                <c:pt idx="5">
                  <c:v>9.9337748344370855E-2</c:v>
                </c:pt>
                <c:pt idx="6">
                  <c:v>0.11920529801324503</c:v>
                </c:pt>
                <c:pt idx="7">
                  <c:v>0.15231788079470199</c:v>
                </c:pt>
                <c:pt idx="8">
                  <c:v>0.20529801324503311</c:v>
                </c:pt>
                <c:pt idx="9">
                  <c:v>0.27152317880794702</c:v>
                </c:pt>
                <c:pt idx="10">
                  <c:v>0.33774834437086093</c:v>
                </c:pt>
                <c:pt idx="11">
                  <c:v>0.36423841059602652</c:v>
                </c:pt>
                <c:pt idx="12">
                  <c:v>0.37748344370860931</c:v>
                </c:pt>
                <c:pt idx="13">
                  <c:v>0.4370860927152318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CE-4ACD-B115-596FEE94D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57552"/>
        <c:axId val="1867769552"/>
      </c:scatterChart>
      <c:valAx>
        <c:axId val="18677575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769552"/>
        <c:crosses val="autoZero"/>
        <c:crossBetween val="midCat"/>
      </c:valAx>
      <c:valAx>
        <c:axId val="1867769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75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LAVRAS!$J$1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LAVRAS!$J$2:$J$11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80-417F-8F1E-ABB1A573CB8F}"/>
            </c:ext>
          </c:extLst>
        </c:ser>
        <c:ser>
          <c:idx val="1"/>
          <c:order val="1"/>
          <c:tx>
            <c:strRef>
              <c:f>LAVRAS!$K$1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LAVRAS!$K$2:$K$11</c:f>
              <c:numCache>
                <c:formatCode>0.00</c:formatCode>
                <c:ptCount val="10"/>
                <c:pt idx="0">
                  <c:v>1.4778325123152709E-2</c:v>
                </c:pt>
                <c:pt idx="1">
                  <c:v>3.9408866995073892E-2</c:v>
                </c:pt>
                <c:pt idx="2">
                  <c:v>6.4039408866995079E-2</c:v>
                </c:pt>
                <c:pt idx="3">
                  <c:v>9.3596059113300489E-2</c:v>
                </c:pt>
                <c:pt idx="4">
                  <c:v>0.1231527093596059</c:v>
                </c:pt>
                <c:pt idx="5">
                  <c:v>0.15270935960591131</c:v>
                </c:pt>
                <c:pt idx="6">
                  <c:v>0.19211822660098521</c:v>
                </c:pt>
                <c:pt idx="7">
                  <c:v>0.22660098522167488</c:v>
                </c:pt>
                <c:pt idx="8">
                  <c:v>0.38916256157635465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80-417F-8F1E-ABB1A573CB8F}"/>
            </c:ext>
          </c:extLst>
        </c:ser>
        <c:ser>
          <c:idx val="2"/>
          <c:order val="2"/>
          <c:tx>
            <c:strRef>
              <c:f>LAVRAS!$L$1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LAVRAS!$L$2:$L$11</c:f>
              <c:numCache>
                <c:formatCode>0.00</c:formatCode>
                <c:ptCount val="10"/>
                <c:pt idx="0">
                  <c:v>8.9285714285714281E-3</c:v>
                </c:pt>
                <c:pt idx="1">
                  <c:v>1.7857142857142856E-2</c:v>
                </c:pt>
                <c:pt idx="2">
                  <c:v>3.5714285714285712E-2</c:v>
                </c:pt>
                <c:pt idx="3">
                  <c:v>5.3571428571428568E-2</c:v>
                </c:pt>
                <c:pt idx="4">
                  <c:v>0.125</c:v>
                </c:pt>
                <c:pt idx="5">
                  <c:v>0.13392857142857142</c:v>
                </c:pt>
                <c:pt idx="6">
                  <c:v>0.13392857142857142</c:v>
                </c:pt>
                <c:pt idx="7">
                  <c:v>0.29464285714285715</c:v>
                </c:pt>
                <c:pt idx="8">
                  <c:v>0.4464285714285714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80-417F-8F1E-ABB1A573CB8F}"/>
            </c:ext>
          </c:extLst>
        </c:ser>
        <c:ser>
          <c:idx val="3"/>
          <c:order val="3"/>
          <c:tx>
            <c:strRef>
              <c:f>LAVRAS!$M$1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LAVRAS!$M$2:$M$11</c:f>
              <c:numCache>
                <c:formatCode>0.00</c:formatCode>
                <c:ptCount val="10"/>
                <c:pt idx="0">
                  <c:v>0</c:v>
                </c:pt>
                <c:pt idx="1">
                  <c:v>2.1739130434782608E-2</c:v>
                </c:pt>
                <c:pt idx="2">
                  <c:v>5.434782608695652E-2</c:v>
                </c:pt>
                <c:pt idx="3">
                  <c:v>6.5217391304347824E-2</c:v>
                </c:pt>
                <c:pt idx="4">
                  <c:v>8.6956521739130432E-2</c:v>
                </c:pt>
                <c:pt idx="5">
                  <c:v>8.6956521739130432E-2</c:v>
                </c:pt>
                <c:pt idx="6">
                  <c:v>9.7826086956521729E-2</c:v>
                </c:pt>
                <c:pt idx="7">
                  <c:v>0.2608695652173913</c:v>
                </c:pt>
                <c:pt idx="8">
                  <c:v>0.48913043478260865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80-417F-8F1E-ABB1A573C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1264"/>
        <c:axId val="2055210384"/>
      </c:scatterChart>
      <c:valAx>
        <c:axId val="2055201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0384"/>
        <c:crosses val="autoZero"/>
        <c:crossBetween val="midCat"/>
      </c:valAx>
      <c:valAx>
        <c:axId val="2055210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LAVRAS!$J$1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LAVRAS!$J$2:$J$11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56-4822-A60A-8D714EC3C08C}"/>
            </c:ext>
          </c:extLst>
        </c:ser>
        <c:ser>
          <c:idx val="1"/>
          <c:order val="1"/>
          <c:tx>
            <c:strRef>
              <c:f>LAVRAS!$N$1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LAVRAS!$N$2:$N$11</c:f>
              <c:numCache>
                <c:formatCode>0.00</c:formatCode>
                <c:ptCount val="10"/>
                <c:pt idx="0">
                  <c:v>9.7560975609756097E-3</c:v>
                </c:pt>
                <c:pt idx="1">
                  <c:v>4.3902439024390248E-2</c:v>
                </c:pt>
                <c:pt idx="2">
                  <c:v>7.8048780487804892E-2</c:v>
                </c:pt>
                <c:pt idx="3">
                  <c:v>9.2682926829268306E-2</c:v>
                </c:pt>
                <c:pt idx="4">
                  <c:v>0.15609756097560978</c:v>
                </c:pt>
                <c:pt idx="5">
                  <c:v>0.18536585365853661</c:v>
                </c:pt>
                <c:pt idx="6">
                  <c:v>0.21463414634146344</c:v>
                </c:pt>
                <c:pt idx="7">
                  <c:v>0.37073170731707317</c:v>
                </c:pt>
                <c:pt idx="8">
                  <c:v>0.59512195121951217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56-4822-A60A-8D714EC3C08C}"/>
            </c:ext>
          </c:extLst>
        </c:ser>
        <c:ser>
          <c:idx val="2"/>
          <c:order val="2"/>
          <c:tx>
            <c:strRef>
              <c:f>LAVRAS!$O$1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LAVRAS!$O$2:$O$11</c:f>
              <c:numCache>
                <c:formatCode>0.00</c:formatCode>
                <c:ptCount val="10"/>
                <c:pt idx="0">
                  <c:v>1.8867924528301886E-2</c:v>
                </c:pt>
                <c:pt idx="1">
                  <c:v>5.1886792452830191E-2</c:v>
                </c:pt>
                <c:pt idx="2">
                  <c:v>6.6037735849056603E-2</c:v>
                </c:pt>
                <c:pt idx="3">
                  <c:v>7.0754716981132074E-2</c:v>
                </c:pt>
                <c:pt idx="4">
                  <c:v>0.15094339622641509</c:v>
                </c:pt>
                <c:pt idx="5">
                  <c:v>0.18867924528301885</c:v>
                </c:pt>
                <c:pt idx="6">
                  <c:v>0.1981132075471698</c:v>
                </c:pt>
                <c:pt idx="7">
                  <c:v>0.39150943396226412</c:v>
                </c:pt>
                <c:pt idx="8">
                  <c:v>0.62735849056603765</c:v>
                </c:pt>
                <c:pt idx="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56-4822-A60A-8D714EC3C08C}"/>
            </c:ext>
          </c:extLst>
        </c:ser>
        <c:ser>
          <c:idx val="3"/>
          <c:order val="3"/>
          <c:tx>
            <c:strRef>
              <c:f>LAVRAS!$P$1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LAVRAS!$P$2:$P$11</c:f>
              <c:numCache>
                <c:formatCode>0.00</c:formatCode>
                <c:ptCount val="10"/>
                <c:pt idx="0">
                  <c:v>2.5974025974025976E-2</c:v>
                </c:pt>
                <c:pt idx="1">
                  <c:v>6.4935064935064929E-2</c:v>
                </c:pt>
                <c:pt idx="2">
                  <c:v>6.4935064935064929E-2</c:v>
                </c:pt>
                <c:pt idx="3">
                  <c:v>6.4935064935064929E-2</c:v>
                </c:pt>
                <c:pt idx="4">
                  <c:v>0.16883116883116883</c:v>
                </c:pt>
                <c:pt idx="5">
                  <c:v>0.23376623376623376</c:v>
                </c:pt>
                <c:pt idx="6">
                  <c:v>0.24675324675324675</c:v>
                </c:pt>
                <c:pt idx="7">
                  <c:v>0.46103896103896103</c:v>
                </c:pt>
                <c:pt idx="8">
                  <c:v>0.62987012987012991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56-4822-A60A-8D714EC3C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45488"/>
        <c:axId val="735652208"/>
      </c:scatterChart>
      <c:valAx>
        <c:axId val="735645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52208"/>
        <c:crosses val="autoZero"/>
        <c:crossBetween val="midCat"/>
      </c:valAx>
      <c:valAx>
        <c:axId val="7356522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4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PASSOS!$J$1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PASSOS!$J$2:$J$10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0-4094-BC62-65A13EA52C32}"/>
            </c:ext>
          </c:extLst>
        </c:ser>
        <c:ser>
          <c:idx val="1"/>
          <c:order val="1"/>
          <c:tx>
            <c:strRef>
              <c:f>PASSOS!$K$1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PASSOS!$K$2:$K$10</c:f>
              <c:numCache>
                <c:formatCode>0.00</c:formatCode>
                <c:ptCount val="9"/>
                <c:pt idx="0">
                  <c:v>2.4390243902439025E-2</c:v>
                </c:pt>
                <c:pt idx="1">
                  <c:v>3.2520325203252036E-2</c:v>
                </c:pt>
                <c:pt idx="2">
                  <c:v>0.28455284552845528</c:v>
                </c:pt>
                <c:pt idx="3">
                  <c:v>0.30894308943089432</c:v>
                </c:pt>
                <c:pt idx="4">
                  <c:v>0.34959349593495936</c:v>
                </c:pt>
                <c:pt idx="5">
                  <c:v>0.44715447154471544</c:v>
                </c:pt>
                <c:pt idx="6">
                  <c:v>0.52845528455284552</c:v>
                </c:pt>
                <c:pt idx="7">
                  <c:v>0.69918699186991873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D0-4094-BC62-65A13EA52C32}"/>
            </c:ext>
          </c:extLst>
        </c:ser>
        <c:ser>
          <c:idx val="2"/>
          <c:order val="2"/>
          <c:tx>
            <c:strRef>
              <c:f>PASSOS!$L$1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PASSOS!$L$2:$L$10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7.9545454545454544E-2</c:v>
                </c:pt>
                <c:pt idx="3">
                  <c:v>0.13636363636363635</c:v>
                </c:pt>
                <c:pt idx="4">
                  <c:v>0.18181818181818182</c:v>
                </c:pt>
                <c:pt idx="5">
                  <c:v>0.34090909090909094</c:v>
                </c:pt>
                <c:pt idx="6">
                  <c:v>0.35227272727272729</c:v>
                </c:pt>
                <c:pt idx="7">
                  <c:v>0.47727272727272729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D0-4094-BC62-65A13EA52C32}"/>
            </c:ext>
          </c:extLst>
        </c:ser>
        <c:ser>
          <c:idx val="3"/>
          <c:order val="3"/>
          <c:tx>
            <c:strRef>
              <c:f>PASSOS!$M$1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PASSOS!$M$2:$M$10</c:f>
              <c:numCache>
                <c:formatCode>0.00</c:formatCode>
                <c:ptCount val="9"/>
                <c:pt idx="0">
                  <c:v>2.8846153846153848E-2</c:v>
                </c:pt>
                <c:pt idx="1">
                  <c:v>3.8461538461538464E-2</c:v>
                </c:pt>
                <c:pt idx="2">
                  <c:v>0.10576923076923077</c:v>
                </c:pt>
                <c:pt idx="3">
                  <c:v>0.14423076923076922</c:v>
                </c:pt>
                <c:pt idx="4">
                  <c:v>0.17307692307692307</c:v>
                </c:pt>
                <c:pt idx="5">
                  <c:v>0.21153846153846154</c:v>
                </c:pt>
                <c:pt idx="6">
                  <c:v>0.33653846153846156</c:v>
                </c:pt>
                <c:pt idx="7">
                  <c:v>0.40384615384615385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D0-4094-BC62-65A13EA52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66864"/>
        <c:axId val="388371184"/>
      </c:scatterChart>
      <c:valAx>
        <c:axId val="388366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1184"/>
        <c:crosses val="autoZero"/>
        <c:crossBetween val="midCat"/>
      </c:valAx>
      <c:valAx>
        <c:axId val="3883711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PASSOS!$J$1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PASSOS!$J$2:$J$10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07-4871-A304-46C06CB652C6}"/>
            </c:ext>
          </c:extLst>
        </c:ser>
        <c:ser>
          <c:idx val="1"/>
          <c:order val="1"/>
          <c:tx>
            <c:strRef>
              <c:f>PASSOS!$N$1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PASSOS!$N$2:$N$10</c:f>
              <c:numCache>
                <c:formatCode>0.00</c:formatCode>
                <c:ptCount val="9"/>
                <c:pt idx="0">
                  <c:v>4.1758241758241756E-2</c:v>
                </c:pt>
                <c:pt idx="1">
                  <c:v>7.4725274725274723E-2</c:v>
                </c:pt>
                <c:pt idx="2">
                  <c:v>0.16483516483516483</c:v>
                </c:pt>
                <c:pt idx="3">
                  <c:v>0.23956043956043954</c:v>
                </c:pt>
                <c:pt idx="4">
                  <c:v>0.30549450549450546</c:v>
                </c:pt>
                <c:pt idx="5">
                  <c:v>0.41978021978021973</c:v>
                </c:pt>
                <c:pt idx="6">
                  <c:v>0.52747252747252737</c:v>
                </c:pt>
                <c:pt idx="7">
                  <c:v>0.62417582417582407</c:v>
                </c:pt>
                <c:pt idx="8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07-4871-A304-46C06CB652C6}"/>
            </c:ext>
          </c:extLst>
        </c:ser>
        <c:ser>
          <c:idx val="2"/>
          <c:order val="2"/>
          <c:tx>
            <c:strRef>
              <c:f>PASSOS!$O$1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PASSOS!$O$2:$O$10</c:f>
              <c:numCache>
                <c:formatCode>0.00</c:formatCode>
                <c:ptCount val="9"/>
                <c:pt idx="0">
                  <c:v>5.2631578947368418E-2</c:v>
                </c:pt>
                <c:pt idx="1">
                  <c:v>7.8947368421052627E-2</c:v>
                </c:pt>
                <c:pt idx="2">
                  <c:v>0.16315789473684211</c:v>
                </c:pt>
                <c:pt idx="3">
                  <c:v>0.27368421052631581</c:v>
                </c:pt>
                <c:pt idx="4">
                  <c:v>0.38947368421052631</c:v>
                </c:pt>
                <c:pt idx="5">
                  <c:v>0.53157894736842104</c:v>
                </c:pt>
                <c:pt idx="6">
                  <c:v>0.58947368421052626</c:v>
                </c:pt>
                <c:pt idx="7">
                  <c:v>0.68421052631578938</c:v>
                </c:pt>
                <c:pt idx="8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07-4871-A304-46C06CB652C6}"/>
            </c:ext>
          </c:extLst>
        </c:ser>
        <c:ser>
          <c:idx val="3"/>
          <c:order val="3"/>
          <c:tx>
            <c:strRef>
              <c:f>PASSOS!$P$1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PASSOS!$P$2:$P$10</c:f>
              <c:numCache>
                <c:formatCode>0.00</c:formatCode>
                <c:ptCount val="9"/>
                <c:pt idx="0">
                  <c:v>5.6122448979591837E-2</c:v>
                </c:pt>
                <c:pt idx="1">
                  <c:v>7.1428571428571425E-2</c:v>
                </c:pt>
                <c:pt idx="2">
                  <c:v>0.18877551020408162</c:v>
                </c:pt>
                <c:pt idx="3">
                  <c:v>0.26020408163265307</c:v>
                </c:pt>
                <c:pt idx="4">
                  <c:v>0.3775510204081633</c:v>
                </c:pt>
                <c:pt idx="5">
                  <c:v>0.47448979591836737</c:v>
                </c:pt>
                <c:pt idx="6">
                  <c:v>0.55102040816326536</c:v>
                </c:pt>
                <c:pt idx="7">
                  <c:v>0.70918367346938782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07-4871-A304-46C06CB6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19984"/>
        <c:axId val="2055228624"/>
      </c:scatterChart>
      <c:valAx>
        <c:axId val="2055219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28624"/>
        <c:crosses val="autoZero"/>
        <c:crossBetween val="midCat"/>
      </c:valAx>
      <c:valAx>
        <c:axId val="20552286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PINHUÍ!$J$1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PINHUÍ!$J$2:$J$8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1-44FC-9936-95E16D91D657}"/>
            </c:ext>
          </c:extLst>
        </c:ser>
        <c:ser>
          <c:idx val="1"/>
          <c:order val="1"/>
          <c:tx>
            <c:strRef>
              <c:f>PINHUÍ!$K$1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PINHUÍ!$K$2:$K$8</c:f>
              <c:numCache>
                <c:formatCode>0.00</c:formatCode>
                <c:ptCount val="7"/>
                <c:pt idx="0">
                  <c:v>2.7777777777777776E-2</c:v>
                </c:pt>
                <c:pt idx="1">
                  <c:v>4.1666666666666664E-2</c:v>
                </c:pt>
                <c:pt idx="2">
                  <c:v>0.16666666666666666</c:v>
                </c:pt>
                <c:pt idx="3">
                  <c:v>0.29166666666666663</c:v>
                </c:pt>
                <c:pt idx="4">
                  <c:v>0.34722222222222221</c:v>
                </c:pt>
                <c:pt idx="5">
                  <c:v>0.55555555555555558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F1-44FC-9936-95E16D91D657}"/>
            </c:ext>
          </c:extLst>
        </c:ser>
        <c:ser>
          <c:idx val="2"/>
          <c:order val="2"/>
          <c:tx>
            <c:strRef>
              <c:f>PINHUÍ!$L$1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PINHUÍ!$L$2:$L$8</c:f>
              <c:numCache>
                <c:formatCode>0.00</c:formatCode>
                <c:ptCount val="7"/>
                <c:pt idx="0">
                  <c:v>3.2258064516129031E-2</c:v>
                </c:pt>
                <c:pt idx="1">
                  <c:v>3.2258064516129031E-2</c:v>
                </c:pt>
                <c:pt idx="2">
                  <c:v>9.6774193548387094E-2</c:v>
                </c:pt>
                <c:pt idx="3">
                  <c:v>0.19354838709677419</c:v>
                </c:pt>
                <c:pt idx="4">
                  <c:v>0.38709677419354838</c:v>
                </c:pt>
                <c:pt idx="5">
                  <c:v>0.45161290322580644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F1-44FC-9936-95E16D91D657}"/>
            </c:ext>
          </c:extLst>
        </c:ser>
        <c:ser>
          <c:idx val="3"/>
          <c:order val="3"/>
          <c:tx>
            <c:strRef>
              <c:f>PINHUÍ!$M$1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PINHUÍ!$M$2:$M$8</c:f>
              <c:numCache>
                <c:formatCode>0.00</c:formatCode>
                <c:ptCount val="7"/>
                <c:pt idx="0">
                  <c:v>0</c:v>
                </c:pt>
                <c:pt idx="1">
                  <c:v>4.7619047619047616E-2</c:v>
                </c:pt>
                <c:pt idx="2">
                  <c:v>0.23809523809523808</c:v>
                </c:pt>
                <c:pt idx="3">
                  <c:v>0.47619047619047616</c:v>
                </c:pt>
                <c:pt idx="4">
                  <c:v>0.5714285714285714</c:v>
                </c:pt>
                <c:pt idx="5">
                  <c:v>0.61904761904761907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F1-44FC-9936-95E16D91D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9408"/>
        <c:axId val="195390848"/>
      </c:scatterChart>
      <c:valAx>
        <c:axId val="1953894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90848"/>
        <c:crosses val="autoZero"/>
        <c:crossBetween val="midCat"/>
      </c:valAx>
      <c:valAx>
        <c:axId val="1953908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PINHUÍ!$J$1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PINHUÍ!$J$2:$J$8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7A-4B58-AAC8-F518B5A1AFB9}"/>
            </c:ext>
          </c:extLst>
        </c:ser>
        <c:ser>
          <c:idx val="1"/>
          <c:order val="1"/>
          <c:tx>
            <c:strRef>
              <c:f>PINHUÍ!$N$1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PINHUÍ!$N$2:$N$8</c:f>
              <c:numCache>
                <c:formatCode>0.00</c:formatCode>
                <c:ptCount val="7"/>
                <c:pt idx="0">
                  <c:v>2.8846153846153848E-2</c:v>
                </c:pt>
                <c:pt idx="1">
                  <c:v>6.7307692307692318E-2</c:v>
                </c:pt>
                <c:pt idx="2">
                  <c:v>0.13461538461538464</c:v>
                </c:pt>
                <c:pt idx="3">
                  <c:v>0.19230769230769235</c:v>
                </c:pt>
                <c:pt idx="4">
                  <c:v>0.25961538461538464</c:v>
                </c:pt>
                <c:pt idx="5">
                  <c:v>0.40384615384615385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7A-4B58-AAC8-F518B5A1AFB9}"/>
            </c:ext>
          </c:extLst>
        </c:ser>
        <c:ser>
          <c:idx val="2"/>
          <c:order val="2"/>
          <c:tx>
            <c:strRef>
              <c:f>PINHUÍ!$O$1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PINHUÍ!$O$2:$O$8</c:f>
              <c:numCache>
                <c:formatCode>0.00</c:formatCode>
                <c:ptCount val="7"/>
                <c:pt idx="0">
                  <c:v>0</c:v>
                </c:pt>
                <c:pt idx="1">
                  <c:v>5.434782608695652E-2</c:v>
                </c:pt>
                <c:pt idx="2">
                  <c:v>0.14130434782608695</c:v>
                </c:pt>
                <c:pt idx="3">
                  <c:v>0.33695652173913043</c:v>
                </c:pt>
                <c:pt idx="4">
                  <c:v>0.41304347826086957</c:v>
                </c:pt>
                <c:pt idx="5">
                  <c:v>0.51086956521739135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7A-4B58-AAC8-F518B5A1AFB9}"/>
            </c:ext>
          </c:extLst>
        </c:ser>
        <c:ser>
          <c:idx val="3"/>
          <c:order val="3"/>
          <c:tx>
            <c:strRef>
              <c:f>PINHUÍ!$P$1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PINHUÍ!$P$2:$P$8</c:f>
              <c:numCache>
                <c:formatCode>0.00</c:formatCode>
                <c:ptCount val="7"/>
                <c:pt idx="0">
                  <c:v>0</c:v>
                </c:pt>
                <c:pt idx="1">
                  <c:v>5.7971014492753624E-2</c:v>
                </c:pt>
                <c:pt idx="2">
                  <c:v>0.11594202898550725</c:v>
                </c:pt>
                <c:pt idx="3">
                  <c:v>0.20289855072463769</c:v>
                </c:pt>
                <c:pt idx="4">
                  <c:v>0.28985507246376813</c:v>
                </c:pt>
                <c:pt idx="5">
                  <c:v>0.40579710144927539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7A-4B58-AAC8-F518B5A1A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2704"/>
        <c:axId val="2055214224"/>
      </c:scatterChart>
      <c:valAx>
        <c:axId val="20552027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4224"/>
        <c:crosses val="autoZero"/>
        <c:crossBetween val="midCat"/>
      </c:valAx>
      <c:valAx>
        <c:axId val="20552142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'POÇOS DE CALDA'!$J$1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CALDA'!$J$2:$J$7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69-47D1-8312-83069FBCE943}"/>
            </c:ext>
          </c:extLst>
        </c:ser>
        <c:ser>
          <c:idx val="1"/>
          <c:order val="1"/>
          <c:tx>
            <c:strRef>
              <c:f>'POÇOS DE CALDA'!$K$1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CALDA'!$K$2:$K$7</c:f>
              <c:numCache>
                <c:formatCode>0.00</c:formatCode>
                <c:ptCount val="6"/>
                <c:pt idx="0">
                  <c:v>0</c:v>
                </c:pt>
                <c:pt idx="1">
                  <c:v>8.1632653061224497E-3</c:v>
                </c:pt>
                <c:pt idx="2">
                  <c:v>1.6326530612244899E-2</c:v>
                </c:pt>
                <c:pt idx="3">
                  <c:v>4.8979591836734698E-2</c:v>
                </c:pt>
                <c:pt idx="4">
                  <c:v>0.15102040816326531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69-47D1-8312-83069FBCE943}"/>
            </c:ext>
          </c:extLst>
        </c:ser>
        <c:ser>
          <c:idx val="2"/>
          <c:order val="2"/>
          <c:tx>
            <c:strRef>
              <c:f>'POÇOS DE CALDA'!$L$1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CALDA'!$L$2:$L$7</c:f>
              <c:numCache>
                <c:formatCode>0.00</c:formatCode>
                <c:ptCount val="6"/>
                <c:pt idx="0">
                  <c:v>1.0638297872340425E-2</c:v>
                </c:pt>
                <c:pt idx="1">
                  <c:v>2.1276595744680851E-2</c:v>
                </c:pt>
                <c:pt idx="2">
                  <c:v>4.2553191489361701E-2</c:v>
                </c:pt>
                <c:pt idx="3">
                  <c:v>7.4468085106382975E-2</c:v>
                </c:pt>
                <c:pt idx="4">
                  <c:v>0.18085106382978722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69-47D1-8312-83069FBCE943}"/>
            </c:ext>
          </c:extLst>
        </c:ser>
        <c:ser>
          <c:idx val="3"/>
          <c:order val="3"/>
          <c:tx>
            <c:strRef>
              <c:f>'POÇOS DE CALDA'!$M$1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CALDA'!$M$2:$M$7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0.04</c:v>
                </c:pt>
                <c:pt idx="3">
                  <c:v>0.08</c:v>
                </c:pt>
                <c:pt idx="4">
                  <c:v>0.22000000000000003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69-47D1-8312-83069FBCE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740272"/>
        <c:axId val="276740752"/>
      </c:scatterChart>
      <c:valAx>
        <c:axId val="2767402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40752"/>
        <c:crosses val="autoZero"/>
        <c:crossBetween val="midCat"/>
      </c:valAx>
      <c:valAx>
        <c:axId val="276740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4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'POÇOS DE CALDA'!$J$1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CALDA'!$J$2:$J$7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B3-45C7-8CED-2940C7440660}"/>
            </c:ext>
          </c:extLst>
        </c:ser>
        <c:ser>
          <c:idx val="1"/>
          <c:order val="1"/>
          <c:tx>
            <c:strRef>
              <c:f>'POÇOS DE CALDA'!$N$1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CALDA'!$N$2:$N$7</c:f>
              <c:numCache>
                <c:formatCode>0.00</c:formatCode>
                <c:ptCount val="6"/>
                <c:pt idx="0">
                  <c:v>9.6463022508038593E-3</c:v>
                </c:pt>
                <c:pt idx="1">
                  <c:v>1.2861736334405145E-2</c:v>
                </c:pt>
                <c:pt idx="2">
                  <c:v>1.2861736334405145E-2</c:v>
                </c:pt>
                <c:pt idx="3">
                  <c:v>2.5723472668810289E-2</c:v>
                </c:pt>
                <c:pt idx="4">
                  <c:v>0.10610932475884244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B3-45C7-8CED-2940C7440660}"/>
            </c:ext>
          </c:extLst>
        </c:ser>
        <c:ser>
          <c:idx val="2"/>
          <c:order val="2"/>
          <c:tx>
            <c:strRef>
              <c:f>'POÇOS DE CALDA'!$O$1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CALDA'!$O$2:$O$7</c:f>
              <c:numCache>
                <c:formatCode>0.00</c:formatCode>
                <c:ptCount val="6"/>
                <c:pt idx="0">
                  <c:v>1.9607843137254902E-2</c:v>
                </c:pt>
                <c:pt idx="1">
                  <c:v>3.9215686274509803E-2</c:v>
                </c:pt>
                <c:pt idx="2">
                  <c:v>7.1895424836601302E-2</c:v>
                </c:pt>
                <c:pt idx="3">
                  <c:v>0.12418300653594772</c:v>
                </c:pt>
                <c:pt idx="4">
                  <c:v>0.18627450980392157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B3-45C7-8CED-2940C7440660}"/>
            </c:ext>
          </c:extLst>
        </c:ser>
        <c:ser>
          <c:idx val="3"/>
          <c:order val="3"/>
          <c:tx>
            <c:strRef>
              <c:f>'POÇOS DE CALDA'!$P$1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CALDA'!$P$2:$P$7</c:f>
              <c:numCache>
                <c:formatCode>0.00</c:formatCode>
                <c:ptCount val="6"/>
                <c:pt idx="0">
                  <c:v>9.3896713615023476E-3</c:v>
                </c:pt>
                <c:pt idx="1">
                  <c:v>5.1643192488262907E-2</c:v>
                </c:pt>
                <c:pt idx="2">
                  <c:v>6.5727699530516423E-2</c:v>
                </c:pt>
                <c:pt idx="3">
                  <c:v>0.12676056338028169</c:v>
                </c:pt>
                <c:pt idx="4">
                  <c:v>0.23474178403755869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B3-45C7-8CED-2940C7440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739792"/>
        <c:axId val="276726832"/>
      </c:scatterChart>
      <c:valAx>
        <c:axId val="2767397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26832"/>
        <c:crosses val="autoZero"/>
        <c:crossBetween val="midCat"/>
      </c:valAx>
      <c:valAx>
        <c:axId val="2767268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3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'POUSO ALEGRE'!$J$1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ALEGRE'!$J$2:$J$33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A7-496F-A2F9-4C1E21D1FBCC}"/>
            </c:ext>
          </c:extLst>
        </c:ser>
        <c:ser>
          <c:idx val="1"/>
          <c:order val="1"/>
          <c:tx>
            <c:strRef>
              <c:f>'POUSO ALEGRE'!$K$1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ALEGRE'!$K$2:$K$33</c:f>
              <c:numCache>
                <c:formatCode>0.00</c:formatCode>
                <c:ptCount val="32"/>
                <c:pt idx="0">
                  <c:v>6.2305295950155761E-3</c:v>
                </c:pt>
                <c:pt idx="1">
                  <c:v>3.4267912772585667E-2</c:v>
                </c:pt>
                <c:pt idx="2">
                  <c:v>4.6728971962616821E-2</c:v>
                </c:pt>
                <c:pt idx="3">
                  <c:v>6.2305295950155763E-2</c:v>
                </c:pt>
                <c:pt idx="4">
                  <c:v>6.8535825545171333E-2</c:v>
                </c:pt>
                <c:pt idx="5">
                  <c:v>7.7881619937694699E-2</c:v>
                </c:pt>
                <c:pt idx="6">
                  <c:v>8.0996884735202487E-2</c:v>
                </c:pt>
                <c:pt idx="7">
                  <c:v>8.7227414330218064E-2</c:v>
                </c:pt>
                <c:pt idx="8">
                  <c:v>0.10903426791277258</c:v>
                </c:pt>
                <c:pt idx="9">
                  <c:v>0.10903426791277258</c:v>
                </c:pt>
                <c:pt idx="10">
                  <c:v>0.11526479750778816</c:v>
                </c:pt>
                <c:pt idx="11">
                  <c:v>0.12461059190031153</c:v>
                </c:pt>
                <c:pt idx="12">
                  <c:v>0.15887850467289719</c:v>
                </c:pt>
                <c:pt idx="13">
                  <c:v>0.17133956386292834</c:v>
                </c:pt>
                <c:pt idx="14">
                  <c:v>0.18068535825545171</c:v>
                </c:pt>
                <c:pt idx="15">
                  <c:v>0.19937694704049844</c:v>
                </c:pt>
                <c:pt idx="16">
                  <c:v>0.21495327102803738</c:v>
                </c:pt>
                <c:pt idx="17">
                  <c:v>0.24299065420560748</c:v>
                </c:pt>
                <c:pt idx="18">
                  <c:v>0.25233644859813081</c:v>
                </c:pt>
                <c:pt idx="19">
                  <c:v>0.26791277258566976</c:v>
                </c:pt>
                <c:pt idx="20">
                  <c:v>0.28037383177570091</c:v>
                </c:pt>
                <c:pt idx="21">
                  <c:v>0.29595015576323985</c:v>
                </c:pt>
                <c:pt idx="22">
                  <c:v>0.3115264797507788</c:v>
                </c:pt>
                <c:pt idx="23">
                  <c:v>0.34579439252336447</c:v>
                </c:pt>
                <c:pt idx="24">
                  <c:v>0.37071651090342678</c:v>
                </c:pt>
                <c:pt idx="25">
                  <c:v>0.43302180685358255</c:v>
                </c:pt>
                <c:pt idx="26">
                  <c:v>0.4454828660436137</c:v>
                </c:pt>
                <c:pt idx="27">
                  <c:v>0.50155763239875384</c:v>
                </c:pt>
                <c:pt idx="28">
                  <c:v>0.54828660436137067</c:v>
                </c:pt>
                <c:pt idx="29">
                  <c:v>0.56074766355140182</c:v>
                </c:pt>
                <c:pt idx="30">
                  <c:v>0.71962616822429903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A7-496F-A2F9-4C1E21D1FBCC}"/>
            </c:ext>
          </c:extLst>
        </c:ser>
        <c:ser>
          <c:idx val="2"/>
          <c:order val="2"/>
          <c:tx>
            <c:strRef>
              <c:f>'POUSO ALEGRE'!$L$1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ALEGRE'!$L$2:$L$33</c:f>
              <c:numCache>
                <c:formatCode>0.00</c:formatCode>
                <c:ptCount val="32"/>
                <c:pt idx="0">
                  <c:v>8.4745762711864406E-3</c:v>
                </c:pt>
                <c:pt idx="1">
                  <c:v>2.5423728813559324E-2</c:v>
                </c:pt>
                <c:pt idx="2">
                  <c:v>4.2372881355932202E-2</c:v>
                </c:pt>
                <c:pt idx="3">
                  <c:v>5.9322033898305079E-2</c:v>
                </c:pt>
                <c:pt idx="4">
                  <c:v>6.7796610169491525E-2</c:v>
                </c:pt>
                <c:pt idx="5">
                  <c:v>7.6271186440677971E-2</c:v>
                </c:pt>
                <c:pt idx="6">
                  <c:v>7.6271186440677971E-2</c:v>
                </c:pt>
                <c:pt idx="7">
                  <c:v>8.4745762711864417E-2</c:v>
                </c:pt>
                <c:pt idx="8">
                  <c:v>8.4745762711864417E-2</c:v>
                </c:pt>
                <c:pt idx="9">
                  <c:v>0.11864406779661019</c:v>
                </c:pt>
                <c:pt idx="10">
                  <c:v>0.11864406779661019</c:v>
                </c:pt>
                <c:pt idx="11">
                  <c:v>0.11864406779661019</c:v>
                </c:pt>
                <c:pt idx="12">
                  <c:v>0.12711864406779663</c:v>
                </c:pt>
                <c:pt idx="13">
                  <c:v>0.14406779661016952</c:v>
                </c:pt>
                <c:pt idx="14">
                  <c:v>0.15254237288135597</c:v>
                </c:pt>
                <c:pt idx="15">
                  <c:v>0.16101694915254242</c:v>
                </c:pt>
                <c:pt idx="16">
                  <c:v>0.16949152542372886</c:v>
                </c:pt>
                <c:pt idx="17">
                  <c:v>0.19491525423728817</c:v>
                </c:pt>
                <c:pt idx="18">
                  <c:v>0.21186440677966106</c:v>
                </c:pt>
                <c:pt idx="19">
                  <c:v>0.22881355932203395</c:v>
                </c:pt>
                <c:pt idx="20">
                  <c:v>0.2372881355932204</c:v>
                </c:pt>
                <c:pt idx="21">
                  <c:v>0.2372881355932204</c:v>
                </c:pt>
                <c:pt idx="22">
                  <c:v>0.26271186440677974</c:v>
                </c:pt>
                <c:pt idx="23">
                  <c:v>0.30508474576271194</c:v>
                </c:pt>
                <c:pt idx="24">
                  <c:v>0.31355932203389836</c:v>
                </c:pt>
                <c:pt idx="25">
                  <c:v>0.39830508474576276</c:v>
                </c:pt>
                <c:pt idx="26">
                  <c:v>0.41525423728813565</c:v>
                </c:pt>
                <c:pt idx="27">
                  <c:v>0.45762711864406785</c:v>
                </c:pt>
                <c:pt idx="28">
                  <c:v>0.51694915254237295</c:v>
                </c:pt>
                <c:pt idx="29">
                  <c:v>0.55932203389830515</c:v>
                </c:pt>
                <c:pt idx="30">
                  <c:v>0.83898305084745761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A7-496F-A2F9-4C1E21D1FBCC}"/>
            </c:ext>
          </c:extLst>
        </c:ser>
        <c:ser>
          <c:idx val="3"/>
          <c:order val="3"/>
          <c:tx>
            <c:strRef>
              <c:f>'POUSO ALEGRE'!$M$1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ALEGRE'!$M$2:$M$33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1.1235955056179775E-2</c:v>
                </c:pt>
                <c:pt idx="6">
                  <c:v>3.3707865168539325E-2</c:v>
                </c:pt>
                <c:pt idx="7">
                  <c:v>3.3707865168539325E-2</c:v>
                </c:pt>
                <c:pt idx="8">
                  <c:v>4.49438202247191E-2</c:v>
                </c:pt>
                <c:pt idx="9">
                  <c:v>4.49438202247191E-2</c:v>
                </c:pt>
                <c:pt idx="10">
                  <c:v>4.49438202247191E-2</c:v>
                </c:pt>
                <c:pt idx="11">
                  <c:v>4.49438202247191E-2</c:v>
                </c:pt>
                <c:pt idx="12">
                  <c:v>5.6179775280898875E-2</c:v>
                </c:pt>
                <c:pt idx="13">
                  <c:v>6.741573033707865E-2</c:v>
                </c:pt>
                <c:pt idx="14">
                  <c:v>0.11235955056179775</c:v>
                </c:pt>
                <c:pt idx="15">
                  <c:v>0.12359550561797752</c:v>
                </c:pt>
                <c:pt idx="16">
                  <c:v>0.14606741573033707</c:v>
                </c:pt>
                <c:pt idx="17">
                  <c:v>0.14606741573033707</c:v>
                </c:pt>
                <c:pt idx="18">
                  <c:v>0.16853932584269662</c:v>
                </c:pt>
                <c:pt idx="19">
                  <c:v>0.1797752808988764</c:v>
                </c:pt>
                <c:pt idx="20">
                  <c:v>0.1797752808988764</c:v>
                </c:pt>
                <c:pt idx="21">
                  <c:v>0.19101123595505617</c:v>
                </c:pt>
                <c:pt idx="22">
                  <c:v>0.19101123595505617</c:v>
                </c:pt>
                <c:pt idx="23">
                  <c:v>0.20224719101123595</c:v>
                </c:pt>
                <c:pt idx="24">
                  <c:v>0.2247191011235955</c:v>
                </c:pt>
                <c:pt idx="25">
                  <c:v>0.2584269662921348</c:v>
                </c:pt>
                <c:pt idx="26">
                  <c:v>0.28089887640449435</c:v>
                </c:pt>
                <c:pt idx="27">
                  <c:v>0.348314606741573</c:v>
                </c:pt>
                <c:pt idx="28">
                  <c:v>0.5280898876404494</c:v>
                </c:pt>
                <c:pt idx="29">
                  <c:v>0.5280898876404494</c:v>
                </c:pt>
                <c:pt idx="30">
                  <c:v>0.60674157303370779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A7-496F-A2F9-4C1E21D1F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36464"/>
        <c:axId val="639353744"/>
      </c:scatterChart>
      <c:valAx>
        <c:axId val="639336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53744"/>
        <c:crosses val="autoZero"/>
        <c:crossBetween val="midCat"/>
      </c:valAx>
      <c:valAx>
        <c:axId val="6393537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'POUSO ALEGRE'!$J$1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ALEGRE'!$J$2:$J$33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D5-49E6-BE48-931AE6879ACA}"/>
            </c:ext>
          </c:extLst>
        </c:ser>
        <c:ser>
          <c:idx val="1"/>
          <c:order val="1"/>
          <c:tx>
            <c:strRef>
              <c:f>'POUSO ALEGRE'!$N$1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ALEGRE'!$N$2:$N$33</c:f>
              <c:numCache>
                <c:formatCode>0.00</c:formatCode>
                <c:ptCount val="32"/>
                <c:pt idx="0">
                  <c:v>5.6022408963585435E-3</c:v>
                </c:pt>
                <c:pt idx="1">
                  <c:v>2.5210084033613446E-2</c:v>
                </c:pt>
                <c:pt idx="2">
                  <c:v>2.8011204481792718E-2</c:v>
                </c:pt>
                <c:pt idx="3">
                  <c:v>3.6414565826330535E-2</c:v>
                </c:pt>
                <c:pt idx="4">
                  <c:v>4.2016806722689079E-2</c:v>
                </c:pt>
                <c:pt idx="5">
                  <c:v>4.7619047619047623E-2</c:v>
                </c:pt>
                <c:pt idx="6">
                  <c:v>9.8039215686274522E-2</c:v>
                </c:pt>
                <c:pt idx="7">
                  <c:v>0.1204481792717087</c:v>
                </c:pt>
                <c:pt idx="8">
                  <c:v>0.13165266106442577</c:v>
                </c:pt>
                <c:pt idx="9">
                  <c:v>0.13445378151260504</c:v>
                </c:pt>
                <c:pt idx="10">
                  <c:v>0.14005602240896359</c:v>
                </c:pt>
                <c:pt idx="11">
                  <c:v>0.14565826330532214</c:v>
                </c:pt>
                <c:pt idx="12">
                  <c:v>0.16246498599439776</c:v>
                </c:pt>
                <c:pt idx="13">
                  <c:v>0.17366946778711484</c:v>
                </c:pt>
                <c:pt idx="14">
                  <c:v>0.18207282913165265</c:v>
                </c:pt>
                <c:pt idx="15">
                  <c:v>0.19047619047619047</c:v>
                </c:pt>
                <c:pt idx="16">
                  <c:v>0.20448179271708683</c:v>
                </c:pt>
                <c:pt idx="17">
                  <c:v>0.2156862745098039</c:v>
                </c:pt>
                <c:pt idx="18">
                  <c:v>0.21848739495798317</c:v>
                </c:pt>
                <c:pt idx="19">
                  <c:v>0.22689075630252098</c:v>
                </c:pt>
                <c:pt idx="20">
                  <c:v>0.24089635854341734</c:v>
                </c:pt>
                <c:pt idx="21">
                  <c:v>0.24089635854341734</c:v>
                </c:pt>
                <c:pt idx="22">
                  <c:v>0.25490196078431371</c:v>
                </c:pt>
                <c:pt idx="23">
                  <c:v>0.26890756302521007</c:v>
                </c:pt>
                <c:pt idx="24">
                  <c:v>0.29411764705882354</c:v>
                </c:pt>
                <c:pt idx="25">
                  <c:v>0.33333333333333337</c:v>
                </c:pt>
                <c:pt idx="26">
                  <c:v>0.35574229691876752</c:v>
                </c:pt>
                <c:pt idx="27">
                  <c:v>0.36974789915966388</c:v>
                </c:pt>
                <c:pt idx="28">
                  <c:v>0.45658263305322133</c:v>
                </c:pt>
                <c:pt idx="29">
                  <c:v>0.46778711484593843</c:v>
                </c:pt>
                <c:pt idx="30">
                  <c:v>0.61904761904761907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D5-49E6-BE48-931AE6879ACA}"/>
            </c:ext>
          </c:extLst>
        </c:ser>
        <c:ser>
          <c:idx val="2"/>
          <c:order val="2"/>
          <c:tx>
            <c:strRef>
              <c:f>'POUSO ALEGRE'!$O$1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ALEGRE'!$O$2:$O$33</c:f>
              <c:numCache>
                <c:formatCode>0.00</c:formatCode>
                <c:ptCount val="32"/>
                <c:pt idx="0">
                  <c:v>1.976284584980237E-3</c:v>
                </c:pt>
                <c:pt idx="1">
                  <c:v>1.5810276679841896E-2</c:v>
                </c:pt>
                <c:pt idx="2">
                  <c:v>2.569169960474308E-2</c:v>
                </c:pt>
                <c:pt idx="3">
                  <c:v>3.5573122529644265E-2</c:v>
                </c:pt>
                <c:pt idx="4">
                  <c:v>4.7430830039525688E-2</c:v>
                </c:pt>
                <c:pt idx="5">
                  <c:v>5.7312252964426873E-2</c:v>
                </c:pt>
                <c:pt idx="6">
                  <c:v>7.1146245059288529E-2</c:v>
                </c:pt>
                <c:pt idx="7">
                  <c:v>9.0909090909090898E-2</c:v>
                </c:pt>
                <c:pt idx="8">
                  <c:v>9.4861660079051377E-2</c:v>
                </c:pt>
                <c:pt idx="9">
                  <c:v>9.6837944664031617E-2</c:v>
                </c:pt>
                <c:pt idx="10">
                  <c:v>0.11462450592885376</c:v>
                </c:pt>
                <c:pt idx="11">
                  <c:v>0.11857707509881424</c:v>
                </c:pt>
                <c:pt idx="12">
                  <c:v>0.12450592885375494</c:v>
                </c:pt>
                <c:pt idx="13">
                  <c:v>0.14229249011857709</c:v>
                </c:pt>
                <c:pt idx="14">
                  <c:v>0.1798418972332016</c:v>
                </c:pt>
                <c:pt idx="15">
                  <c:v>0.18972332015810278</c:v>
                </c:pt>
                <c:pt idx="16">
                  <c:v>0.20553359683794467</c:v>
                </c:pt>
                <c:pt idx="17">
                  <c:v>0.21146245059288538</c:v>
                </c:pt>
                <c:pt idx="18">
                  <c:v>0.2608695652173913</c:v>
                </c:pt>
                <c:pt idx="19">
                  <c:v>0.27667984189723321</c:v>
                </c:pt>
                <c:pt idx="20">
                  <c:v>0.29841897233201581</c:v>
                </c:pt>
                <c:pt idx="21">
                  <c:v>0.30434782608695654</c:v>
                </c:pt>
                <c:pt idx="22">
                  <c:v>0.31422924901185773</c:v>
                </c:pt>
                <c:pt idx="23">
                  <c:v>0.36363636363636365</c:v>
                </c:pt>
                <c:pt idx="24">
                  <c:v>0.3932806324110672</c:v>
                </c:pt>
                <c:pt idx="25">
                  <c:v>0.47035573122529645</c:v>
                </c:pt>
                <c:pt idx="26">
                  <c:v>0.49209486166007904</c:v>
                </c:pt>
                <c:pt idx="27">
                  <c:v>0.51383399209486169</c:v>
                </c:pt>
                <c:pt idx="28">
                  <c:v>0.54940711462450598</c:v>
                </c:pt>
                <c:pt idx="29">
                  <c:v>0.55731225296442688</c:v>
                </c:pt>
                <c:pt idx="30">
                  <c:v>0.70750988142292492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D5-49E6-BE48-931AE6879ACA}"/>
            </c:ext>
          </c:extLst>
        </c:ser>
        <c:ser>
          <c:idx val="3"/>
          <c:order val="3"/>
          <c:tx>
            <c:strRef>
              <c:f>'POUSO ALEGRE'!$P$1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ALEGRE'!$P$2:$P$33</c:f>
              <c:numCache>
                <c:formatCode>0.00</c:formatCode>
                <c:ptCount val="32"/>
                <c:pt idx="0">
                  <c:v>1.3114754098360656E-2</c:v>
                </c:pt>
                <c:pt idx="1">
                  <c:v>1.9672131147540982E-2</c:v>
                </c:pt>
                <c:pt idx="2">
                  <c:v>2.6229508196721311E-2</c:v>
                </c:pt>
                <c:pt idx="3">
                  <c:v>2.6229508196721311E-2</c:v>
                </c:pt>
                <c:pt idx="4">
                  <c:v>3.2786885245901641E-2</c:v>
                </c:pt>
                <c:pt idx="5">
                  <c:v>3.6065573770491806E-2</c:v>
                </c:pt>
                <c:pt idx="6">
                  <c:v>5.2459016393442623E-2</c:v>
                </c:pt>
                <c:pt idx="7">
                  <c:v>5.9016393442622953E-2</c:v>
                </c:pt>
                <c:pt idx="8">
                  <c:v>6.5573770491803282E-2</c:v>
                </c:pt>
                <c:pt idx="9">
                  <c:v>6.5573770491803282E-2</c:v>
                </c:pt>
                <c:pt idx="10">
                  <c:v>8.1967213114754106E-2</c:v>
                </c:pt>
                <c:pt idx="11">
                  <c:v>8.1967213114754106E-2</c:v>
                </c:pt>
                <c:pt idx="12">
                  <c:v>9.5081967213114765E-2</c:v>
                </c:pt>
                <c:pt idx="13">
                  <c:v>0.11147540983606559</c:v>
                </c:pt>
                <c:pt idx="14">
                  <c:v>0.16065573770491803</c:v>
                </c:pt>
                <c:pt idx="15">
                  <c:v>0.16065573770491803</c:v>
                </c:pt>
                <c:pt idx="16">
                  <c:v>0.19344262295081968</c:v>
                </c:pt>
                <c:pt idx="17">
                  <c:v>0.20655737704918034</c:v>
                </c:pt>
                <c:pt idx="18">
                  <c:v>0.25573770491803283</c:v>
                </c:pt>
                <c:pt idx="19">
                  <c:v>0.27213114754098366</c:v>
                </c:pt>
                <c:pt idx="20">
                  <c:v>0.31475409836065582</c:v>
                </c:pt>
                <c:pt idx="21">
                  <c:v>0.3245901639344263</c:v>
                </c:pt>
                <c:pt idx="22">
                  <c:v>0.33770491803278696</c:v>
                </c:pt>
                <c:pt idx="23">
                  <c:v>0.35081967213114762</c:v>
                </c:pt>
                <c:pt idx="24">
                  <c:v>0.3901639344262296</c:v>
                </c:pt>
                <c:pt idx="25">
                  <c:v>0.46557377049180337</c:v>
                </c:pt>
                <c:pt idx="26">
                  <c:v>0.46885245901639355</c:v>
                </c:pt>
                <c:pt idx="27">
                  <c:v>0.49836065573770505</c:v>
                </c:pt>
                <c:pt idx="28">
                  <c:v>0.54754098360655745</c:v>
                </c:pt>
                <c:pt idx="29">
                  <c:v>0.55409836065573781</c:v>
                </c:pt>
                <c:pt idx="30">
                  <c:v>0.73770491803278704</c:v>
                </c:pt>
                <c:pt idx="31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D5-49E6-BE48-931AE6879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0304"/>
        <c:axId val="2055207504"/>
      </c:scatterChart>
      <c:valAx>
        <c:axId val="20552003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7504"/>
        <c:crosses val="autoZero"/>
        <c:crossBetween val="midCat"/>
      </c:valAx>
      <c:valAx>
        <c:axId val="2055207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LOURENÇO'!$J$1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LOURENÇO'!$J$2:$J$25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04-4B4C-B3A8-33965F0E9AF6}"/>
            </c:ext>
          </c:extLst>
        </c:ser>
        <c:ser>
          <c:idx val="1"/>
          <c:order val="1"/>
          <c:tx>
            <c:strRef>
              <c:f>'SÃO LOURENÇO'!$K$1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LOURENÇO'!$K$2:$K$25</c:f>
              <c:numCache>
                <c:formatCode>0.00</c:formatCode>
                <c:ptCount val="24"/>
                <c:pt idx="0">
                  <c:v>1.7985611510791366E-2</c:v>
                </c:pt>
                <c:pt idx="1">
                  <c:v>2.1582733812949638E-2</c:v>
                </c:pt>
                <c:pt idx="2">
                  <c:v>2.8776978417266185E-2</c:v>
                </c:pt>
                <c:pt idx="3">
                  <c:v>2.8776978417266185E-2</c:v>
                </c:pt>
                <c:pt idx="4">
                  <c:v>3.237410071942446E-2</c:v>
                </c:pt>
                <c:pt idx="5">
                  <c:v>4.6762589928057555E-2</c:v>
                </c:pt>
                <c:pt idx="6">
                  <c:v>6.83453237410072E-2</c:v>
                </c:pt>
                <c:pt idx="7">
                  <c:v>9.7122302158273388E-2</c:v>
                </c:pt>
                <c:pt idx="8">
                  <c:v>0.11151079136690648</c:v>
                </c:pt>
                <c:pt idx="9">
                  <c:v>0.12949640287769784</c:v>
                </c:pt>
                <c:pt idx="10">
                  <c:v>0.15107913669064749</c:v>
                </c:pt>
                <c:pt idx="11">
                  <c:v>0.18345323741007194</c:v>
                </c:pt>
                <c:pt idx="12">
                  <c:v>0.20143884892086331</c:v>
                </c:pt>
                <c:pt idx="13">
                  <c:v>0.23381294964028776</c:v>
                </c:pt>
                <c:pt idx="14">
                  <c:v>0.25539568345323738</c:v>
                </c:pt>
                <c:pt idx="15">
                  <c:v>0.29856115107913667</c:v>
                </c:pt>
                <c:pt idx="16">
                  <c:v>0.33812949640287765</c:v>
                </c:pt>
                <c:pt idx="17">
                  <c:v>0.47841726618705027</c:v>
                </c:pt>
                <c:pt idx="18">
                  <c:v>0.514388489208633</c:v>
                </c:pt>
                <c:pt idx="19">
                  <c:v>0.54676258992805749</c:v>
                </c:pt>
                <c:pt idx="20">
                  <c:v>0.74460431654676251</c:v>
                </c:pt>
                <c:pt idx="21">
                  <c:v>0.77697841726618699</c:v>
                </c:pt>
                <c:pt idx="22" formatCode="0.000">
                  <c:v>0.86330935251798557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04-4B4C-B3A8-33965F0E9AF6}"/>
            </c:ext>
          </c:extLst>
        </c:ser>
        <c:ser>
          <c:idx val="2"/>
          <c:order val="2"/>
          <c:tx>
            <c:strRef>
              <c:f>'SÃO LOURENÇO'!$L$1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LOURENÇO'!$L$2:$L$25</c:f>
              <c:numCache>
                <c:formatCode>0.00</c:formatCode>
                <c:ptCount val="24"/>
                <c:pt idx="0">
                  <c:v>1.2422360248447204E-2</c:v>
                </c:pt>
                <c:pt idx="1">
                  <c:v>1.8633540372670808E-2</c:v>
                </c:pt>
                <c:pt idx="2">
                  <c:v>1.8633540372670808E-2</c:v>
                </c:pt>
                <c:pt idx="3">
                  <c:v>2.4844720496894408E-2</c:v>
                </c:pt>
                <c:pt idx="4">
                  <c:v>4.9689440993788817E-2</c:v>
                </c:pt>
                <c:pt idx="5">
                  <c:v>4.9689440993788817E-2</c:v>
                </c:pt>
                <c:pt idx="6">
                  <c:v>6.8322981366459618E-2</c:v>
                </c:pt>
                <c:pt idx="7">
                  <c:v>9.9378881987577633E-2</c:v>
                </c:pt>
                <c:pt idx="8">
                  <c:v>0.10559006211180123</c:v>
                </c:pt>
                <c:pt idx="9">
                  <c:v>0.10559006211180123</c:v>
                </c:pt>
                <c:pt idx="10">
                  <c:v>0.16149068322981366</c:v>
                </c:pt>
                <c:pt idx="11">
                  <c:v>0.18012422360248448</c:v>
                </c:pt>
                <c:pt idx="12">
                  <c:v>0.19254658385093168</c:v>
                </c:pt>
                <c:pt idx="13">
                  <c:v>0.19254658385093168</c:v>
                </c:pt>
                <c:pt idx="14">
                  <c:v>0.21739130434782608</c:v>
                </c:pt>
                <c:pt idx="15">
                  <c:v>0.22981366459627328</c:v>
                </c:pt>
                <c:pt idx="16">
                  <c:v>0.26708074534161491</c:v>
                </c:pt>
                <c:pt idx="17">
                  <c:v>0.39130434782608697</c:v>
                </c:pt>
                <c:pt idx="18">
                  <c:v>0.47204968944099379</c:v>
                </c:pt>
                <c:pt idx="19">
                  <c:v>0.54037267080745344</c:v>
                </c:pt>
                <c:pt idx="20">
                  <c:v>0.73291925465838514</c:v>
                </c:pt>
                <c:pt idx="21">
                  <c:v>0.75155279503105599</c:v>
                </c:pt>
                <c:pt idx="22" formatCode="0.000">
                  <c:v>0.84472049689440998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04-4B4C-B3A8-33965F0E9AF6}"/>
            </c:ext>
          </c:extLst>
        </c:ser>
        <c:ser>
          <c:idx val="3"/>
          <c:order val="3"/>
          <c:tx>
            <c:strRef>
              <c:f>'SÃO LOURENÇO'!$M$1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LOURENÇO'!$M$2:$M$25</c:f>
              <c:numCache>
                <c:formatCode>0.00</c:formatCode>
                <c:ptCount val="24"/>
                <c:pt idx="0">
                  <c:v>1.3422818791946308E-2</c:v>
                </c:pt>
                <c:pt idx="1">
                  <c:v>2.0134228187919462E-2</c:v>
                </c:pt>
                <c:pt idx="2">
                  <c:v>2.6845637583892617E-2</c:v>
                </c:pt>
                <c:pt idx="3">
                  <c:v>3.3557046979865772E-2</c:v>
                </c:pt>
                <c:pt idx="4">
                  <c:v>3.3557046979865772E-2</c:v>
                </c:pt>
                <c:pt idx="5">
                  <c:v>3.3557046979865772E-2</c:v>
                </c:pt>
                <c:pt idx="6">
                  <c:v>4.6979865771812082E-2</c:v>
                </c:pt>
                <c:pt idx="7">
                  <c:v>6.0402684563758392E-2</c:v>
                </c:pt>
                <c:pt idx="8">
                  <c:v>6.7114093959731544E-2</c:v>
                </c:pt>
                <c:pt idx="9">
                  <c:v>8.7248322147651006E-2</c:v>
                </c:pt>
                <c:pt idx="10">
                  <c:v>0.11409395973154363</c:v>
                </c:pt>
                <c:pt idx="11">
                  <c:v>0.11409395973154363</c:v>
                </c:pt>
                <c:pt idx="12">
                  <c:v>0.14093959731543623</c:v>
                </c:pt>
                <c:pt idx="13">
                  <c:v>0.16107382550335569</c:v>
                </c:pt>
                <c:pt idx="14">
                  <c:v>0.1879194630872483</c:v>
                </c:pt>
                <c:pt idx="15">
                  <c:v>0.20134228187919462</c:v>
                </c:pt>
                <c:pt idx="16">
                  <c:v>0.22147651006711408</c:v>
                </c:pt>
                <c:pt idx="17">
                  <c:v>0.33557046979865768</c:v>
                </c:pt>
                <c:pt idx="18">
                  <c:v>0.36912751677852346</c:v>
                </c:pt>
                <c:pt idx="19">
                  <c:v>0.40939597315436238</c:v>
                </c:pt>
                <c:pt idx="20">
                  <c:v>0.75838926174496635</c:v>
                </c:pt>
                <c:pt idx="21">
                  <c:v>0.81208053691275162</c:v>
                </c:pt>
                <c:pt idx="22" formatCode="0.000">
                  <c:v>0.88590604026845632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04-4B4C-B3A8-33965F0E9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200848"/>
        <c:axId val="668190288"/>
      </c:scatterChart>
      <c:valAx>
        <c:axId val="6682008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190288"/>
        <c:crosses val="autoZero"/>
        <c:crossBetween val="midCat"/>
      </c:valAx>
      <c:valAx>
        <c:axId val="6681902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20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LOURENÇO'!$J$1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LOURENÇO'!$J$2:$J$25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64-41DB-89BC-57E8E9092B29}"/>
            </c:ext>
          </c:extLst>
        </c:ser>
        <c:ser>
          <c:idx val="1"/>
          <c:order val="1"/>
          <c:tx>
            <c:strRef>
              <c:f>'SÃO LOURENÇO'!$N$1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LOURENÇO'!$N$2:$N$25</c:f>
              <c:numCache>
                <c:formatCode>0.00</c:formatCode>
                <c:ptCount val="24"/>
                <c:pt idx="0">
                  <c:v>1.7977528089887642E-2</c:v>
                </c:pt>
                <c:pt idx="1">
                  <c:v>2.0224719101123598E-2</c:v>
                </c:pt>
                <c:pt idx="2">
                  <c:v>2.921348314606742E-2</c:v>
                </c:pt>
                <c:pt idx="3">
                  <c:v>3.1460674157303373E-2</c:v>
                </c:pt>
                <c:pt idx="4">
                  <c:v>4.9438202247191018E-2</c:v>
                </c:pt>
                <c:pt idx="5">
                  <c:v>5.8426966292134841E-2</c:v>
                </c:pt>
                <c:pt idx="6">
                  <c:v>7.415730337078652E-2</c:v>
                </c:pt>
                <c:pt idx="7">
                  <c:v>8.5393258426966295E-2</c:v>
                </c:pt>
                <c:pt idx="8">
                  <c:v>0.1101123595505618</c:v>
                </c:pt>
                <c:pt idx="9">
                  <c:v>0.12359550561797752</c:v>
                </c:pt>
                <c:pt idx="10">
                  <c:v>0.15505617977528091</c:v>
                </c:pt>
                <c:pt idx="11">
                  <c:v>0.17303370786516856</c:v>
                </c:pt>
                <c:pt idx="12">
                  <c:v>0.20674157303370788</c:v>
                </c:pt>
                <c:pt idx="13">
                  <c:v>0.21797752808988766</c:v>
                </c:pt>
                <c:pt idx="14">
                  <c:v>0.25393258426966292</c:v>
                </c:pt>
                <c:pt idx="15">
                  <c:v>0.27191011235955054</c:v>
                </c:pt>
                <c:pt idx="16">
                  <c:v>0.34382022471910112</c:v>
                </c:pt>
                <c:pt idx="17">
                  <c:v>0.46292134831460674</c:v>
                </c:pt>
                <c:pt idx="18">
                  <c:v>0.48764044943820223</c:v>
                </c:pt>
                <c:pt idx="19">
                  <c:v>0.54382022471910108</c:v>
                </c:pt>
                <c:pt idx="20">
                  <c:v>0.72134831460674154</c:v>
                </c:pt>
                <c:pt idx="21">
                  <c:v>0.7528089887640449</c:v>
                </c:pt>
                <c:pt idx="22" formatCode="0.000">
                  <c:v>0.87415730337078645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64-41DB-89BC-57E8E9092B29}"/>
            </c:ext>
          </c:extLst>
        </c:ser>
        <c:ser>
          <c:idx val="2"/>
          <c:order val="2"/>
          <c:tx>
            <c:strRef>
              <c:f>'SÃO LOURENÇO'!$O$1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LOURENÇO'!$O$2:$O$25</c:f>
              <c:numCache>
                <c:formatCode>0.00</c:formatCode>
                <c:ptCount val="24"/>
                <c:pt idx="0">
                  <c:v>1.6366612111292963E-3</c:v>
                </c:pt>
                <c:pt idx="1">
                  <c:v>8.1833060556464818E-3</c:v>
                </c:pt>
                <c:pt idx="2">
                  <c:v>1.1456628477905075E-2</c:v>
                </c:pt>
                <c:pt idx="3">
                  <c:v>1.3093289689034371E-2</c:v>
                </c:pt>
                <c:pt idx="4">
                  <c:v>3.927986906710311E-2</c:v>
                </c:pt>
                <c:pt idx="5">
                  <c:v>6.5466448445171854E-2</c:v>
                </c:pt>
                <c:pt idx="6">
                  <c:v>8.346972176759411E-2</c:v>
                </c:pt>
                <c:pt idx="7">
                  <c:v>0.10147299509001637</c:v>
                </c:pt>
                <c:pt idx="8">
                  <c:v>0.11947626841243862</c:v>
                </c:pt>
                <c:pt idx="9">
                  <c:v>0.13093289689034371</c:v>
                </c:pt>
                <c:pt idx="10">
                  <c:v>0.14893617021276598</c:v>
                </c:pt>
                <c:pt idx="11">
                  <c:v>0.17184942716857612</c:v>
                </c:pt>
                <c:pt idx="12">
                  <c:v>0.22585924713584291</c:v>
                </c:pt>
                <c:pt idx="13">
                  <c:v>0.25859247135842883</c:v>
                </c:pt>
                <c:pt idx="14">
                  <c:v>0.33387888707037644</c:v>
                </c:pt>
                <c:pt idx="15">
                  <c:v>0.39116202945990181</c:v>
                </c:pt>
                <c:pt idx="16">
                  <c:v>0.47135842880523732</c:v>
                </c:pt>
                <c:pt idx="17">
                  <c:v>0.56464811783960722</c:v>
                </c:pt>
                <c:pt idx="18">
                  <c:v>0.59901800327332244</c:v>
                </c:pt>
                <c:pt idx="19">
                  <c:v>0.66448445171849424</c:v>
                </c:pt>
                <c:pt idx="20">
                  <c:v>0.76595744680851063</c:v>
                </c:pt>
                <c:pt idx="21">
                  <c:v>0.81669394435351883</c:v>
                </c:pt>
                <c:pt idx="22" formatCode="0.000">
                  <c:v>0.88379705400982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64-41DB-89BC-57E8E9092B29}"/>
            </c:ext>
          </c:extLst>
        </c:ser>
        <c:ser>
          <c:idx val="3"/>
          <c:order val="3"/>
          <c:tx>
            <c:strRef>
              <c:f>'SÃO LOURENÇO'!$P$1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LOURENÇO'!$P$2:$P$25</c:f>
              <c:numCache>
                <c:formatCode>0.00</c:formatCode>
                <c:ptCount val="24"/>
                <c:pt idx="0">
                  <c:v>2.0050125313283207E-2</c:v>
                </c:pt>
                <c:pt idx="1">
                  <c:v>2.0050125313283207E-2</c:v>
                </c:pt>
                <c:pt idx="2">
                  <c:v>2.2556390977443608E-2</c:v>
                </c:pt>
                <c:pt idx="3">
                  <c:v>3.7593984962406013E-2</c:v>
                </c:pt>
                <c:pt idx="4">
                  <c:v>5.2631578947368418E-2</c:v>
                </c:pt>
                <c:pt idx="5">
                  <c:v>5.5137844611528819E-2</c:v>
                </c:pt>
                <c:pt idx="6">
                  <c:v>7.0175438596491224E-2</c:v>
                </c:pt>
                <c:pt idx="7">
                  <c:v>8.2706766917293228E-2</c:v>
                </c:pt>
                <c:pt idx="8">
                  <c:v>9.5238095238095233E-2</c:v>
                </c:pt>
                <c:pt idx="9">
                  <c:v>0.10526315789473684</c:v>
                </c:pt>
                <c:pt idx="10">
                  <c:v>0.12030075187969924</c:v>
                </c:pt>
                <c:pt idx="11">
                  <c:v>0.13283208020050125</c:v>
                </c:pt>
                <c:pt idx="12">
                  <c:v>0.16541353383458646</c:v>
                </c:pt>
                <c:pt idx="13">
                  <c:v>0.2882205513784461</c:v>
                </c:pt>
                <c:pt idx="14">
                  <c:v>0.39598997493734334</c:v>
                </c:pt>
                <c:pt idx="15">
                  <c:v>0.41854636591478694</c:v>
                </c:pt>
                <c:pt idx="16">
                  <c:v>0.47117794486215536</c:v>
                </c:pt>
                <c:pt idx="17">
                  <c:v>0.53634085213032578</c:v>
                </c:pt>
                <c:pt idx="18">
                  <c:v>0.581453634085213</c:v>
                </c:pt>
                <c:pt idx="19">
                  <c:v>0.66666666666666663</c:v>
                </c:pt>
                <c:pt idx="20">
                  <c:v>0.8571428571428571</c:v>
                </c:pt>
                <c:pt idx="21">
                  <c:v>0.89724310776942351</c:v>
                </c:pt>
                <c:pt idx="22" formatCode="0.000">
                  <c:v>0.94987468671679198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64-41DB-89BC-57E8E9092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67568"/>
        <c:axId val="735670448"/>
      </c:scatterChart>
      <c:valAx>
        <c:axId val="7356675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70448"/>
        <c:crosses val="autoZero"/>
        <c:crossBetween val="midCat"/>
      </c:valAx>
      <c:valAx>
        <c:axId val="7356704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6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SEBASTIÃO DO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PARAÍSO'!$J$2:$J$7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F-4BB1-B045-93124CA6C0E5}"/>
            </c:ext>
          </c:extLst>
        </c:ser>
        <c:ser>
          <c:idx val="1"/>
          <c:order val="1"/>
          <c:tx>
            <c:strRef>
              <c:f>'SÃO SEBASTIÃO DO PARAÍSO'!$K$1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PARAÍSO'!$K$2:$K$7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3.2258064516129031E-2</c:v>
                </c:pt>
                <c:pt idx="3">
                  <c:v>7.5268817204301078E-2</c:v>
                </c:pt>
                <c:pt idx="4">
                  <c:v>0.19354838709677419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F-4BB1-B045-93124CA6C0E5}"/>
            </c:ext>
          </c:extLst>
        </c:ser>
        <c:ser>
          <c:idx val="2"/>
          <c:order val="2"/>
          <c:tx>
            <c:strRef>
              <c:f>'SÃO SEBASTIÃO DO PARAÍSO'!$L$1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PARAÍSO'!$L$2:$L$7</c:f>
              <c:numCache>
                <c:formatCode>0.00</c:formatCode>
                <c:ptCount val="6"/>
                <c:pt idx="0">
                  <c:v>1.6528925619834711E-2</c:v>
                </c:pt>
                <c:pt idx="1">
                  <c:v>1.6528925619834711E-2</c:v>
                </c:pt>
                <c:pt idx="2">
                  <c:v>3.3057851239669422E-2</c:v>
                </c:pt>
                <c:pt idx="3">
                  <c:v>4.9586776859504134E-2</c:v>
                </c:pt>
                <c:pt idx="4">
                  <c:v>0.12396694214876033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DF-4BB1-B045-93124CA6C0E5}"/>
            </c:ext>
          </c:extLst>
        </c:ser>
        <c:ser>
          <c:idx val="3"/>
          <c:order val="3"/>
          <c:tx>
            <c:strRef>
              <c:f>'SÃO SEBASTIÃO DO PARAÍSO'!$M$1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PARAÍSO'!$M$2:$M$7</c:f>
              <c:numCache>
                <c:formatCode>0.00</c:formatCode>
                <c:ptCount val="6"/>
                <c:pt idx="0">
                  <c:v>2.3809523809523808E-2</c:v>
                </c:pt>
                <c:pt idx="1">
                  <c:v>2.3809523809523808E-2</c:v>
                </c:pt>
                <c:pt idx="2">
                  <c:v>0.14285714285714285</c:v>
                </c:pt>
                <c:pt idx="3">
                  <c:v>0.21428571428571427</c:v>
                </c:pt>
                <c:pt idx="4">
                  <c:v>0.30952380952380953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DF-4BB1-B045-93124CA6C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489936"/>
        <c:axId val="650490896"/>
      </c:scatterChart>
      <c:valAx>
        <c:axId val="6504899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490896"/>
        <c:crosses val="autoZero"/>
        <c:crossBetween val="midCat"/>
      </c:valAx>
      <c:valAx>
        <c:axId val="6504908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489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SEBASTIÃO DO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PARAÍSO'!$J$2:$J$7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31-44CB-8D2C-BA2D2DF4B2C5}"/>
            </c:ext>
          </c:extLst>
        </c:ser>
        <c:ser>
          <c:idx val="1"/>
          <c:order val="1"/>
          <c:tx>
            <c:strRef>
              <c:f>'SÃO SEBASTIÃO DO PARAÍSO'!$N$1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PARAÍSO'!$N$2:$N$7</c:f>
              <c:numCache>
                <c:formatCode>0.00</c:formatCode>
                <c:ptCount val="6"/>
                <c:pt idx="0">
                  <c:v>5.3030303030303032E-2</c:v>
                </c:pt>
                <c:pt idx="1">
                  <c:v>7.575757575757576E-2</c:v>
                </c:pt>
                <c:pt idx="2">
                  <c:v>0.10227272727272728</c:v>
                </c:pt>
                <c:pt idx="3">
                  <c:v>0.14015151515151517</c:v>
                </c:pt>
                <c:pt idx="4">
                  <c:v>0.27651515151515149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31-44CB-8D2C-BA2D2DF4B2C5}"/>
            </c:ext>
          </c:extLst>
        </c:ser>
        <c:ser>
          <c:idx val="2"/>
          <c:order val="2"/>
          <c:tx>
            <c:strRef>
              <c:f>'SÃO SEBASTIÃO DO PARAÍSO'!$O$1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PARAÍSO'!$O$2:$O$7</c:f>
              <c:numCache>
                <c:formatCode>0.00</c:formatCode>
                <c:ptCount val="6"/>
                <c:pt idx="0">
                  <c:v>5.7142857142857141E-2</c:v>
                </c:pt>
                <c:pt idx="1">
                  <c:v>0.11785714285714285</c:v>
                </c:pt>
                <c:pt idx="2">
                  <c:v>0.15357142857142858</c:v>
                </c:pt>
                <c:pt idx="3">
                  <c:v>0.25</c:v>
                </c:pt>
                <c:pt idx="4">
                  <c:v>0.31428571428571428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31-44CB-8D2C-BA2D2DF4B2C5}"/>
            </c:ext>
          </c:extLst>
        </c:ser>
        <c:ser>
          <c:idx val="3"/>
          <c:order val="3"/>
          <c:tx>
            <c:strRef>
              <c:f>'SÃO SEBASTIÃO DO PARAÍSO'!$P$1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PARAÍSO'!$P$2:$P$7</c:f>
              <c:numCache>
                <c:formatCode>0.00</c:formatCode>
                <c:ptCount val="6"/>
                <c:pt idx="0">
                  <c:v>3.125E-2</c:v>
                </c:pt>
                <c:pt idx="1">
                  <c:v>5.7291666666666671E-2</c:v>
                </c:pt>
                <c:pt idx="2">
                  <c:v>7.8125E-2</c:v>
                </c:pt>
                <c:pt idx="3">
                  <c:v>0.19270833333333331</c:v>
                </c:pt>
                <c:pt idx="4">
                  <c:v>0.265625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31-44CB-8D2C-BA2D2DF4B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01456"/>
        <c:axId val="650501936"/>
      </c:scatterChart>
      <c:valAx>
        <c:axId val="650501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1936"/>
        <c:crosses val="autoZero"/>
        <c:crossBetween val="midCat"/>
      </c:valAx>
      <c:valAx>
        <c:axId val="650501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CORAÇÕES'!$J$1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CORAÇÕES'!$J$2:$J$7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DF-4B46-895C-C95C9DEA3AED}"/>
            </c:ext>
          </c:extLst>
        </c:ser>
        <c:ser>
          <c:idx val="1"/>
          <c:order val="1"/>
          <c:tx>
            <c:strRef>
              <c:f>'TRÊS CORAÇÕES'!$K$1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CORAÇÕES'!$K$2:$K$7</c:f>
              <c:numCache>
                <c:formatCode>0.00</c:formatCode>
                <c:ptCount val="6"/>
                <c:pt idx="0">
                  <c:v>6.4102564102564097E-2</c:v>
                </c:pt>
                <c:pt idx="1">
                  <c:v>0.14102564102564102</c:v>
                </c:pt>
                <c:pt idx="2">
                  <c:v>0.21794871794871795</c:v>
                </c:pt>
                <c:pt idx="3">
                  <c:v>0.25641025641025639</c:v>
                </c:pt>
                <c:pt idx="4">
                  <c:v>0.33333333333333331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DF-4B46-895C-C95C9DEA3AED}"/>
            </c:ext>
          </c:extLst>
        </c:ser>
        <c:ser>
          <c:idx val="2"/>
          <c:order val="2"/>
          <c:tx>
            <c:strRef>
              <c:f>'TRÊS CORAÇÕES'!$L$1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CORAÇÕES'!$L$2:$L$7</c:f>
              <c:numCache>
                <c:formatCode>0.00</c:formatCode>
                <c:ptCount val="6"/>
                <c:pt idx="0">
                  <c:v>0</c:v>
                </c:pt>
                <c:pt idx="1">
                  <c:v>8.6956521739130432E-2</c:v>
                </c:pt>
                <c:pt idx="2">
                  <c:v>0.2608695652173913</c:v>
                </c:pt>
                <c:pt idx="3">
                  <c:v>0.34782608695652173</c:v>
                </c:pt>
                <c:pt idx="4">
                  <c:v>0.43478260869565216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DF-4B46-895C-C95C9DEA3AED}"/>
            </c:ext>
          </c:extLst>
        </c:ser>
        <c:ser>
          <c:idx val="3"/>
          <c:order val="3"/>
          <c:tx>
            <c:strRef>
              <c:f>'TRÊS CORAÇÕES'!$M$1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CORAÇÕES'!$M$2:$M$7</c:f>
              <c:numCache>
                <c:formatCode>0.00</c:formatCode>
                <c:ptCount val="6"/>
                <c:pt idx="0">
                  <c:v>2.8571428571428571E-2</c:v>
                </c:pt>
                <c:pt idx="1">
                  <c:v>0.17142857142857143</c:v>
                </c:pt>
                <c:pt idx="2">
                  <c:v>0.22857142857142856</c:v>
                </c:pt>
                <c:pt idx="3">
                  <c:v>0.37142857142857144</c:v>
                </c:pt>
                <c:pt idx="4">
                  <c:v>0.45714285714285718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DF-4B46-895C-C95C9DEA3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204688"/>
        <c:axId val="668203728"/>
      </c:scatterChart>
      <c:valAx>
        <c:axId val="6682046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203728"/>
        <c:crosses val="autoZero"/>
        <c:crossBetween val="midCat"/>
      </c:valAx>
      <c:valAx>
        <c:axId val="668203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20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CORAÇÕES'!$J$1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CORAÇÕES'!$J$2:$J$7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AF-4F47-A776-0BF422E45DCC}"/>
            </c:ext>
          </c:extLst>
        </c:ser>
        <c:ser>
          <c:idx val="1"/>
          <c:order val="1"/>
          <c:tx>
            <c:strRef>
              <c:f>'TRÊS CORAÇÕES'!$N$1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CORAÇÕES'!$N$2:$N$7</c:f>
              <c:numCache>
                <c:formatCode>0.00</c:formatCode>
                <c:ptCount val="6"/>
                <c:pt idx="0">
                  <c:v>1.1235955056179775E-2</c:v>
                </c:pt>
                <c:pt idx="1">
                  <c:v>7.8651685393258425E-2</c:v>
                </c:pt>
                <c:pt idx="2">
                  <c:v>0.16853932584269662</c:v>
                </c:pt>
                <c:pt idx="3">
                  <c:v>0.3033707865168539</c:v>
                </c:pt>
                <c:pt idx="4">
                  <c:v>0.32584269662921345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AF-4F47-A776-0BF422E45DCC}"/>
            </c:ext>
          </c:extLst>
        </c:ser>
        <c:ser>
          <c:idx val="2"/>
          <c:order val="2"/>
          <c:tx>
            <c:strRef>
              <c:f>'TRÊS CORAÇÕES'!$O$1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CORAÇÕES'!$O$2:$O$7</c:f>
              <c:numCache>
                <c:formatCode>0.00</c:formatCode>
                <c:ptCount val="6"/>
                <c:pt idx="0">
                  <c:v>2.1505376344086023E-2</c:v>
                </c:pt>
                <c:pt idx="1">
                  <c:v>5.3763440860215055E-2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0.45698924731182794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AF-4F47-A776-0BF422E45DCC}"/>
            </c:ext>
          </c:extLst>
        </c:ser>
        <c:ser>
          <c:idx val="3"/>
          <c:order val="3"/>
          <c:tx>
            <c:strRef>
              <c:f>'TRÊS CORAÇÕES'!$P$1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CORAÇÕES'!$P$2:$P$7</c:f>
              <c:numCache>
                <c:formatCode>0.00</c:formatCode>
                <c:ptCount val="6"/>
                <c:pt idx="0">
                  <c:v>0.12781954887218044</c:v>
                </c:pt>
                <c:pt idx="1">
                  <c:v>0.18045112781954886</c:v>
                </c:pt>
                <c:pt idx="2">
                  <c:v>0.22556390977443608</c:v>
                </c:pt>
                <c:pt idx="3">
                  <c:v>0.31578947368421051</c:v>
                </c:pt>
                <c:pt idx="4">
                  <c:v>0.46616541353383456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AF-4F47-A776-0BF422E45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58064"/>
        <c:axId val="639358544"/>
      </c:scatterChart>
      <c:valAx>
        <c:axId val="6393580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58544"/>
        <c:crosses val="autoZero"/>
        <c:crossBetween val="midCat"/>
      </c:valAx>
      <c:valAx>
        <c:axId val="639358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5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PONTAS'!$J$1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PONTAS'!$J$2:$J$6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0-45FB-9D96-E848C0B1453A}"/>
            </c:ext>
          </c:extLst>
        </c:ser>
        <c:ser>
          <c:idx val="1"/>
          <c:order val="1"/>
          <c:tx>
            <c:strRef>
              <c:f>'TRÊS PONTAS'!$K$1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PONTAS'!$K$2:$K$6</c:f>
              <c:numCache>
                <c:formatCode>0.00</c:formatCode>
                <c:ptCount val="5"/>
                <c:pt idx="0">
                  <c:v>3.5714285714285712E-2</c:v>
                </c:pt>
                <c:pt idx="1">
                  <c:v>0.14880952380952381</c:v>
                </c:pt>
                <c:pt idx="2">
                  <c:v>0.22023809523809523</c:v>
                </c:pt>
                <c:pt idx="3">
                  <c:v>0.64880952380952372</c:v>
                </c:pt>
                <c:pt idx="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E0-45FB-9D96-E848C0B1453A}"/>
            </c:ext>
          </c:extLst>
        </c:ser>
        <c:ser>
          <c:idx val="2"/>
          <c:order val="2"/>
          <c:tx>
            <c:strRef>
              <c:f>'TRÊS PONTAS'!$L$1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PONTAS'!$L$2:$L$6</c:f>
              <c:numCache>
                <c:formatCode>0.00</c:formatCode>
                <c:ptCount val="5"/>
                <c:pt idx="0">
                  <c:v>1.1627906976744186E-2</c:v>
                </c:pt>
                <c:pt idx="1">
                  <c:v>0.10465116279069767</c:v>
                </c:pt>
                <c:pt idx="2">
                  <c:v>0.18604651162790697</c:v>
                </c:pt>
                <c:pt idx="3">
                  <c:v>0.62790697674418605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E0-45FB-9D96-E848C0B1453A}"/>
            </c:ext>
          </c:extLst>
        </c:ser>
        <c:ser>
          <c:idx val="3"/>
          <c:order val="3"/>
          <c:tx>
            <c:strRef>
              <c:f>'TRÊS PONTAS'!$M$1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PONTAS'!$M$2:$M$6</c:f>
              <c:numCache>
                <c:formatCode>0.00</c:formatCode>
                <c:ptCount val="5"/>
                <c:pt idx="0">
                  <c:v>3.3707865168539325E-2</c:v>
                </c:pt>
                <c:pt idx="1">
                  <c:v>0.10112359550561797</c:v>
                </c:pt>
                <c:pt idx="2">
                  <c:v>0.20224719101123595</c:v>
                </c:pt>
                <c:pt idx="3">
                  <c:v>0.69662921348314599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E0-45FB-9D96-E848C0B14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13936"/>
        <c:axId val="650514896"/>
      </c:scatterChart>
      <c:valAx>
        <c:axId val="6505139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14896"/>
        <c:crosses val="autoZero"/>
        <c:crossBetween val="midCat"/>
      </c:valAx>
      <c:valAx>
        <c:axId val="650514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1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PONTAS'!$J$1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PONTAS'!$J$2:$J$6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0-4BE8-9242-7A4B2930433F}"/>
            </c:ext>
          </c:extLst>
        </c:ser>
        <c:ser>
          <c:idx val="1"/>
          <c:order val="1"/>
          <c:tx>
            <c:strRef>
              <c:f>'TRÊS PONTAS'!$N$1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PONTAS'!$N$2:$N$6</c:f>
              <c:numCache>
                <c:formatCode>0.00</c:formatCode>
                <c:ptCount val="5"/>
                <c:pt idx="0">
                  <c:v>9.1346153846153841E-2</c:v>
                </c:pt>
                <c:pt idx="1">
                  <c:v>0.13461538461538461</c:v>
                </c:pt>
                <c:pt idx="2">
                  <c:v>0.17788461538461536</c:v>
                </c:pt>
                <c:pt idx="3">
                  <c:v>0.75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10-4BE8-9242-7A4B2930433F}"/>
            </c:ext>
          </c:extLst>
        </c:ser>
        <c:ser>
          <c:idx val="2"/>
          <c:order val="2"/>
          <c:tx>
            <c:strRef>
              <c:f>'TRÊS PONTAS'!$O$1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PONTAS'!$O$2:$O$6</c:f>
              <c:numCache>
                <c:formatCode>0.00</c:formatCode>
                <c:ptCount val="5"/>
                <c:pt idx="0">
                  <c:v>4.1666666666666664E-2</c:v>
                </c:pt>
                <c:pt idx="1">
                  <c:v>0.11979166666666666</c:v>
                </c:pt>
                <c:pt idx="2">
                  <c:v>0.19270833333333331</c:v>
                </c:pt>
                <c:pt idx="3">
                  <c:v>0.63020833333333326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10-4BE8-9242-7A4B2930433F}"/>
            </c:ext>
          </c:extLst>
        </c:ser>
        <c:ser>
          <c:idx val="3"/>
          <c:order val="3"/>
          <c:tx>
            <c:strRef>
              <c:f>'TRÊS PONTAS'!$P$1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PONTAS'!$P$2:$P$6</c:f>
              <c:numCache>
                <c:formatCode>0.00</c:formatCode>
                <c:ptCount val="5"/>
                <c:pt idx="0">
                  <c:v>3.7735849056603772E-2</c:v>
                </c:pt>
                <c:pt idx="1">
                  <c:v>0.11320754716981132</c:v>
                </c:pt>
                <c:pt idx="2">
                  <c:v>0.17610062893081763</c:v>
                </c:pt>
                <c:pt idx="3">
                  <c:v>0.62264150943396235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10-4BE8-9242-7A4B29304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74208"/>
        <c:axId val="562876608"/>
      </c:scatterChart>
      <c:valAx>
        <c:axId val="562874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6608"/>
        <c:crosses val="autoZero"/>
        <c:crossBetween val="midCat"/>
      </c:valAx>
      <c:valAx>
        <c:axId val="562876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VARGINHA!$J$1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VARGINHA!$J$2:$J$6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8B-44F1-BA7C-0FC776F0C2E5}"/>
            </c:ext>
          </c:extLst>
        </c:ser>
        <c:ser>
          <c:idx val="1"/>
          <c:order val="1"/>
          <c:tx>
            <c:strRef>
              <c:f>VARGINHA!$K$1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VARGINHA!$K$2:$K$6</c:f>
              <c:numCache>
                <c:formatCode>0.00</c:formatCode>
                <c:ptCount val="5"/>
                <c:pt idx="0">
                  <c:v>1.3605442176870748E-2</c:v>
                </c:pt>
                <c:pt idx="1">
                  <c:v>5.4421768707482991E-2</c:v>
                </c:pt>
                <c:pt idx="2">
                  <c:v>9.5238095238095233E-2</c:v>
                </c:pt>
                <c:pt idx="3">
                  <c:v>0.14965986394557823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8B-44F1-BA7C-0FC776F0C2E5}"/>
            </c:ext>
          </c:extLst>
        </c:ser>
        <c:ser>
          <c:idx val="2"/>
          <c:order val="2"/>
          <c:tx>
            <c:strRef>
              <c:f>VARGINHA!$L$1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VARGINHA!$L$2:$L$6</c:f>
              <c:numCache>
                <c:formatCode>0.00</c:formatCode>
                <c:ptCount val="5"/>
                <c:pt idx="0">
                  <c:v>4.1095890410958902E-2</c:v>
                </c:pt>
                <c:pt idx="1">
                  <c:v>9.5890410958904104E-2</c:v>
                </c:pt>
                <c:pt idx="2">
                  <c:v>0.15068493150684931</c:v>
                </c:pt>
                <c:pt idx="3">
                  <c:v>0.20547945205479451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8B-44F1-BA7C-0FC776F0C2E5}"/>
            </c:ext>
          </c:extLst>
        </c:ser>
        <c:ser>
          <c:idx val="3"/>
          <c:order val="3"/>
          <c:tx>
            <c:strRef>
              <c:f>VARGINHA!$M$1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VARGINHA!$M$2:$M$6</c:f>
              <c:numCache>
                <c:formatCode>0.00</c:formatCode>
                <c:ptCount val="5"/>
                <c:pt idx="0">
                  <c:v>0</c:v>
                </c:pt>
                <c:pt idx="1">
                  <c:v>9.4339622641509441E-2</c:v>
                </c:pt>
                <c:pt idx="2">
                  <c:v>0.169811320754717</c:v>
                </c:pt>
                <c:pt idx="3">
                  <c:v>0.24528301886792453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8B-44F1-BA7C-0FC776F0C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946960"/>
        <c:axId val="342949840"/>
      </c:scatterChart>
      <c:valAx>
        <c:axId val="3429469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949840"/>
        <c:crosses val="autoZero"/>
        <c:crossBetween val="midCat"/>
      </c:valAx>
      <c:valAx>
        <c:axId val="3429498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94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VARGINHA!$J$1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VARGINHA!$J$2:$J$6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35-4AB7-806F-CC31AB2CACE3}"/>
            </c:ext>
          </c:extLst>
        </c:ser>
        <c:ser>
          <c:idx val="1"/>
          <c:order val="1"/>
          <c:tx>
            <c:strRef>
              <c:f>VARGINHA!$N$1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VARGINHA!$N$2:$N$6</c:f>
              <c:numCache>
                <c:formatCode>0.00</c:formatCode>
                <c:ptCount val="5"/>
                <c:pt idx="0">
                  <c:v>1.3201320132013201E-2</c:v>
                </c:pt>
                <c:pt idx="1">
                  <c:v>6.9306930693069313E-2</c:v>
                </c:pt>
                <c:pt idx="2">
                  <c:v>0.17821782178217821</c:v>
                </c:pt>
                <c:pt idx="3">
                  <c:v>0.2277227722772277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35-4AB7-806F-CC31AB2CACE3}"/>
            </c:ext>
          </c:extLst>
        </c:ser>
        <c:ser>
          <c:idx val="2"/>
          <c:order val="2"/>
          <c:tx>
            <c:strRef>
              <c:f>VARGINHA!$O$1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VARGINHA!$O$2:$O$6</c:f>
              <c:numCache>
                <c:formatCode>0.00</c:formatCode>
                <c:ptCount val="5"/>
                <c:pt idx="0">
                  <c:v>3.2710280373831772E-2</c:v>
                </c:pt>
                <c:pt idx="1">
                  <c:v>5.1401869158878497E-2</c:v>
                </c:pt>
                <c:pt idx="2">
                  <c:v>0.28037383177570091</c:v>
                </c:pt>
                <c:pt idx="3">
                  <c:v>0.47663551401869153</c:v>
                </c:pt>
                <c:pt idx="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35-4AB7-806F-CC31AB2CACE3}"/>
            </c:ext>
          </c:extLst>
        </c:ser>
        <c:ser>
          <c:idx val="3"/>
          <c:order val="3"/>
          <c:tx>
            <c:strRef>
              <c:f>VARGINHA!$P$1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VARGINHA!$P$2:$P$6</c:f>
              <c:numCache>
                <c:formatCode>0.00</c:formatCode>
                <c:ptCount val="5"/>
                <c:pt idx="0">
                  <c:v>1.8518518518518517E-2</c:v>
                </c:pt>
                <c:pt idx="1">
                  <c:v>0.10648148148148148</c:v>
                </c:pt>
                <c:pt idx="2">
                  <c:v>0.2361111111111111</c:v>
                </c:pt>
                <c:pt idx="3">
                  <c:v>0.32407407407407407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35-4AB7-806F-CC31AB2CA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140432"/>
        <c:axId val="653156272"/>
      </c:scatterChart>
      <c:valAx>
        <c:axId val="6531404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156272"/>
        <c:crosses val="autoZero"/>
        <c:crossBetween val="midCat"/>
      </c:valAx>
      <c:valAx>
        <c:axId val="653156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14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80010</xdr:rowOff>
    </xdr:from>
    <xdr:to>
      <xdr:col>23</xdr:col>
      <xdr:colOff>388620</xdr:colOff>
      <xdr:row>14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D31378F-F8DB-5D43-8837-3B5765580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14</xdr:row>
      <xdr:rowOff>148590</xdr:rowOff>
    </xdr:from>
    <xdr:to>
      <xdr:col>23</xdr:col>
      <xdr:colOff>388620</xdr:colOff>
      <xdr:row>28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5C8B3EF-8C59-80CB-E19E-28EAAF321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175260</xdr:colOff>
      <xdr:row>0</xdr:row>
      <xdr:rowOff>95250</xdr:rowOff>
    </xdr:from>
    <xdr:to>
      <xdr:col>23</xdr:col>
      <xdr:colOff>480060</xdr:colOff>
      <xdr:row>13</xdr:row>
      <xdr:rowOff>102870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4B2F308-7659-733A-CE90-937D21685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190500</xdr:colOff>
      <xdr:row>13</xdr:row>
      <xdr:rowOff>140970</xdr:rowOff>
    </xdr:from>
    <xdr:to>
      <xdr:col>23</xdr:col>
      <xdr:colOff>495300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B407C5C-60CF-5976-E543-108A95C6A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121595</xdr:colOff>
      <xdr:row>0</xdr:row>
      <xdr:rowOff>63230</xdr:rowOff>
    </xdr:from>
    <xdr:to>
      <xdr:col>23</xdr:col>
      <xdr:colOff>437744</xdr:colOff>
      <xdr:row>13</xdr:row>
      <xdr:rowOff>34047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A1CB0C-2812-29AC-9EDA-7B3563E15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129701</xdr:colOff>
      <xdr:row>13</xdr:row>
      <xdr:rowOff>103761</xdr:rowOff>
    </xdr:from>
    <xdr:to>
      <xdr:col>23</xdr:col>
      <xdr:colOff>445850</xdr:colOff>
      <xdr:row>28</xdr:row>
      <xdr:rowOff>50259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7742C55-0458-E6E8-F7E3-36685BD11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95250</xdr:rowOff>
    </xdr:from>
    <xdr:to>
      <xdr:col>23</xdr:col>
      <xdr:colOff>388620</xdr:colOff>
      <xdr:row>14</xdr:row>
      <xdr:rowOff>102870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F81DF0F-764F-2B98-7836-465FC2646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14</xdr:row>
      <xdr:rowOff>156210</xdr:rowOff>
    </xdr:from>
    <xdr:to>
      <xdr:col>23</xdr:col>
      <xdr:colOff>396240</xdr:colOff>
      <xdr:row>28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0544473-DD78-9B72-B816-80616EAD3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53340</xdr:colOff>
      <xdr:row>0</xdr:row>
      <xdr:rowOff>57150</xdr:rowOff>
    </xdr:from>
    <xdr:to>
      <xdr:col>23</xdr:col>
      <xdr:colOff>358140</xdr:colOff>
      <xdr:row>13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A4FFD5B-301E-68A3-53C7-3C17E33F6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68580</xdr:colOff>
      <xdr:row>13</xdr:row>
      <xdr:rowOff>102870</xdr:rowOff>
    </xdr:from>
    <xdr:to>
      <xdr:col>23</xdr:col>
      <xdr:colOff>373380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C143B3-5B32-3E88-5279-79EFE6FA8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0</xdr:row>
      <xdr:rowOff>80010</xdr:rowOff>
    </xdr:from>
    <xdr:to>
      <xdr:col>23</xdr:col>
      <xdr:colOff>419100</xdr:colOff>
      <xdr:row>13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14AC79-32A4-8846-1956-E0FB4B824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13</xdr:row>
      <xdr:rowOff>140970</xdr:rowOff>
    </xdr:from>
    <xdr:to>
      <xdr:col>23</xdr:col>
      <xdr:colOff>441960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DC6018F-74D2-95DC-A417-C1D5B5258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49530</xdr:rowOff>
    </xdr:from>
    <xdr:to>
      <xdr:col>23</xdr:col>
      <xdr:colOff>365760</xdr:colOff>
      <xdr:row>13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1E8403D-202D-7800-F9DA-5AA26CFBD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68580</xdr:colOff>
      <xdr:row>13</xdr:row>
      <xdr:rowOff>72390</xdr:rowOff>
    </xdr:from>
    <xdr:to>
      <xdr:col>23</xdr:col>
      <xdr:colOff>373380</xdr:colOff>
      <xdr:row>28</xdr:row>
      <xdr:rowOff>72390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DD7DCA6-BE9B-E242-E4EE-1186C3080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64770</xdr:rowOff>
    </xdr:from>
    <xdr:to>
      <xdr:col>23</xdr:col>
      <xdr:colOff>365760</xdr:colOff>
      <xdr:row>13</xdr:row>
      <xdr:rowOff>72390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A0E7FD-ACA2-CD0F-AFE5-D9B52D2C0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13</xdr:row>
      <xdr:rowOff>110490</xdr:rowOff>
    </xdr:from>
    <xdr:to>
      <xdr:col>23</xdr:col>
      <xdr:colOff>381000</xdr:colOff>
      <xdr:row>28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64424B3-B951-A9A7-E653-4632E5E87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127000</xdr:colOff>
      <xdr:row>0</xdr:row>
      <xdr:rowOff>161159</xdr:rowOff>
    </xdr:from>
    <xdr:to>
      <xdr:col>23</xdr:col>
      <xdr:colOff>407276</xdr:colOff>
      <xdr:row>14</xdr:row>
      <xdr:rowOff>154152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573672-875A-58FD-2EF6-7E592B137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126999</xdr:colOff>
      <xdr:row>15</xdr:row>
      <xdr:rowOff>73573</xdr:rowOff>
    </xdr:from>
    <xdr:to>
      <xdr:col>23</xdr:col>
      <xdr:colOff>407275</xdr:colOff>
      <xdr:row>30</xdr:row>
      <xdr:rowOff>57808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C3348B3-64B9-7633-26F5-7B4220FFC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64770</xdr:rowOff>
    </xdr:from>
    <xdr:to>
      <xdr:col>23</xdr:col>
      <xdr:colOff>388620</xdr:colOff>
      <xdr:row>14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DD88F2-25D9-2DCD-F548-5EE3664E7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102870</xdr:rowOff>
    </xdr:from>
    <xdr:to>
      <xdr:col>23</xdr:col>
      <xdr:colOff>403860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46263DC-CD35-80DB-3F91-9CBF9A772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0</xdr:row>
      <xdr:rowOff>57150</xdr:rowOff>
    </xdr:from>
    <xdr:to>
      <xdr:col>23</xdr:col>
      <xdr:colOff>457200</xdr:colOff>
      <xdr:row>13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164D613-91D5-856B-E485-D7A516D1D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13</xdr:row>
      <xdr:rowOff>133350</xdr:rowOff>
    </xdr:from>
    <xdr:to>
      <xdr:col>23</xdr:col>
      <xdr:colOff>449580</xdr:colOff>
      <xdr:row>28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EBD5212-1B4B-A116-0927-DADCDAD10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80010</xdr:rowOff>
    </xdr:from>
    <xdr:to>
      <xdr:col>23</xdr:col>
      <xdr:colOff>403860</xdr:colOff>
      <xdr:row>13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23D55BD-6DE9-7530-D4C6-9A997FE7A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106680</xdr:colOff>
      <xdr:row>13</xdr:row>
      <xdr:rowOff>133350</xdr:rowOff>
    </xdr:from>
    <xdr:to>
      <xdr:col>23</xdr:col>
      <xdr:colOff>411480</xdr:colOff>
      <xdr:row>28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D4EA155-486E-08D2-73A2-4359B62D3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11430</xdr:rowOff>
    </xdr:from>
    <xdr:to>
      <xdr:col>23</xdr:col>
      <xdr:colOff>396240</xdr:colOff>
      <xdr:row>13</xdr:row>
      <xdr:rowOff>19050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734B339-D928-B21B-A121-6DDFE9F5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129540</xdr:colOff>
      <xdr:row>13</xdr:row>
      <xdr:rowOff>57150</xdr:rowOff>
    </xdr:from>
    <xdr:to>
      <xdr:col>23</xdr:col>
      <xdr:colOff>434340</xdr:colOff>
      <xdr:row>28</xdr:row>
      <xdr:rowOff>57150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5E15E48-35A8-0AD3-B232-ABD7948E4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34290</xdr:rowOff>
    </xdr:from>
    <xdr:to>
      <xdr:col>23</xdr:col>
      <xdr:colOff>426720</xdr:colOff>
      <xdr:row>13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430E51-11DD-30A8-5A18-27B3B3C0F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13</xdr:row>
      <xdr:rowOff>102870</xdr:rowOff>
    </xdr:from>
    <xdr:to>
      <xdr:col>23</xdr:col>
      <xdr:colOff>441960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65BA855-EAE1-0864-B53B-B1C209F59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18F9-396E-4F37-B50C-51A81B3B7708}">
  <dimension ref="A1:P37"/>
  <sheetViews>
    <sheetView workbookViewId="0">
      <selection activeCell="J2" sqref="J2:P2"/>
    </sheetView>
  </sheetViews>
  <sheetFormatPr defaultRowHeight="14.4" x14ac:dyDescent="0.3"/>
  <cols>
    <col min="11" max="16" width="12" bestFit="1" customWidth="1"/>
  </cols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11</v>
      </c>
      <c r="B2" s="10">
        <v>7.7966435679332653E-3</v>
      </c>
      <c r="C2" s="10">
        <v>0</v>
      </c>
      <c r="D2" s="10">
        <v>0</v>
      </c>
      <c r="E2" s="10">
        <v>0</v>
      </c>
      <c r="F2" s="10">
        <v>5.0505050505050509E-3</v>
      </c>
      <c r="G2" s="10">
        <v>1.0958904109589041E-2</v>
      </c>
      <c r="H2" s="10">
        <v>1.4150943396226415E-2</v>
      </c>
      <c r="I2" s="10">
        <v>7.7966435679332653E-3</v>
      </c>
      <c r="J2" s="10">
        <v>7.7966435679332653E-3</v>
      </c>
      <c r="K2" s="10">
        <v>0</v>
      </c>
      <c r="L2" s="10">
        <v>0</v>
      </c>
      <c r="M2" s="10">
        <v>0</v>
      </c>
      <c r="N2" s="10">
        <v>5.0505050505050509E-3</v>
      </c>
      <c r="O2" s="10">
        <v>1.0958904109589041E-2</v>
      </c>
      <c r="P2" s="10">
        <v>1.4150943396226415E-2</v>
      </c>
    </row>
    <row r="3" spans="1:16" x14ac:dyDescent="0.3">
      <c r="A3" s="10" t="s">
        <v>8</v>
      </c>
      <c r="B3" s="10">
        <v>1.1869026897435055E-2</v>
      </c>
      <c r="C3" s="10">
        <v>4.1493775933609959E-3</v>
      </c>
      <c r="D3" s="10">
        <v>9.8039215686274508E-3</v>
      </c>
      <c r="E3" s="10">
        <v>0</v>
      </c>
      <c r="F3" s="10">
        <v>1.5151515151515152E-2</v>
      </c>
      <c r="G3" s="10">
        <v>2.7397260273972603E-3</v>
      </c>
      <c r="H3" s="10">
        <v>4.7169811320754715E-3</v>
      </c>
      <c r="I3" s="10">
        <v>1.966567046536832E-2</v>
      </c>
      <c r="J3" s="10">
        <f>J2+B3</f>
        <v>1.966567046536832E-2</v>
      </c>
      <c r="K3" s="10">
        <f t="shared" ref="K3:P17" si="0">K2+C3</f>
        <v>4.1493775933609959E-3</v>
      </c>
      <c r="L3" s="10">
        <f t="shared" si="0"/>
        <v>9.8039215686274508E-3</v>
      </c>
      <c r="M3" s="10">
        <f t="shared" si="0"/>
        <v>0</v>
      </c>
      <c r="N3" s="10">
        <f t="shared" si="0"/>
        <v>2.0202020202020204E-2</v>
      </c>
      <c r="O3" s="10">
        <f t="shared" si="0"/>
        <v>1.3698630136986301E-2</v>
      </c>
      <c r="P3" s="10">
        <f t="shared" si="0"/>
        <v>1.8867924528301886E-2</v>
      </c>
    </row>
    <row r="4" spans="1:16" x14ac:dyDescent="0.3">
      <c r="A4" s="10" t="s">
        <v>3</v>
      </c>
      <c r="B4" s="10">
        <v>1.9074518046569674E-2</v>
      </c>
      <c r="C4" s="10">
        <v>8.2987551867219917E-3</v>
      </c>
      <c r="D4" s="10">
        <v>3.9215686274509803E-2</v>
      </c>
      <c r="E4" s="10">
        <v>1.0869565217391304E-2</v>
      </c>
      <c r="F4" s="10">
        <v>2.5252525252525255E-3</v>
      </c>
      <c r="G4" s="10">
        <v>1.643835616438356E-2</v>
      </c>
      <c r="H4" s="10">
        <v>3.3018867924528301E-2</v>
      </c>
      <c r="I4" s="10">
        <v>3.8740188511937994E-2</v>
      </c>
      <c r="J4" s="10">
        <f t="shared" ref="J4:J17" si="1">J3+B4</f>
        <v>3.8740188511937994E-2</v>
      </c>
      <c r="K4" s="10">
        <f t="shared" si="0"/>
        <v>1.2448132780082988E-2</v>
      </c>
      <c r="L4" s="10">
        <f t="shared" si="0"/>
        <v>4.9019607843137254E-2</v>
      </c>
      <c r="M4" s="10">
        <f t="shared" si="0"/>
        <v>1.0869565217391304E-2</v>
      </c>
      <c r="N4" s="10">
        <f t="shared" si="0"/>
        <v>2.2727272727272728E-2</v>
      </c>
      <c r="O4" s="10">
        <f t="shared" si="0"/>
        <v>3.0136986301369861E-2</v>
      </c>
      <c r="P4" s="10">
        <f t="shared" si="0"/>
        <v>5.1886792452830191E-2</v>
      </c>
    </row>
    <row r="5" spans="1:16" x14ac:dyDescent="0.3">
      <c r="A5" s="10" t="s">
        <v>10</v>
      </c>
      <c r="B5" s="10">
        <v>1.9833163650694603E-2</v>
      </c>
      <c r="C5" s="10">
        <v>2.0746887966804978E-2</v>
      </c>
      <c r="D5" s="10">
        <v>9.8039215686274508E-3</v>
      </c>
      <c r="E5" s="10">
        <v>0</v>
      </c>
      <c r="F5" s="10">
        <v>2.2727272727272728E-2</v>
      </c>
      <c r="G5" s="10">
        <v>1.0958904109589041E-2</v>
      </c>
      <c r="H5" s="10">
        <v>4.7169811320754715E-3</v>
      </c>
      <c r="I5" s="10">
        <v>5.8573352162632597E-2</v>
      </c>
      <c r="J5" s="10">
        <f t="shared" si="1"/>
        <v>5.8573352162632597E-2</v>
      </c>
      <c r="K5" s="10">
        <f t="shared" si="0"/>
        <v>3.3195020746887967E-2</v>
      </c>
      <c r="L5" s="10">
        <f t="shared" si="0"/>
        <v>5.8823529411764705E-2</v>
      </c>
      <c r="M5" s="10">
        <f t="shared" si="0"/>
        <v>1.0869565217391304E-2</v>
      </c>
      <c r="N5" s="10">
        <f t="shared" si="0"/>
        <v>4.5454545454545456E-2</v>
      </c>
      <c r="O5" s="10">
        <f t="shared" si="0"/>
        <v>4.1095890410958902E-2</v>
      </c>
      <c r="P5" s="10">
        <f t="shared" si="0"/>
        <v>5.6603773584905662E-2</v>
      </c>
    </row>
    <row r="6" spans="1:16" x14ac:dyDescent="0.3">
      <c r="A6" s="10" t="s">
        <v>15</v>
      </c>
      <c r="B6" s="10">
        <v>2.5179808860717922E-2</v>
      </c>
      <c r="C6" s="10">
        <v>8.2987551867219917E-3</v>
      </c>
      <c r="D6" s="10">
        <v>0</v>
      </c>
      <c r="E6" s="10">
        <v>0</v>
      </c>
      <c r="F6" s="10">
        <v>1.5151515151515152E-2</v>
      </c>
      <c r="G6" s="10">
        <v>4.3835616438356165E-2</v>
      </c>
      <c r="H6" s="10">
        <v>6.6037735849056603E-2</v>
      </c>
      <c r="I6" s="10">
        <v>8.3753161023350522E-2</v>
      </c>
      <c r="J6" s="10">
        <f t="shared" si="1"/>
        <v>8.3753161023350522E-2</v>
      </c>
      <c r="K6" s="10">
        <f t="shared" si="0"/>
        <v>4.1493775933609957E-2</v>
      </c>
      <c r="L6" s="10">
        <f t="shared" si="0"/>
        <v>5.8823529411764705E-2</v>
      </c>
      <c r="M6" s="10">
        <f t="shared" si="0"/>
        <v>1.0869565217391304E-2</v>
      </c>
      <c r="N6" s="10">
        <f t="shared" si="0"/>
        <v>6.0606060606060608E-2</v>
      </c>
      <c r="O6" s="10">
        <f t="shared" si="0"/>
        <v>8.4931506849315067E-2</v>
      </c>
      <c r="P6" s="10">
        <f t="shared" si="0"/>
        <v>0.12264150943396226</v>
      </c>
    </row>
    <row r="7" spans="1:16" x14ac:dyDescent="0.3">
      <c r="A7" s="10" t="s">
        <v>9</v>
      </c>
      <c r="B7" s="10">
        <v>3.3994548261026637E-2</v>
      </c>
      <c r="C7" s="10">
        <v>2.9045643153526972E-2</v>
      </c>
      <c r="D7" s="10">
        <v>0</v>
      </c>
      <c r="E7" s="10">
        <v>4.3478260869565216E-2</v>
      </c>
      <c r="F7" s="10">
        <v>3.5353535353535352E-2</v>
      </c>
      <c r="G7" s="10">
        <v>1.9178082191780823E-2</v>
      </c>
      <c r="H7" s="10">
        <v>1.8867924528301886E-2</v>
      </c>
      <c r="I7" s="10">
        <v>0.11774770928437717</v>
      </c>
      <c r="J7" s="10">
        <f t="shared" si="1"/>
        <v>0.11774770928437717</v>
      </c>
      <c r="K7" s="10">
        <f t="shared" si="0"/>
        <v>7.0539419087136929E-2</v>
      </c>
      <c r="L7" s="10">
        <f t="shared" si="0"/>
        <v>5.8823529411764705E-2</v>
      </c>
      <c r="M7" s="10">
        <f t="shared" si="0"/>
        <v>5.434782608695652E-2</v>
      </c>
      <c r="N7" s="10">
        <f t="shared" si="0"/>
        <v>9.5959595959595967E-2</v>
      </c>
      <c r="O7" s="10">
        <f t="shared" si="0"/>
        <v>0.10410958904109589</v>
      </c>
      <c r="P7" s="10">
        <f t="shared" si="0"/>
        <v>0.14150943396226415</v>
      </c>
    </row>
    <row r="8" spans="1:16" x14ac:dyDescent="0.3">
      <c r="A8" s="10" t="s">
        <v>6</v>
      </c>
      <c r="B8" s="10">
        <v>3.8254129856481328E-2</v>
      </c>
      <c r="C8" s="10">
        <v>4.9792531120331947E-2</v>
      </c>
      <c r="D8" s="10">
        <v>2.9411764705882353E-2</v>
      </c>
      <c r="E8" s="10">
        <v>5.434782608695652E-2</v>
      </c>
      <c r="F8" s="10">
        <v>3.5353535353535352E-2</v>
      </c>
      <c r="G8" s="10">
        <v>6.8493150684931503E-2</v>
      </c>
      <c r="H8" s="10">
        <v>7.5471698113207544E-2</v>
      </c>
      <c r="I8" s="10">
        <v>0.15600183914085849</v>
      </c>
      <c r="J8" s="10">
        <f t="shared" si="1"/>
        <v>0.15600183914085849</v>
      </c>
      <c r="K8" s="10">
        <f t="shared" si="0"/>
        <v>0.12033195020746887</v>
      </c>
      <c r="L8" s="10">
        <f t="shared" si="0"/>
        <v>8.8235294117647051E-2</v>
      </c>
      <c r="M8" s="10">
        <f t="shared" si="0"/>
        <v>0.10869565217391304</v>
      </c>
      <c r="N8" s="10">
        <f t="shared" si="0"/>
        <v>0.13131313131313133</v>
      </c>
      <c r="O8" s="10">
        <f t="shared" si="0"/>
        <v>0.17260273972602741</v>
      </c>
      <c r="P8" s="10">
        <f t="shared" si="0"/>
        <v>0.21698113207547171</v>
      </c>
    </row>
    <row r="9" spans="1:16" x14ac:dyDescent="0.3">
      <c r="A9" s="10" t="s">
        <v>1</v>
      </c>
      <c r="B9" s="10">
        <v>4.7837367401228285E-2</v>
      </c>
      <c r="C9" s="10">
        <v>6.6390041493775934E-2</v>
      </c>
      <c r="D9" s="10">
        <v>2.9411764705882353E-2</v>
      </c>
      <c r="E9" s="10">
        <v>2.1739130434782608E-2</v>
      </c>
      <c r="F9" s="10">
        <v>0.10606060606060606</v>
      </c>
      <c r="G9" s="10">
        <v>9.3150684931506855E-2</v>
      </c>
      <c r="H9" s="10">
        <v>7.5471698113207544E-2</v>
      </c>
      <c r="I9" s="10">
        <v>0.20383920654208679</v>
      </c>
      <c r="J9" s="10">
        <f t="shared" si="1"/>
        <v>0.20383920654208679</v>
      </c>
      <c r="K9" s="10">
        <f t="shared" si="0"/>
        <v>0.18672199170124482</v>
      </c>
      <c r="L9" s="10">
        <f t="shared" si="0"/>
        <v>0.11764705882352941</v>
      </c>
      <c r="M9" s="10">
        <f t="shared" si="0"/>
        <v>0.13043478260869565</v>
      </c>
      <c r="N9" s="10">
        <f t="shared" si="0"/>
        <v>0.2373737373737374</v>
      </c>
      <c r="O9" s="10">
        <f t="shared" si="0"/>
        <v>0.26575342465753427</v>
      </c>
      <c r="P9" s="10">
        <f t="shared" si="0"/>
        <v>0.29245283018867924</v>
      </c>
    </row>
    <row r="10" spans="1:16" x14ac:dyDescent="0.3">
      <c r="A10" s="10" t="s">
        <v>4</v>
      </c>
      <c r="B10" s="10">
        <v>4.9022956418930015E-2</v>
      </c>
      <c r="C10" s="10">
        <v>4.9792531120331947E-2</v>
      </c>
      <c r="D10" s="10">
        <v>1.9607843137254902E-2</v>
      </c>
      <c r="E10" s="10">
        <v>2.1739130434782608E-2</v>
      </c>
      <c r="F10" s="10">
        <v>4.2929292929292928E-2</v>
      </c>
      <c r="G10" s="10">
        <v>4.9315068493150684E-2</v>
      </c>
      <c r="H10" s="10">
        <v>6.1320754716981132E-2</v>
      </c>
      <c r="I10" s="10">
        <v>0.25286216296101682</v>
      </c>
      <c r="J10" s="10">
        <f t="shared" si="1"/>
        <v>0.25286216296101682</v>
      </c>
      <c r="K10" s="10">
        <f t="shared" si="0"/>
        <v>0.23651452282157676</v>
      </c>
      <c r="L10" s="10">
        <f t="shared" si="0"/>
        <v>0.13725490196078433</v>
      </c>
      <c r="M10" s="10">
        <f t="shared" si="0"/>
        <v>0.15217391304347827</v>
      </c>
      <c r="N10" s="10">
        <f t="shared" si="0"/>
        <v>0.28030303030303033</v>
      </c>
      <c r="O10" s="10">
        <f t="shared" si="0"/>
        <v>0.31506849315068497</v>
      </c>
      <c r="P10" s="10">
        <f t="shared" si="0"/>
        <v>0.35377358490566035</v>
      </c>
    </row>
    <row r="11" spans="1:16" x14ac:dyDescent="0.3">
      <c r="A11" s="10" t="s">
        <v>2</v>
      </c>
      <c r="B11" s="10">
        <v>5.0208545436631745E-2</v>
      </c>
      <c r="C11" s="10">
        <v>1.2448132780082987E-2</v>
      </c>
      <c r="D11" s="10">
        <v>4.9019607843137254E-2</v>
      </c>
      <c r="E11" s="10">
        <v>2.1739130434782608E-2</v>
      </c>
      <c r="F11" s="10">
        <v>5.0505050505050509E-3</v>
      </c>
      <c r="G11" s="10">
        <v>7.3972602739726029E-2</v>
      </c>
      <c r="H11" s="10">
        <v>3.3018867924528301E-2</v>
      </c>
      <c r="I11" s="10">
        <v>0.30307070839764855</v>
      </c>
      <c r="J11" s="10">
        <f t="shared" si="1"/>
        <v>0.30307070839764855</v>
      </c>
      <c r="K11" s="10">
        <f t="shared" si="0"/>
        <v>0.24896265560165975</v>
      </c>
      <c r="L11" s="10">
        <f t="shared" si="0"/>
        <v>0.18627450980392157</v>
      </c>
      <c r="M11" s="10">
        <f t="shared" si="0"/>
        <v>0.17391304347826086</v>
      </c>
      <c r="N11" s="10">
        <f t="shared" si="0"/>
        <v>0.28535353535353536</v>
      </c>
      <c r="O11" s="10">
        <f t="shared" si="0"/>
        <v>0.38904109589041103</v>
      </c>
      <c r="P11" s="10">
        <f t="shared" si="0"/>
        <v>0.38679245283018865</v>
      </c>
    </row>
    <row r="12" spans="1:16" x14ac:dyDescent="0.3">
      <c r="A12" s="10" t="s">
        <v>14</v>
      </c>
      <c r="B12" s="10">
        <v>5.5502643764984073E-2</v>
      </c>
      <c r="C12" s="10">
        <v>9.1286307053941904E-2</v>
      </c>
      <c r="D12" s="10">
        <v>0.27450980392156865</v>
      </c>
      <c r="E12" s="10">
        <v>0.22826086956521738</v>
      </c>
      <c r="F12" s="10">
        <v>0.10101010101010101</v>
      </c>
      <c r="G12" s="10">
        <v>0.10684931506849316</v>
      </c>
      <c r="H12" s="10">
        <v>8.9622641509433956E-2</v>
      </c>
      <c r="I12" s="10">
        <v>0.35857335216263264</v>
      </c>
      <c r="J12" s="10">
        <f t="shared" si="1"/>
        <v>0.35857335216263264</v>
      </c>
      <c r="K12" s="10">
        <f t="shared" si="0"/>
        <v>0.34024896265560167</v>
      </c>
      <c r="L12" s="10">
        <f t="shared" si="0"/>
        <v>0.46078431372549022</v>
      </c>
      <c r="M12" s="10">
        <f t="shared" si="0"/>
        <v>0.40217391304347827</v>
      </c>
      <c r="N12" s="10">
        <f t="shared" si="0"/>
        <v>0.38636363636363635</v>
      </c>
      <c r="O12" s="10">
        <f t="shared" si="0"/>
        <v>0.49589041095890418</v>
      </c>
      <c r="P12" s="10">
        <f t="shared" si="0"/>
        <v>0.47641509433962259</v>
      </c>
    </row>
    <row r="13" spans="1:16" x14ac:dyDescent="0.3">
      <c r="A13" s="10" t="s">
        <v>5</v>
      </c>
      <c r="B13" s="10">
        <v>6.9138559558606191E-2</v>
      </c>
      <c r="C13" s="10">
        <v>4.5643153526970952E-2</v>
      </c>
      <c r="D13" s="10">
        <v>2.9411764705882353E-2</v>
      </c>
      <c r="E13" s="10">
        <v>4.3478260869565216E-2</v>
      </c>
      <c r="F13" s="10">
        <v>3.2828282828282832E-2</v>
      </c>
      <c r="G13" s="10">
        <v>2.4657534246575342E-2</v>
      </c>
      <c r="H13" s="10">
        <v>2.8301886792452831E-2</v>
      </c>
      <c r="I13" s="10">
        <v>0.42771191172123885</v>
      </c>
      <c r="J13" s="10">
        <f t="shared" si="1"/>
        <v>0.42771191172123885</v>
      </c>
      <c r="K13" s="10">
        <f t="shared" si="0"/>
        <v>0.38589211618257263</v>
      </c>
      <c r="L13" s="10">
        <f t="shared" si="0"/>
        <v>0.49019607843137258</v>
      </c>
      <c r="M13" s="10">
        <f t="shared" si="0"/>
        <v>0.44565217391304346</v>
      </c>
      <c r="N13" s="10">
        <f t="shared" si="0"/>
        <v>0.41919191919191917</v>
      </c>
      <c r="O13" s="10">
        <f t="shared" si="0"/>
        <v>0.52054794520547953</v>
      </c>
      <c r="P13" s="10">
        <f t="shared" si="0"/>
        <v>0.50471698113207542</v>
      </c>
    </row>
    <row r="14" spans="1:16" x14ac:dyDescent="0.3">
      <c r="A14" s="10" t="s">
        <v>13</v>
      </c>
      <c r="B14" s="10">
        <v>7.1243719005550266E-2</v>
      </c>
      <c r="C14" s="10">
        <v>2.4896265560165973E-2</v>
      </c>
      <c r="D14" s="10">
        <v>0</v>
      </c>
      <c r="E14" s="10">
        <v>1.0869565217391304E-2</v>
      </c>
      <c r="F14" s="10">
        <v>3.2828282828282832E-2</v>
      </c>
      <c r="G14" s="10">
        <v>1.0958904109589041E-2</v>
      </c>
      <c r="H14" s="10">
        <v>4.2452830188679243E-2</v>
      </c>
      <c r="I14" s="10">
        <v>0.49895563072678911</v>
      </c>
      <c r="J14" s="10">
        <f t="shared" si="1"/>
        <v>0.49895563072678911</v>
      </c>
      <c r="K14" s="10">
        <f t="shared" si="0"/>
        <v>0.41078838174273863</v>
      </c>
      <c r="L14" s="10">
        <f t="shared" si="0"/>
        <v>0.49019607843137258</v>
      </c>
      <c r="M14" s="10">
        <f t="shared" si="0"/>
        <v>0.45652173913043476</v>
      </c>
      <c r="N14" s="10">
        <f t="shared" si="0"/>
        <v>0.45202020202020199</v>
      </c>
      <c r="O14" s="10">
        <f t="shared" si="0"/>
        <v>0.53150684931506853</v>
      </c>
      <c r="P14" s="10">
        <f t="shared" si="0"/>
        <v>0.54716981132075471</v>
      </c>
    </row>
    <row r="15" spans="1:16" x14ac:dyDescent="0.3">
      <c r="A15" s="10" t="s">
        <v>7</v>
      </c>
      <c r="B15" s="10">
        <v>9.4939078459062701E-2</v>
      </c>
      <c r="C15" s="10">
        <v>7.0539419087136929E-2</v>
      </c>
      <c r="D15" s="10">
        <v>4.9019607843137254E-2</v>
      </c>
      <c r="E15" s="10">
        <v>4.3478260869565216E-2</v>
      </c>
      <c r="F15" s="10">
        <v>6.3131313131313135E-2</v>
      </c>
      <c r="G15" s="10">
        <v>4.9315068493150684E-2</v>
      </c>
      <c r="H15" s="10">
        <v>3.3018867924528301E-2</v>
      </c>
      <c r="I15" s="10">
        <v>0.59389470918585185</v>
      </c>
      <c r="J15" s="10">
        <f t="shared" si="1"/>
        <v>0.59389470918585185</v>
      </c>
      <c r="K15" s="10">
        <f t="shared" si="0"/>
        <v>0.48132780082987559</v>
      </c>
      <c r="L15" s="10">
        <f t="shared" si="0"/>
        <v>0.53921568627450989</v>
      </c>
      <c r="M15" s="10">
        <f t="shared" si="0"/>
        <v>0.5</v>
      </c>
      <c r="N15" s="10">
        <f t="shared" si="0"/>
        <v>0.51515151515151514</v>
      </c>
      <c r="O15" s="10">
        <f t="shared" si="0"/>
        <v>0.58082191780821923</v>
      </c>
      <c r="P15" s="10">
        <f t="shared" si="0"/>
        <v>0.58018867924528306</v>
      </c>
    </row>
    <row r="16" spans="1:16" x14ac:dyDescent="0.3">
      <c r="A16" s="10" t="s">
        <v>12</v>
      </c>
      <c r="B16" s="10">
        <v>0.14017537521757692</v>
      </c>
      <c r="C16" s="10">
        <v>9.1286307053941904E-2</v>
      </c>
      <c r="D16" s="10">
        <v>7.8431372549019607E-2</v>
      </c>
      <c r="E16" s="10">
        <v>4.3478260869565216E-2</v>
      </c>
      <c r="F16" s="10">
        <v>0.12878787878787878</v>
      </c>
      <c r="G16" s="10">
        <v>0.14520547945205478</v>
      </c>
      <c r="H16" s="10">
        <v>0.11792452830188679</v>
      </c>
      <c r="I16" s="10">
        <v>0.7340700844034288</v>
      </c>
      <c r="J16" s="10">
        <f t="shared" si="1"/>
        <v>0.7340700844034288</v>
      </c>
      <c r="K16" s="10">
        <f t="shared" si="0"/>
        <v>0.5726141078838175</v>
      </c>
      <c r="L16" s="10">
        <f t="shared" si="0"/>
        <v>0.61764705882352944</v>
      </c>
      <c r="M16" s="10">
        <f t="shared" si="0"/>
        <v>0.54347826086956519</v>
      </c>
      <c r="N16" s="10">
        <f t="shared" si="0"/>
        <v>0.64393939393939392</v>
      </c>
      <c r="O16" s="10">
        <f t="shared" si="0"/>
        <v>0.72602739726027399</v>
      </c>
      <c r="P16" s="10">
        <f t="shared" si="0"/>
        <v>0.69811320754716988</v>
      </c>
    </row>
    <row r="17" spans="1:16" x14ac:dyDescent="0.3">
      <c r="A17" s="10" t="s">
        <v>0</v>
      </c>
      <c r="B17" s="10">
        <v>0.26592991559657131</v>
      </c>
      <c r="C17" s="10">
        <v>0.42738589211618255</v>
      </c>
      <c r="D17" s="10">
        <v>0.38235294117647056</v>
      </c>
      <c r="E17" s="10">
        <v>0.45652173913043476</v>
      </c>
      <c r="F17" s="10">
        <v>0.35606060606060608</v>
      </c>
      <c r="G17" s="10">
        <v>0.27397260273972601</v>
      </c>
      <c r="H17" s="10">
        <v>0.30188679245283018</v>
      </c>
      <c r="I17" s="10">
        <v>1</v>
      </c>
      <c r="J17" s="10">
        <f t="shared" si="1"/>
        <v>1</v>
      </c>
      <c r="K17" s="10">
        <f t="shared" si="0"/>
        <v>1</v>
      </c>
      <c r="L17" s="10">
        <f t="shared" si="0"/>
        <v>1</v>
      </c>
      <c r="M17" s="10">
        <f t="shared" si="0"/>
        <v>1</v>
      </c>
      <c r="N17" s="10">
        <f t="shared" si="0"/>
        <v>1</v>
      </c>
      <c r="O17" s="10">
        <f t="shared" si="0"/>
        <v>1</v>
      </c>
      <c r="P17" s="10">
        <f t="shared" si="0"/>
        <v>1</v>
      </c>
    </row>
    <row r="19" spans="1:16" ht="28.8" x14ac:dyDescent="0.3">
      <c r="B19" s="1" t="s">
        <v>154</v>
      </c>
      <c r="C19" s="3" t="s">
        <v>162</v>
      </c>
      <c r="D19" s="3" t="s">
        <v>163</v>
      </c>
      <c r="E19" s="3" t="s">
        <v>164</v>
      </c>
      <c r="F19" s="3" t="s">
        <v>165</v>
      </c>
      <c r="G19" s="3" t="s">
        <v>166</v>
      </c>
      <c r="H19" s="3" t="s">
        <v>167</v>
      </c>
      <c r="J19" s="8"/>
      <c r="K19" s="11" t="s">
        <v>168</v>
      </c>
      <c r="L19" s="11" t="s">
        <v>169</v>
      </c>
      <c r="M19" s="11" t="s">
        <v>170</v>
      </c>
      <c r="N19" s="11" t="s">
        <v>171</v>
      </c>
      <c r="O19" s="11" t="s">
        <v>172</v>
      </c>
      <c r="P19" s="11" t="s">
        <v>173</v>
      </c>
    </row>
    <row r="20" spans="1:16" x14ac:dyDescent="0.3">
      <c r="B20" s="10" t="s">
        <v>11</v>
      </c>
      <c r="C20" s="10">
        <f>C2-B2</f>
        <v>-7.7966435679332653E-3</v>
      </c>
      <c r="D20" s="10">
        <f>D2-B2</f>
        <v>-7.7966435679332653E-3</v>
      </c>
      <c r="E20" s="10">
        <f>E2-B2</f>
        <v>-7.7966435679332653E-3</v>
      </c>
      <c r="F20" s="10">
        <f>F2-B2</f>
        <v>-2.7461385174282144E-3</v>
      </c>
      <c r="G20" s="10">
        <f>G2-B2</f>
        <v>3.1622605416557759E-3</v>
      </c>
      <c r="H20" s="10">
        <f>H2-B2</f>
        <v>6.3542998282931501E-3</v>
      </c>
      <c r="J20" s="10" t="s">
        <v>11</v>
      </c>
      <c r="K20" s="8">
        <f>(J2-0) * ((K2+0))</f>
        <v>0</v>
      </c>
      <c r="L20" s="8">
        <f>(J2-0) * ((L2+0))</f>
        <v>0</v>
      </c>
      <c r="M20" s="8">
        <f>(J2-0) * ((M2+0))</f>
        <v>0</v>
      </c>
      <c r="N20" s="8">
        <f>(J2-0) * ((N2+0))</f>
        <v>3.9376987716834676E-5</v>
      </c>
      <c r="O20" s="8">
        <f>(J2-0) * ((O2+0))</f>
        <v>8.544266923762483E-5</v>
      </c>
      <c r="P20" s="8">
        <f>(J2-0) * ((P2+0))</f>
        <v>1.1032986181037639E-4</v>
      </c>
    </row>
    <row r="21" spans="1:16" x14ac:dyDescent="0.3">
      <c r="B21" s="10" t="s">
        <v>8</v>
      </c>
      <c r="C21" s="10">
        <f t="shared" ref="C21:C35" si="2">C3-B3</f>
        <v>-7.7196493040740588E-3</v>
      </c>
      <c r="D21" s="10">
        <f t="shared" ref="D21:D35" si="3">D3-B3</f>
        <v>-2.0651053288076038E-3</v>
      </c>
      <c r="E21" s="10">
        <f t="shared" ref="E21:E35" si="4">E3-B3</f>
        <v>-1.1869026897435055E-2</v>
      </c>
      <c r="F21" s="10">
        <f t="shared" ref="F21:F35" si="5">F3-B3</f>
        <v>3.2824882540800973E-3</v>
      </c>
      <c r="G21" s="10">
        <f t="shared" ref="G21:G35" si="6">G3-B3</f>
        <v>-9.1293008700377952E-3</v>
      </c>
      <c r="H21" s="10">
        <f t="shared" ref="H21:H35" si="7">H3-B3</f>
        <v>-7.1520457653595831E-3</v>
      </c>
      <c r="J21" s="10" t="s">
        <v>8</v>
      </c>
      <c r="K21" s="8">
        <f>(J3-J2) * ((K3+K2))</f>
        <v>4.9249074263215995E-5</v>
      </c>
      <c r="L21" s="8">
        <f>(J3-J2) * ((L3+L2))</f>
        <v>1.1636300879838289E-4</v>
      </c>
      <c r="M21" s="8">
        <f>(J3-J2) * ((M3+M2))</f>
        <v>0</v>
      </c>
      <c r="N21" s="8">
        <f>(J3-J2) * ((N3+N2))</f>
        <v>2.997229014503802E-4</v>
      </c>
      <c r="O21" s="8">
        <f>(J3-J2) * ((O3+O2))</f>
        <v>2.9266093719702873E-4</v>
      </c>
      <c r="P21" s="8">
        <f>(J3-J2) * ((P3+P2))</f>
        <v>3.91901831519082E-4</v>
      </c>
    </row>
    <row r="22" spans="1:16" x14ac:dyDescent="0.3">
      <c r="B22" s="10" t="s">
        <v>3</v>
      </c>
      <c r="C22" s="10">
        <f t="shared" si="2"/>
        <v>-1.0775762859847682E-2</v>
      </c>
      <c r="D22" s="10">
        <f t="shared" si="3"/>
        <v>2.014116822794013E-2</v>
      </c>
      <c r="E22" s="10">
        <f t="shared" si="4"/>
        <v>-8.2049528291783698E-3</v>
      </c>
      <c r="F22" s="10">
        <f t="shared" si="5"/>
        <v>-1.654926552131715E-2</v>
      </c>
      <c r="G22" s="10">
        <f t="shared" si="6"/>
        <v>-2.6361618821861138E-3</v>
      </c>
      <c r="H22" s="10">
        <f t="shared" si="7"/>
        <v>1.3944349877958628E-2</v>
      </c>
      <c r="J22" s="10" t="s">
        <v>3</v>
      </c>
      <c r="K22" s="8">
        <f t="shared" ref="K22:K35" si="8">(J4-J3) * ((K4+K3))</f>
        <v>3.1658951114638465E-4</v>
      </c>
      <c r="L22" s="8">
        <f t="shared" ref="L22:L35" si="9">(J4-J3) * ((L4+L3))</f>
        <v>1.1220304733276279E-3</v>
      </c>
      <c r="M22" s="8">
        <f t="shared" ref="M22:M35" si="10">(J4-J3) * ((M4+M3))</f>
        <v>2.0733171789749644E-4</v>
      </c>
      <c r="N22" s="8">
        <f t="shared" ref="N22:N35" si="11">(J4-J3) * ((N4+N3))</f>
        <v>8.1885557270627385E-4</v>
      </c>
      <c r="O22" s="8">
        <f t="shared" ref="O22:O35" si="12">(J4-J3) * ((O4+O3))</f>
        <v>8.3614325683593091E-4</v>
      </c>
      <c r="P22" s="8">
        <f t="shared" ref="P22:P35" si="13">(J4-J3) * ((P4+P3))</f>
        <v>1.3496121259365336E-3</v>
      </c>
    </row>
    <row r="23" spans="1:16" x14ac:dyDescent="0.3">
      <c r="B23" s="10" t="s">
        <v>10</v>
      </c>
      <c r="C23" s="10">
        <f t="shared" si="2"/>
        <v>9.1372431611037516E-4</v>
      </c>
      <c r="D23" s="10">
        <f t="shared" si="3"/>
        <v>-1.0029242082067152E-2</v>
      </c>
      <c r="E23" s="10">
        <f t="shared" si="4"/>
        <v>-1.9833163650694603E-2</v>
      </c>
      <c r="F23" s="10">
        <f t="shared" si="5"/>
        <v>2.8941090765781247E-3</v>
      </c>
      <c r="G23" s="10">
        <f t="shared" si="6"/>
        <v>-8.8742595411055621E-3</v>
      </c>
      <c r="H23" s="10">
        <f t="shared" si="7"/>
        <v>-1.5116182518619133E-2</v>
      </c>
      <c r="J23" s="10" t="s">
        <v>10</v>
      </c>
      <c r="K23" s="8">
        <f t="shared" si="8"/>
        <v>9.0524813343419359E-4</v>
      </c>
      <c r="L23" s="8">
        <f t="shared" si="9"/>
        <v>2.1388705897807908E-3</v>
      </c>
      <c r="M23" s="8">
        <f t="shared" si="10"/>
        <v>4.311557315368392E-4</v>
      </c>
      <c r="N23" s="8">
        <f t="shared" si="11"/>
        <v>1.3522611580019047E-3</v>
      </c>
      <c r="O23" s="8">
        <f t="shared" si="12"/>
        <v>1.412773301145369E-3</v>
      </c>
      <c r="P23" s="8">
        <f t="shared" si="13"/>
        <v>2.151711150782905E-3</v>
      </c>
    </row>
    <row r="24" spans="1:16" x14ac:dyDescent="0.3">
      <c r="B24" s="10" t="s">
        <v>15</v>
      </c>
      <c r="C24" s="10">
        <f t="shared" si="2"/>
        <v>-1.6881053673995929E-2</v>
      </c>
      <c r="D24" s="10">
        <f t="shared" si="3"/>
        <v>-2.5179808860717922E-2</v>
      </c>
      <c r="E24" s="10">
        <f t="shared" si="4"/>
        <v>-2.5179808860717922E-2</v>
      </c>
      <c r="F24" s="10">
        <f t="shared" si="5"/>
        <v>-1.002829370920277E-2</v>
      </c>
      <c r="G24" s="10">
        <f t="shared" si="6"/>
        <v>1.8655807577638243E-2</v>
      </c>
      <c r="H24" s="10">
        <f t="shared" si="7"/>
        <v>4.0857926988338678E-2</v>
      </c>
      <c r="J24" s="10" t="s">
        <v>15</v>
      </c>
      <c r="K24" s="8">
        <f t="shared" si="8"/>
        <v>1.8806496244519611E-3</v>
      </c>
      <c r="L24" s="8">
        <f t="shared" si="9"/>
        <v>2.9623304542021086E-3</v>
      </c>
      <c r="M24" s="8">
        <f t="shared" si="10"/>
        <v>5.4738714914604185E-4</v>
      </c>
      <c r="N24" s="8">
        <f t="shared" si="11"/>
        <v>2.670585788257962E-3</v>
      </c>
      <c r="O24" s="8">
        <f t="shared" si="12"/>
        <v>3.173345774227464E-3</v>
      </c>
      <c r="P24" s="8">
        <f t="shared" si="13"/>
        <v>4.5133619656003831E-3</v>
      </c>
    </row>
    <row r="25" spans="1:16" x14ac:dyDescent="0.3">
      <c r="B25" s="10" t="s">
        <v>9</v>
      </c>
      <c r="C25" s="10">
        <f t="shared" si="2"/>
        <v>-4.9489051074996654E-3</v>
      </c>
      <c r="D25" s="10">
        <f t="shared" si="3"/>
        <v>-3.3994548261026637E-2</v>
      </c>
      <c r="E25" s="10">
        <f t="shared" si="4"/>
        <v>9.4837126085385789E-3</v>
      </c>
      <c r="F25" s="10">
        <f t="shared" si="5"/>
        <v>1.358987092508715E-3</v>
      </c>
      <c r="G25" s="10">
        <f t="shared" si="6"/>
        <v>-1.4816466069245814E-2</v>
      </c>
      <c r="H25" s="10">
        <f t="shared" si="7"/>
        <v>-1.5126623732724751E-2</v>
      </c>
      <c r="J25" s="10" t="s">
        <v>9</v>
      </c>
      <c r="K25" s="8">
        <f t="shared" si="8"/>
        <v>3.8085178549697898E-3</v>
      </c>
      <c r="L25" s="8">
        <f t="shared" si="9"/>
        <v>3.9993586189443113E-3</v>
      </c>
      <c r="M25" s="8">
        <f t="shared" si="10"/>
        <v>2.2170357561539116E-3</v>
      </c>
      <c r="N25" s="8">
        <f t="shared" si="11"/>
        <v>5.3223787681405356E-3</v>
      </c>
      <c r="O25" s="8">
        <f t="shared" si="12"/>
        <v>6.426366657563941E-3</v>
      </c>
      <c r="P25" s="8">
        <f t="shared" si="13"/>
        <v>8.9796919934787365E-3</v>
      </c>
    </row>
    <row r="26" spans="1:16" x14ac:dyDescent="0.3">
      <c r="B26" s="10" t="s">
        <v>6</v>
      </c>
      <c r="C26" s="10">
        <f t="shared" si="2"/>
        <v>1.1538401263850619E-2</v>
      </c>
      <c r="D26" s="10">
        <f t="shared" si="3"/>
        <v>-8.8423651505989756E-3</v>
      </c>
      <c r="E26" s="10">
        <f t="shared" si="4"/>
        <v>1.6093696230475192E-2</v>
      </c>
      <c r="F26" s="10">
        <f t="shared" si="5"/>
        <v>-2.9005945029459759E-3</v>
      </c>
      <c r="G26" s="10">
        <f t="shared" si="6"/>
        <v>3.0239020828450175E-2</v>
      </c>
      <c r="H26" s="10">
        <f t="shared" si="7"/>
        <v>3.7217568256726216E-2</v>
      </c>
      <c r="J26" s="10" t="s">
        <v>6</v>
      </c>
      <c r="K26" s="8">
        <f t="shared" si="8"/>
        <v>7.3016181468802529E-3</v>
      </c>
      <c r="L26" s="8">
        <f t="shared" si="9"/>
        <v>5.6256073318354883E-3</v>
      </c>
      <c r="M26" s="8">
        <f t="shared" si="10"/>
        <v>6.2370863896436951E-3</v>
      </c>
      <c r="N26" s="8">
        <f t="shared" si="11"/>
        <v>8.6941204219275758E-3</v>
      </c>
      <c r="O26" s="8">
        <f t="shared" si="12"/>
        <v>1.0585389357546889E-2</v>
      </c>
      <c r="P26" s="8">
        <f t="shared" si="13"/>
        <v>1.3713744665531043E-2</v>
      </c>
    </row>
    <row r="27" spans="1:16" x14ac:dyDescent="0.3">
      <c r="B27" s="10" t="s">
        <v>1</v>
      </c>
      <c r="C27" s="10">
        <f t="shared" si="2"/>
        <v>1.8552674092547648E-2</v>
      </c>
      <c r="D27" s="10">
        <f t="shared" si="3"/>
        <v>-1.8425602695345933E-2</v>
      </c>
      <c r="E27" s="10">
        <f t="shared" si="4"/>
        <v>-2.6098236966445677E-2</v>
      </c>
      <c r="F27" s="10">
        <f t="shared" si="5"/>
        <v>5.8223238659377778E-2</v>
      </c>
      <c r="G27" s="10">
        <f t="shared" si="6"/>
        <v>4.531331753027857E-2</v>
      </c>
      <c r="H27" s="10">
        <f t="shared" si="7"/>
        <v>2.7634330711979259E-2</v>
      </c>
      <c r="J27" s="10" t="s">
        <v>1</v>
      </c>
      <c r="K27" s="8">
        <f t="shared" si="8"/>
        <v>1.4688652231082547E-2</v>
      </c>
      <c r="L27" s="8">
        <f t="shared" si="9"/>
        <v>9.8488697590764125E-3</v>
      </c>
      <c r="M27" s="8">
        <f t="shared" si="10"/>
        <v>1.1439370465511113E-2</v>
      </c>
      <c r="N27" s="8">
        <f t="shared" si="11"/>
        <v>1.7637009193382149E-2</v>
      </c>
      <c r="O27" s="8">
        <f t="shared" si="12"/>
        <v>2.0969804888209664E-2</v>
      </c>
      <c r="P27" s="8">
        <f t="shared" si="13"/>
        <v>2.4369979619493658E-2</v>
      </c>
    </row>
    <row r="28" spans="1:16" x14ac:dyDescent="0.3">
      <c r="B28" s="10" t="s">
        <v>4</v>
      </c>
      <c r="C28" s="10">
        <f t="shared" si="2"/>
        <v>7.6957470140193163E-4</v>
      </c>
      <c r="D28" s="10">
        <f t="shared" si="3"/>
        <v>-2.9415113281675113E-2</v>
      </c>
      <c r="E28" s="10">
        <f t="shared" si="4"/>
        <v>-2.7283825984147407E-2</v>
      </c>
      <c r="F28" s="10">
        <f t="shared" si="5"/>
        <v>-6.093663489637087E-3</v>
      </c>
      <c r="G28" s="10">
        <f t="shared" si="6"/>
        <v>2.9211207422066843E-4</v>
      </c>
      <c r="H28" s="10">
        <f t="shared" si="7"/>
        <v>1.2297798298051117E-2</v>
      </c>
      <c r="J28" s="10" t="s">
        <v>4</v>
      </c>
      <c r="K28" s="8">
        <f t="shared" si="8"/>
        <v>2.0748305206352131E-2</v>
      </c>
      <c r="L28" s="8">
        <f t="shared" si="9"/>
        <v>1.2496047714629224E-2</v>
      </c>
      <c r="M28" s="8">
        <f t="shared" si="10"/>
        <v>1.3854313770567186E-2</v>
      </c>
      <c r="N28" s="8">
        <f t="shared" si="11"/>
        <v>2.5378045620910755E-2</v>
      </c>
      <c r="O28" s="8">
        <f t="shared" si="12"/>
        <v>2.8473607563871694E-2</v>
      </c>
      <c r="P28" s="8">
        <f t="shared" si="13"/>
        <v>3.1679929383931195E-2</v>
      </c>
    </row>
    <row r="29" spans="1:16" x14ac:dyDescent="0.3">
      <c r="B29" s="10" t="s">
        <v>2</v>
      </c>
      <c r="C29" s="10">
        <f t="shared" si="2"/>
        <v>-3.776041265654876E-2</v>
      </c>
      <c r="D29" s="10">
        <f t="shared" si="3"/>
        <v>-1.1889375934944907E-3</v>
      </c>
      <c r="E29" s="10">
        <f t="shared" si="4"/>
        <v>-2.8469415001849137E-2</v>
      </c>
      <c r="F29" s="10">
        <f t="shared" si="5"/>
        <v>-4.5158040386126697E-2</v>
      </c>
      <c r="G29" s="10">
        <f t="shared" si="6"/>
        <v>2.3764057303094284E-2</v>
      </c>
      <c r="H29" s="10">
        <f t="shared" si="7"/>
        <v>-1.7189677512103443E-2</v>
      </c>
      <c r="J29" s="10" t="s">
        <v>2</v>
      </c>
      <c r="K29" s="8">
        <f t="shared" si="8"/>
        <v>2.4375102971310837E-2</v>
      </c>
      <c r="L29" s="8">
        <f t="shared" si="9"/>
        <v>1.6243941170674972E-2</v>
      </c>
      <c r="M29" s="8">
        <f t="shared" si="10"/>
        <v>1.6372351772814694E-2</v>
      </c>
      <c r="N29" s="8">
        <f t="shared" si="11"/>
        <v>2.8400793378296738E-2</v>
      </c>
      <c r="O29" s="8">
        <f t="shared" si="12"/>
        <v>3.5352318293737958E-2</v>
      </c>
      <c r="P29" s="8">
        <f t="shared" si="13"/>
        <v>3.7182743554486697E-2</v>
      </c>
    </row>
    <row r="30" spans="1:16" x14ac:dyDescent="0.3">
      <c r="B30" s="10" t="s">
        <v>14</v>
      </c>
      <c r="C30" s="10">
        <f t="shared" si="2"/>
        <v>3.578366328895783E-2</v>
      </c>
      <c r="D30" s="10">
        <f t="shared" si="3"/>
        <v>0.21900716015658458</v>
      </c>
      <c r="E30" s="10">
        <f t="shared" si="4"/>
        <v>0.17275822580023331</v>
      </c>
      <c r="F30" s="10">
        <f t="shared" si="5"/>
        <v>4.5507457245116935E-2</v>
      </c>
      <c r="G30" s="10">
        <f t="shared" si="6"/>
        <v>5.1346671303509082E-2</v>
      </c>
      <c r="H30" s="10">
        <f t="shared" si="7"/>
        <v>3.4119997744449883E-2</v>
      </c>
      <c r="J30" s="10" t="s">
        <v>14</v>
      </c>
      <c r="K30" s="8">
        <f t="shared" si="8"/>
        <v>3.2702802550322582E-2</v>
      </c>
      <c r="L30" s="8">
        <f t="shared" si="9"/>
        <v>3.591347537734265E-2</v>
      </c>
      <c r="M30" s="8">
        <f t="shared" si="10"/>
        <v>3.1974349125479966E-2</v>
      </c>
      <c r="N30" s="8">
        <f t="shared" si="11"/>
        <v>3.7282078892640833E-2</v>
      </c>
      <c r="O30" s="8">
        <f t="shared" si="12"/>
        <v>4.9116038181068127E-2</v>
      </c>
      <c r="P30" s="8">
        <f t="shared" si="13"/>
        <v>4.7910300985811741E-2</v>
      </c>
    </row>
    <row r="31" spans="1:16" x14ac:dyDescent="0.3">
      <c r="B31" s="10" t="s">
        <v>5</v>
      </c>
      <c r="C31" s="10">
        <f t="shared" si="2"/>
        <v>-2.3495406031635239E-2</v>
      </c>
      <c r="D31" s="10">
        <f t="shared" si="3"/>
        <v>-3.9726794852723839E-2</v>
      </c>
      <c r="E31" s="10">
        <f t="shared" si="4"/>
        <v>-2.5660298689040975E-2</v>
      </c>
      <c r="F31" s="10">
        <f t="shared" si="5"/>
        <v>-3.631027673032336E-2</v>
      </c>
      <c r="G31" s="10">
        <f t="shared" si="6"/>
        <v>-4.4481025312030853E-2</v>
      </c>
      <c r="H31" s="10">
        <f t="shared" si="7"/>
        <v>-4.083667276615336E-2</v>
      </c>
      <c r="J31" s="10" t="s">
        <v>5</v>
      </c>
      <c r="K31" s="8">
        <f t="shared" si="8"/>
        <v>5.0204348227203682E-2</v>
      </c>
      <c r="L31" s="8">
        <f t="shared" si="9"/>
        <v>6.5749414482203949E-2</v>
      </c>
      <c r="M31" s="8">
        <f t="shared" si="10"/>
        <v>5.8617474408383524E-2</v>
      </c>
      <c r="N31" s="8">
        <f t="shared" si="11"/>
        <v>5.5694950755543891E-2</v>
      </c>
      <c r="O31" s="8">
        <f t="shared" si="12"/>
        <v>7.0275083825323034E-2</v>
      </c>
      <c r="P31" s="8">
        <f t="shared" si="13"/>
        <v>6.7834058434858915E-2</v>
      </c>
    </row>
    <row r="32" spans="1:16" x14ac:dyDescent="0.3">
      <c r="B32" s="10" t="s">
        <v>13</v>
      </c>
      <c r="C32" s="10">
        <f t="shared" si="2"/>
        <v>-4.6347453445384296E-2</v>
      </c>
      <c r="D32" s="10">
        <f t="shared" si="3"/>
        <v>-7.1243719005550266E-2</v>
      </c>
      <c r="E32" s="10">
        <f t="shared" si="4"/>
        <v>-6.0374153788158962E-2</v>
      </c>
      <c r="F32" s="10">
        <f t="shared" si="5"/>
        <v>-3.8415436177267434E-2</v>
      </c>
      <c r="G32" s="10">
        <f t="shared" si="6"/>
        <v>-6.0284814895961228E-2</v>
      </c>
      <c r="H32" s="10">
        <f t="shared" si="7"/>
        <v>-2.8790888816871023E-2</v>
      </c>
      <c r="J32" s="10" t="s">
        <v>13</v>
      </c>
      <c r="K32" s="8">
        <f t="shared" si="8"/>
        <v>5.6758481531392749E-2</v>
      </c>
      <c r="L32" s="8">
        <f t="shared" si="9"/>
        <v>6.9846783338774782E-2</v>
      </c>
      <c r="M32" s="8">
        <f t="shared" si="10"/>
        <v>6.4274224755007311E-2</v>
      </c>
      <c r="N32" s="8">
        <f t="shared" si="11"/>
        <v>6.2068391557865754E-2</v>
      </c>
      <c r="O32" s="8">
        <f t="shared" si="12"/>
        <v>7.4952296159263854E-2</v>
      </c>
      <c r="P32" s="8">
        <f t="shared" si="13"/>
        <v>7.4940327067159002E-2</v>
      </c>
    </row>
    <row r="33" spans="2:16" x14ac:dyDescent="0.3">
      <c r="B33" s="10" t="s">
        <v>7</v>
      </c>
      <c r="C33" s="10">
        <f t="shared" si="2"/>
        <v>-2.4399659371925772E-2</v>
      </c>
      <c r="D33" s="10">
        <f t="shared" si="3"/>
        <v>-4.5919470615925446E-2</v>
      </c>
      <c r="E33" s="10">
        <f t="shared" si="4"/>
        <v>-5.1460817589497485E-2</v>
      </c>
      <c r="F33" s="10">
        <f t="shared" si="5"/>
        <v>-3.1807765327749565E-2</v>
      </c>
      <c r="G33" s="10">
        <f t="shared" si="6"/>
        <v>-4.5624009965912017E-2</v>
      </c>
      <c r="H33" s="10">
        <f t="shared" si="7"/>
        <v>-6.1920210534534399E-2</v>
      </c>
      <c r="J33" s="10" t="s">
        <v>7</v>
      </c>
      <c r="K33" s="8">
        <f t="shared" si="8"/>
        <v>8.4696688251860969E-2</v>
      </c>
      <c r="L33" s="8">
        <f t="shared" si="9"/>
        <v>9.7731404296094004E-2</v>
      </c>
      <c r="M33" s="8">
        <f t="shared" si="10"/>
        <v>9.0811292439103491E-2</v>
      </c>
      <c r="N33" s="8">
        <f t="shared" si="11"/>
        <v>9.1822391539952086E-2</v>
      </c>
      <c r="O33" s="8">
        <f t="shared" si="12"/>
        <v>0.10560346809419034</v>
      </c>
      <c r="P33" s="8">
        <f t="shared" si="13"/>
        <v>0.1070303761873396</v>
      </c>
    </row>
    <row r="34" spans="2:16" x14ac:dyDescent="0.3">
      <c r="B34" s="10" t="s">
        <v>12</v>
      </c>
      <c r="C34" s="10">
        <f t="shared" si="2"/>
        <v>-4.8889068163635016E-2</v>
      </c>
      <c r="D34" s="10">
        <f t="shared" si="3"/>
        <v>-6.1744002668557313E-2</v>
      </c>
      <c r="E34" s="10">
        <f t="shared" si="4"/>
        <v>-9.6697114348011703E-2</v>
      </c>
      <c r="F34" s="10">
        <f t="shared" si="5"/>
        <v>-1.1387496429698135E-2</v>
      </c>
      <c r="G34" s="10">
        <f t="shared" si="6"/>
        <v>5.0301042344778613E-3</v>
      </c>
      <c r="H34" s="10">
        <f t="shared" si="7"/>
        <v>-2.2250846915690126E-2</v>
      </c>
      <c r="J34" s="10" t="s">
        <v>12</v>
      </c>
      <c r="K34" s="8">
        <f t="shared" si="8"/>
        <v>0.14773670251147117</v>
      </c>
      <c r="L34" s="8">
        <f t="shared" si="9"/>
        <v>0.16216366936935375</v>
      </c>
      <c r="M34" s="8">
        <f t="shared" si="10"/>
        <v>0.14626995674877594</v>
      </c>
      <c r="N34" s="8">
        <f t="shared" si="11"/>
        <v>0.16247600309310056</v>
      </c>
      <c r="O34" s="8">
        <f t="shared" si="12"/>
        <v>0.18318809309255948</v>
      </c>
      <c r="P34" s="8">
        <f t="shared" si="13"/>
        <v>0.17918644662246866</v>
      </c>
    </row>
    <row r="35" spans="2:16" x14ac:dyDescent="0.3">
      <c r="B35" s="10" t="s">
        <v>0</v>
      </c>
      <c r="C35" s="10">
        <f t="shared" si="2"/>
        <v>0.16145597651961124</v>
      </c>
      <c r="D35" s="10">
        <f t="shared" si="3"/>
        <v>0.11642302557989925</v>
      </c>
      <c r="E35" s="10">
        <f t="shared" si="4"/>
        <v>0.19059182353386345</v>
      </c>
      <c r="F35" s="10">
        <f t="shared" si="5"/>
        <v>9.0130690464034768E-2</v>
      </c>
      <c r="G35" s="10">
        <f t="shared" si="6"/>
        <v>8.0426871431547031E-3</v>
      </c>
      <c r="H35" s="10">
        <f t="shared" si="7"/>
        <v>3.5956876856258868E-2</v>
      </c>
      <c r="J35" s="10" t="s">
        <v>0</v>
      </c>
      <c r="K35" s="8">
        <f t="shared" si="8"/>
        <v>0.41820513697552075</v>
      </c>
      <c r="L35" s="8">
        <f t="shared" si="9"/>
        <v>0.43018074581798282</v>
      </c>
      <c r="M35" s="8">
        <f t="shared" si="10"/>
        <v>0.41045704363818597</v>
      </c>
      <c r="N35" s="8">
        <f t="shared" si="11"/>
        <v>0.43717266427618146</v>
      </c>
      <c r="O35" s="8">
        <f t="shared" si="12"/>
        <v>0.45900232007079411</v>
      </c>
      <c r="P35" s="8">
        <f t="shared" si="13"/>
        <v>0.45157910195644169</v>
      </c>
    </row>
    <row r="36" spans="2:16" x14ac:dyDescent="0.3">
      <c r="J36" s="12" t="s">
        <v>174</v>
      </c>
      <c r="K36" s="11">
        <f>SUM(K20:K35)</f>
        <v>0.86437809280166322</v>
      </c>
      <c r="L36" s="11">
        <f t="shared" ref="L36:P36" si="14">SUM(L20:L35)</f>
        <v>0.91613891180302132</v>
      </c>
      <c r="M36" s="11">
        <f t="shared" si="14"/>
        <v>0.85371037386820725</v>
      </c>
      <c r="N36" s="11">
        <f t="shared" si="14"/>
        <v>0.93712962990607573</v>
      </c>
      <c r="O36" s="11">
        <f t="shared" si="14"/>
        <v>1.0497451521227725</v>
      </c>
      <c r="P36" s="11">
        <f t="shared" si="14"/>
        <v>1.0529236174066501</v>
      </c>
    </row>
    <row r="37" spans="2:16" x14ac:dyDescent="0.3">
      <c r="J37" s="13" t="s">
        <v>175</v>
      </c>
      <c r="K37" s="14">
        <f>1-K36</f>
        <v>0.13562190719833678</v>
      </c>
      <c r="L37" s="14">
        <f t="shared" ref="L37:P37" si="15">1-L36</f>
        <v>8.3861088196978684E-2</v>
      </c>
      <c r="M37" s="14">
        <f t="shared" si="15"/>
        <v>0.14628962613179275</v>
      </c>
      <c r="N37" s="14">
        <f t="shared" si="15"/>
        <v>6.2870370093924266E-2</v>
      </c>
      <c r="O37" s="14">
        <f t="shared" si="15"/>
        <v>-4.9745152122772529E-2</v>
      </c>
      <c r="P37" s="14">
        <f t="shared" si="15"/>
        <v>-5.2923617406650081E-2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C62D-80B0-4963-8A0D-ACD145A95961}">
  <dimension ref="A1:P15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18</v>
      </c>
      <c r="B2" s="10">
        <v>9.6023488610388591E-2</v>
      </c>
      <c r="C2" s="10">
        <v>0.41935483870967744</v>
      </c>
      <c r="D2" s="10">
        <v>0.18518518518518517</v>
      </c>
      <c r="E2" s="10">
        <v>8.1081081081081086E-2</v>
      </c>
      <c r="F2" s="10">
        <v>8.4210526315789472E-2</v>
      </c>
      <c r="G2" s="10">
        <v>0.14705882352941177</v>
      </c>
      <c r="H2" s="10">
        <v>0.16071428571428573</v>
      </c>
      <c r="I2" s="10">
        <v>9.6023488610388591E-2</v>
      </c>
      <c r="J2" s="10">
        <v>9.6023488610388591E-2</v>
      </c>
      <c r="K2" s="10">
        <v>0.41935483870967744</v>
      </c>
      <c r="L2" s="10">
        <v>0.18518518518518517</v>
      </c>
      <c r="M2" s="10">
        <v>8.1081081081081086E-2</v>
      </c>
      <c r="N2" s="10">
        <v>8.4210526315789472E-2</v>
      </c>
      <c r="O2" s="10">
        <v>0.14705882352941177</v>
      </c>
      <c r="P2" s="10">
        <v>0.16071428571428573</v>
      </c>
    </row>
    <row r="3" spans="1:16" x14ac:dyDescent="0.3">
      <c r="A3" s="10" t="s">
        <v>17</v>
      </c>
      <c r="B3" s="10">
        <v>0.13517774099471899</v>
      </c>
      <c r="C3" s="10">
        <v>4.8387096774193547E-2</v>
      </c>
      <c r="D3" s="10">
        <v>3.7037037037037035E-2</v>
      </c>
      <c r="E3" s="10">
        <v>8.1081081081081086E-2</v>
      </c>
      <c r="F3" s="10">
        <v>7.8947368421052627E-2</v>
      </c>
      <c r="G3" s="10">
        <v>7.6470588235294124E-2</v>
      </c>
      <c r="H3" s="10">
        <v>0.10714285714285714</v>
      </c>
      <c r="I3" s="10">
        <v>0.23120122960510758</v>
      </c>
      <c r="J3" s="10">
        <f t="shared" ref="J3:P6" si="0">J2+B3</f>
        <v>0.23120122960510758</v>
      </c>
      <c r="K3" s="10">
        <f t="shared" si="0"/>
        <v>0.467741935483871</v>
      </c>
      <c r="L3" s="10">
        <f t="shared" si="0"/>
        <v>0.22222222222222221</v>
      </c>
      <c r="M3" s="10">
        <f t="shared" si="0"/>
        <v>0.16216216216216217</v>
      </c>
      <c r="N3" s="10">
        <f t="shared" si="0"/>
        <v>0.16315789473684211</v>
      </c>
      <c r="O3" s="10">
        <f t="shared" si="0"/>
        <v>0.22352941176470589</v>
      </c>
      <c r="P3" s="10">
        <f t="shared" si="0"/>
        <v>0.26785714285714285</v>
      </c>
    </row>
    <row r="4" spans="1:16" x14ac:dyDescent="0.3">
      <c r="A4" s="10" t="s">
        <v>19</v>
      </c>
      <c r="B4" s="10">
        <v>0.14081343107117522</v>
      </c>
      <c r="C4" s="10">
        <v>0.16129032258064516</v>
      </c>
      <c r="D4" s="10">
        <v>0.29629629629629628</v>
      </c>
      <c r="E4" s="10">
        <v>0.21621621621621623</v>
      </c>
      <c r="F4" s="10">
        <v>0.20526315789473684</v>
      </c>
      <c r="G4" s="10">
        <v>0.12352941176470589</v>
      </c>
      <c r="H4" s="10">
        <v>0.16071428571428573</v>
      </c>
      <c r="I4" s="10">
        <v>0.3720146606762828</v>
      </c>
      <c r="J4" s="10">
        <f t="shared" si="0"/>
        <v>0.3720146606762828</v>
      </c>
      <c r="K4" s="10">
        <f t="shared" si="0"/>
        <v>0.62903225806451613</v>
      </c>
      <c r="L4" s="10">
        <f t="shared" si="0"/>
        <v>0.51851851851851849</v>
      </c>
      <c r="M4" s="10">
        <f t="shared" si="0"/>
        <v>0.3783783783783784</v>
      </c>
      <c r="N4" s="10">
        <f t="shared" si="0"/>
        <v>0.36842105263157898</v>
      </c>
      <c r="O4" s="10">
        <f t="shared" si="0"/>
        <v>0.34705882352941175</v>
      </c>
      <c r="P4" s="10">
        <f t="shared" si="0"/>
        <v>0.4285714285714286</v>
      </c>
    </row>
    <row r="5" spans="1:16" x14ac:dyDescent="0.3">
      <c r="A5" s="10" t="s">
        <v>20</v>
      </c>
      <c r="B5" s="10">
        <v>0.27839520769291398</v>
      </c>
      <c r="C5" s="10">
        <v>4.8387096774193547E-2</v>
      </c>
      <c r="D5" s="10">
        <v>7.407407407407407E-2</v>
      </c>
      <c r="E5" s="10">
        <v>0.32432432432432434</v>
      </c>
      <c r="F5" s="10">
        <v>0.26842105263157895</v>
      </c>
      <c r="G5" s="10">
        <v>0.25882352941176473</v>
      </c>
      <c r="H5" s="10">
        <v>0.22321428571428573</v>
      </c>
      <c r="I5" s="10">
        <v>0.65040986836919679</v>
      </c>
      <c r="J5" s="10">
        <f t="shared" si="0"/>
        <v>0.65040986836919679</v>
      </c>
      <c r="K5" s="10">
        <f t="shared" si="0"/>
        <v>0.67741935483870963</v>
      </c>
      <c r="L5" s="10">
        <f t="shared" si="0"/>
        <v>0.59259259259259256</v>
      </c>
      <c r="M5" s="10">
        <f t="shared" si="0"/>
        <v>0.70270270270270274</v>
      </c>
      <c r="N5" s="10">
        <f t="shared" si="0"/>
        <v>0.63684210526315788</v>
      </c>
      <c r="O5" s="10">
        <f t="shared" si="0"/>
        <v>0.60588235294117654</v>
      </c>
      <c r="P5" s="10">
        <f t="shared" si="0"/>
        <v>0.6517857142857143</v>
      </c>
    </row>
    <row r="6" spans="1:16" x14ac:dyDescent="0.3">
      <c r="A6" s="10" t="s">
        <v>16</v>
      </c>
      <c r="B6" s="10">
        <v>0.34959013163080316</v>
      </c>
      <c r="C6" s="10">
        <v>0.32258064516129031</v>
      </c>
      <c r="D6" s="10">
        <v>0.40740740740740738</v>
      </c>
      <c r="E6" s="10">
        <v>0.29729729729729731</v>
      </c>
      <c r="F6" s="10">
        <v>0.36315789473684212</v>
      </c>
      <c r="G6" s="10">
        <v>0.39411764705882352</v>
      </c>
      <c r="H6" s="10">
        <v>0.3482142857142857</v>
      </c>
      <c r="I6" s="10"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</row>
    <row r="8" spans="1:16" ht="28.8" x14ac:dyDescent="0.3">
      <c r="B8" s="1" t="s">
        <v>154</v>
      </c>
      <c r="C8" s="3" t="s">
        <v>162</v>
      </c>
      <c r="D8" s="3" t="s">
        <v>163</v>
      </c>
      <c r="E8" s="3" t="s">
        <v>164</v>
      </c>
      <c r="F8" s="3" t="s">
        <v>165</v>
      </c>
      <c r="G8" s="3" t="s">
        <v>166</v>
      </c>
      <c r="H8" s="3" t="s">
        <v>167</v>
      </c>
      <c r="J8" s="8"/>
      <c r="K8" s="11" t="s">
        <v>168</v>
      </c>
      <c r="L8" s="11" t="s">
        <v>169</v>
      </c>
      <c r="M8" s="11" t="s">
        <v>170</v>
      </c>
      <c r="N8" s="11" t="s">
        <v>171</v>
      </c>
      <c r="O8" s="11" t="s">
        <v>172</v>
      </c>
      <c r="P8" s="11" t="s">
        <v>173</v>
      </c>
    </row>
    <row r="9" spans="1:16" x14ac:dyDescent="0.3">
      <c r="B9" s="10" t="s">
        <v>18</v>
      </c>
      <c r="C9" s="10">
        <f>C2-B2</f>
        <v>0.32333135009928882</v>
      </c>
      <c r="D9" s="10">
        <f>D2-B2</f>
        <v>8.9161696574796584E-2</v>
      </c>
      <c r="E9" s="10">
        <f>E2-B2</f>
        <v>-1.4942407529307505E-2</v>
      </c>
      <c r="F9" s="10">
        <f>F2-B2</f>
        <v>-1.1812962294599119E-2</v>
      </c>
      <c r="G9" s="10">
        <f>G2-B2</f>
        <v>5.1035334919023179E-2</v>
      </c>
      <c r="H9" s="10">
        <f>H2-B2</f>
        <v>6.4690797103897135E-2</v>
      </c>
      <c r="J9" s="10" t="s">
        <v>18</v>
      </c>
      <c r="K9" s="8">
        <f>(J2-0) * ((K2+0))</f>
        <v>4.0267914578550057E-2</v>
      </c>
      <c r="L9" s="8">
        <f>(J2-0) * ((L2+0))</f>
        <v>1.778212752044233E-2</v>
      </c>
      <c r="M9" s="8">
        <f>(J2-0) * ((M2+0))</f>
        <v>7.7856882657071835E-3</v>
      </c>
      <c r="N9" s="8">
        <f>(J2-0) * ((N2+0))</f>
        <v>8.0861885145590388E-3</v>
      </c>
      <c r="O9" s="8">
        <f>(J2-0) * ((O2+0))</f>
        <v>1.4121101266233617E-2</v>
      </c>
      <c r="P9" s="8">
        <f>(J2-0) * ((P2+0))</f>
        <v>1.5432346383812454E-2</v>
      </c>
    </row>
    <row r="10" spans="1:16" x14ac:dyDescent="0.3">
      <c r="B10" s="10" t="s">
        <v>17</v>
      </c>
      <c r="C10" s="10">
        <f t="shared" ref="C10:C13" si="1">C3-B3</f>
        <v>-8.6790644220525445E-2</v>
      </c>
      <c r="D10" s="10">
        <f t="shared" ref="D10:D13" si="2">D3-B3</f>
        <v>-9.8140703957681957E-2</v>
      </c>
      <c r="E10" s="10">
        <f t="shared" ref="E10:E13" si="3">E3-B3</f>
        <v>-5.4096659913637907E-2</v>
      </c>
      <c r="F10" s="10">
        <f t="shared" ref="F10:F13" si="4">F3-B3</f>
        <v>-5.6230372573666365E-2</v>
      </c>
      <c r="G10" s="10">
        <f t="shared" ref="G10:G13" si="5">G3-B3</f>
        <v>-5.8707152759424869E-2</v>
      </c>
      <c r="H10" s="10">
        <f t="shared" ref="H10:H13" si="6">H3-B3</f>
        <v>-2.8034883851861855E-2</v>
      </c>
      <c r="J10" s="10" t="s">
        <v>17</v>
      </c>
      <c r="K10" s="8">
        <f>(J3-J2) * ((K3+K2))</f>
        <v>0.11991573797918621</v>
      </c>
      <c r="L10" s="8">
        <f>(J3-J2) * ((L3+L2))</f>
        <v>5.5072412997848479E-2</v>
      </c>
      <c r="M10" s="8">
        <f>(J3-J2) * ((M3+M2))</f>
        <v>3.2881072133850567E-2</v>
      </c>
      <c r="N10" s="8">
        <f>(J3-J2) * ((N3+N2))</f>
        <v>3.3438704351325226E-2</v>
      </c>
      <c r="O10" s="8">
        <f>(J3-J2) * ((O3+O2))</f>
        <v>5.0095280486278218E-2</v>
      </c>
      <c r="P10" s="8">
        <f>(J3-J2) * ((P3+P2))</f>
        <v>5.7933317569165289E-2</v>
      </c>
    </row>
    <row r="11" spans="1:16" x14ac:dyDescent="0.3">
      <c r="B11" s="10" t="s">
        <v>19</v>
      </c>
      <c r="C11" s="10">
        <f t="shared" si="1"/>
        <v>2.0476891509469936E-2</v>
      </c>
      <c r="D11" s="10">
        <f t="shared" si="2"/>
        <v>0.15548286522512106</v>
      </c>
      <c r="E11" s="10">
        <f t="shared" si="3"/>
        <v>7.5402785145041007E-2</v>
      </c>
      <c r="F11" s="10">
        <f t="shared" si="4"/>
        <v>6.4449726823561621E-2</v>
      </c>
      <c r="G11" s="10">
        <f t="shared" si="5"/>
        <v>-1.7284019306469334E-2</v>
      </c>
      <c r="H11" s="10">
        <f t="shared" si="6"/>
        <v>1.9900854643110505E-2</v>
      </c>
      <c r="J11" s="10" t="s">
        <v>19</v>
      </c>
      <c r="K11" s="8">
        <f t="shared" ref="K11:K13" si="7">(J4-J3) * ((K4+K3))</f>
        <v>0.15444053730386959</v>
      </c>
      <c r="L11" s="8">
        <f t="shared" ref="L11:L13" si="8">(J4-J3) * ((L4+L3))</f>
        <v>0.10430624523790756</v>
      </c>
      <c r="M11" s="8">
        <f t="shared" ref="M11:M13" si="9">(J4-J3) * ((M4+M3))</f>
        <v>7.6115368146581208E-2</v>
      </c>
      <c r="N11" s="8">
        <f t="shared" ref="N11:N13" si="10">(J4-J3) * ((N4+N3))</f>
        <v>7.485345546415105E-2</v>
      </c>
      <c r="O11" s="8">
        <f t="shared" ref="O11:O13" si="11">(J4-J3) * ((O4+O3))</f>
        <v>8.0346487140611739E-2</v>
      </c>
      <c r="P11" s="8">
        <f t="shared" ref="P11:P13" si="12">(J4-J3) * ((P4+P3))</f>
        <v>9.8066496638854167E-2</v>
      </c>
    </row>
    <row r="12" spans="1:16" x14ac:dyDescent="0.3">
      <c r="B12" s="10" t="s">
        <v>20</v>
      </c>
      <c r="C12" s="10">
        <f t="shared" si="1"/>
        <v>-0.23000811091872042</v>
      </c>
      <c r="D12" s="10">
        <f t="shared" si="2"/>
        <v>-0.20432113361883991</v>
      </c>
      <c r="E12" s="10">
        <f t="shared" si="3"/>
        <v>4.592911663141036E-2</v>
      </c>
      <c r="F12" s="10">
        <f t="shared" si="4"/>
        <v>-9.9741550613350327E-3</v>
      </c>
      <c r="G12" s="10">
        <f t="shared" si="5"/>
        <v>-1.9571678281149252E-2</v>
      </c>
      <c r="H12" s="10">
        <f t="shared" si="6"/>
        <v>-5.5180921978628256E-2</v>
      </c>
      <c r="J12" s="10" t="s">
        <v>20</v>
      </c>
      <c r="K12" s="8">
        <f t="shared" si="7"/>
        <v>0.363709868114936</v>
      </c>
      <c r="L12" s="8">
        <f t="shared" si="8"/>
        <v>0.30932800854768222</v>
      </c>
      <c r="M12" s="8">
        <f t="shared" si="9"/>
        <v>0.30096779210044755</v>
      </c>
      <c r="N12" s="8">
        <f t="shared" si="10"/>
        <v>0.27986044562813983</v>
      </c>
      <c r="O12" s="8">
        <f t="shared" si="11"/>
        <v>0.26529425674265922</v>
      </c>
      <c r="P12" s="8">
        <f t="shared" si="12"/>
        <v>0.30076625116823741</v>
      </c>
    </row>
    <row r="13" spans="1:16" x14ac:dyDescent="0.3">
      <c r="B13" s="10" t="s">
        <v>16</v>
      </c>
      <c r="C13" s="10">
        <f t="shared" si="1"/>
        <v>-2.7009486469512844E-2</v>
      </c>
      <c r="D13" s="10">
        <f t="shared" si="2"/>
        <v>5.7817275776604227E-2</v>
      </c>
      <c r="E13" s="10">
        <f t="shared" si="3"/>
        <v>-5.2292834333505844E-2</v>
      </c>
      <c r="F13" s="10">
        <f t="shared" si="4"/>
        <v>1.3567763106038966E-2</v>
      </c>
      <c r="G13" s="10">
        <f t="shared" si="5"/>
        <v>4.4527515428020359E-2</v>
      </c>
      <c r="H13" s="10">
        <f t="shared" si="6"/>
        <v>-1.3758459165174597E-3</v>
      </c>
      <c r="J13" s="10" t="s">
        <v>16</v>
      </c>
      <c r="K13" s="8">
        <f t="shared" si="7"/>
        <v>0.58640925305812142</v>
      </c>
      <c r="L13" s="8">
        <f t="shared" si="8"/>
        <v>0.55675465407868663</v>
      </c>
      <c r="M13" s="8">
        <f t="shared" si="9"/>
        <v>0.59524806196596225</v>
      </c>
      <c r="N13" s="8">
        <f t="shared" si="10"/>
        <v>0.57222384703778839</v>
      </c>
      <c r="O13" s="8">
        <f t="shared" si="11"/>
        <v>0.56140062314828987</v>
      </c>
      <c r="P13" s="8">
        <f t="shared" si="12"/>
        <v>0.57744798528302321</v>
      </c>
    </row>
    <row r="14" spans="1:16" x14ac:dyDescent="0.3">
      <c r="J14" s="11" t="s">
        <v>174</v>
      </c>
      <c r="K14" s="11">
        <f>SUM(K9:K13)</f>
        <v>1.2647433110346631</v>
      </c>
      <c r="L14" s="11">
        <f t="shared" ref="L14:P14" si="13">SUM(L9:L13)</f>
        <v>1.0432434483825672</v>
      </c>
      <c r="M14" s="11">
        <f t="shared" si="13"/>
        <v>1.0129979826125488</v>
      </c>
      <c r="N14" s="11">
        <f t="shared" si="13"/>
        <v>0.96846264099596358</v>
      </c>
      <c r="O14" s="11">
        <f t="shared" si="13"/>
        <v>0.97125774878407267</v>
      </c>
      <c r="P14" s="11">
        <f t="shared" si="13"/>
        <v>1.0496463970430925</v>
      </c>
    </row>
    <row r="15" spans="1:16" x14ac:dyDescent="0.3">
      <c r="J15" s="14" t="s">
        <v>175</v>
      </c>
      <c r="K15" s="14">
        <f>1-K14</f>
        <v>-0.26474331103466309</v>
      </c>
      <c r="L15" s="14">
        <f t="shared" ref="L15:P15" si="14">1-L14</f>
        <v>-4.3243448382567218E-2</v>
      </c>
      <c r="M15" s="14">
        <f t="shared" si="14"/>
        <v>-1.2997982612548808E-2</v>
      </c>
      <c r="N15" s="14">
        <f t="shared" si="14"/>
        <v>3.1537359004036425E-2</v>
      </c>
      <c r="O15" s="14">
        <f t="shared" si="14"/>
        <v>2.8742251215927328E-2</v>
      </c>
      <c r="P15" s="14">
        <f t="shared" si="14"/>
        <v>-4.9646397043092483E-2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C6D7-AE9F-490B-A6A1-5015A27FAFAF}">
  <dimension ref="A1:P21"/>
  <sheetViews>
    <sheetView zoomScale="94"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28</v>
      </c>
      <c r="B2" s="10">
        <v>3.1397293075806264E-2</v>
      </c>
      <c r="C2" s="10">
        <v>0.14814814814814814</v>
      </c>
      <c r="D2" s="10">
        <v>2.7777777777777776E-2</v>
      </c>
      <c r="E2" s="10">
        <v>3.2258064516129031E-2</v>
      </c>
      <c r="F2" s="10">
        <v>1.7391304347826087E-2</v>
      </c>
      <c r="G2" s="10">
        <v>7.575757575757576E-3</v>
      </c>
      <c r="H2" s="10">
        <v>1.2195121951219513E-2</v>
      </c>
      <c r="I2" s="10">
        <v>3.1397293075806264E-2</v>
      </c>
      <c r="J2" s="10">
        <v>3.1397293075806264E-2</v>
      </c>
      <c r="K2" s="10">
        <v>0.14814814814814814</v>
      </c>
      <c r="L2" s="10">
        <v>2.7777777777777776E-2</v>
      </c>
      <c r="M2" s="10">
        <v>3.2258064516129031E-2</v>
      </c>
      <c r="N2" s="10">
        <v>1.7391304347826087E-2</v>
      </c>
      <c r="O2" s="10">
        <v>7.575757575757576E-3</v>
      </c>
      <c r="P2" s="10">
        <v>1.2195121951219513E-2</v>
      </c>
    </row>
    <row r="3" spans="1:16" x14ac:dyDescent="0.3">
      <c r="A3" s="10" t="s">
        <v>25</v>
      </c>
      <c r="B3" s="10">
        <v>7.4278715483964197E-2</v>
      </c>
      <c r="C3" s="10">
        <v>7.407407407407407E-2</v>
      </c>
      <c r="D3" s="10">
        <v>8.3333333333333329E-2</v>
      </c>
      <c r="E3" s="10">
        <v>6.4516129032258063E-2</v>
      </c>
      <c r="F3" s="10">
        <v>4.3478260869565216E-2</v>
      </c>
      <c r="G3" s="10">
        <v>0.14393939393939395</v>
      </c>
      <c r="H3" s="10">
        <v>0.2073170731707317</v>
      </c>
      <c r="I3" s="10">
        <v>0.10567600855977047</v>
      </c>
      <c r="J3" s="10">
        <f t="shared" ref="J3:P9" si="0">J2+B3</f>
        <v>0.10567600855977047</v>
      </c>
      <c r="K3" s="10">
        <f t="shared" si="0"/>
        <v>0.22222222222222221</v>
      </c>
      <c r="L3" s="15">
        <f t="shared" si="0"/>
        <v>0.1111111111111111</v>
      </c>
      <c r="M3" s="10">
        <f t="shared" si="0"/>
        <v>9.6774193548387094E-2</v>
      </c>
      <c r="N3" s="10">
        <f t="shared" si="0"/>
        <v>6.08695652173913E-2</v>
      </c>
      <c r="O3" s="10">
        <f t="shared" si="0"/>
        <v>0.15151515151515152</v>
      </c>
      <c r="P3" s="10">
        <f t="shared" si="0"/>
        <v>0.21951219512195122</v>
      </c>
    </row>
    <row r="4" spans="1:16" x14ac:dyDescent="0.3">
      <c r="A4" s="10" t="s">
        <v>22</v>
      </c>
      <c r="B4" s="10">
        <v>7.5620480145323438E-2</v>
      </c>
      <c r="C4" s="10">
        <v>5.5555555555555552E-2</v>
      </c>
      <c r="D4" s="10">
        <v>0</v>
      </c>
      <c r="E4" s="10">
        <v>9.6774193548387094E-2</v>
      </c>
      <c r="F4" s="10">
        <v>1.7391304347826087E-2</v>
      </c>
      <c r="G4" s="10">
        <v>4.5454545454545456E-2</v>
      </c>
      <c r="H4" s="10">
        <v>2.4390243902439025E-2</v>
      </c>
      <c r="I4" s="10">
        <v>0.18129648870509391</v>
      </c>
      <c r="J4" s="10">
        <f t="shared" si="0"/>
        <v>0.18129648870509391</v>
      </c>
      <c r="K4" s="10">
        <f t="shared" si="0"/>
        <v>0.27777777777777779</v>
      </c>
      <c r="L4" s="15">
        <f t="shared" si="0"/>
        <v>0.1111111111111111</v>
      </c>
      <c r="M4" s="10">
        <f t="shared" si="0"/>
        <v>0.19354838709677419</v>
      </c>
      <c r="N4" s="10">
        <f t="shared" si="0"/>
        <v>7.8260869565217384E-2</v>
      </c>
      <c r="O4" s="10">
        <f t="shared" si="0"/>
        <v>0.19696969696969696</v>
      </c>
      <c r="P4" s="10">
        <f t="shared" si="0"/>
        <v>0.24390243902439024</v>
      </c>
    </row>
    <row r="5" spans="1:16" x14ac:dyDescent="0.3">
      <c r="A5" s="10" t="s">
        <v>26</v>
      </c>
      <c r="B5" s="10">
        <v>9.0407414797944008E-2</v>
      </c>
      <c r="C5" s="10">
        <v>0.12962962962962962</v>
      </c>
      <c r="D5" s="10">
        <v>0.1111111111111111</v>
      </c>
      <c r="E5" s="10">
        <v>0</v>
      </c>
      <c r="F5" s="10">
        <v>0.1391304347826087</v>
      </c>
      <c r="G5" s="10">
        <v>0.12878787878787878</v>
      </c>
      <c r="H5" s="10">
        <v>7.3170731707317069E-2</v>
      </c>
      <c r="I5" s="10">
        <v>0.27170390350303791</v>
      </c>
      <c r="J5" s="10">
        <f t="shared" si="0"/>
        <v>0.27170390350303791</v>
      </c>
      <c r="K5" s="10">
        <f t="shared" si="0"/>
        <v>0.40740740740740744</v>
      </c>
      <c r="L5" s="15">
        <f t="shared" si="0"/>
        <v>0.22222222222222221</v>
      </c>
      <c r="M5" s="10">
        <f t="shared" si="0"/>
        <v>0.19354838709677419</v>
      </c>
      <c r="N5" s="10">
        <f t="shared" si="0"/>
        <v>0.21739130434782608</v>
      </c>
      <c r="O5" s="10">
        <f t="shared" si="0"/>
        <v>0.32575757575757575</v>
      </c>
      <c r="P5" s="10">
        <f t="shared" si="0"/>
        <v>0.31707317073170732</v>
      </c>
    </row>
    <row r="6" spans="1:16" x14ac:dyDescent="0.3">
      <c r="A6" s="10" t="s">
        <v>23</v>
      </c>
      <c r="B6" s="10">
        <v>9.6841004328051136E-2</v>
      </c>
      <c r="C6" s="10">
        <v>9.2592592592592587E-2</v>
      </c>
      <c r="D6" s="10">
        <v>5.5555555555555552E-2</v>
      </c>
      <c r="E6" s="10">
        <v>9.6774193548387094E-2</v>
      </c>
      <c r="F6" s="10">
        <v>0.18260869565217391</v>
      </c>
      <c r="G6" s="10">
        <v>9.8484848484848481E-2</v>
      </c>
      <c r="H6" s="10">
        <v>9.7560975609756101E-2</v>
      </c>
      <c r="I6" s="10">
        <v>0.36854490783108906</v>
      </c>
      <c r="J6" s="10">
        <f t="shared" si="0"/>
        <v>0.36854490783108906</v>
      </c>
      <c r="K6" s="10">
        <f t="shared" si="0"/>
        <v>0.5</v>
      </c>
      <c r="L6" s="15">
        <f t="shared" si="0"/>
        <v>0.27777777777777779</v>
      </c>
      <c r="M6" s="10">
        <f t="shared" si="0"/>
        <v>0.29032258064516125</v>
      </c>
      <c r="N6" s="10">
        <f t="shared" si="0"/>
        <v>0.4</v>
      </c>
      <c r="O6" s="10">
        <f t="shared" si="0"/>
        <v>0.4242424242424242</v>
      </c>
      <c r="P6" s="10">
        <f t="shared" si="0"/>
        <v>0.41463414634146345</v>
      </c>
    </row>
    <row r="7" spans="1:16" x14ac:dyDescent="0.3">
      <c r="A7" s="10" t="s">
        <v>24</v>
      </c>
      <c r="B7" s="10">
        <v>0.13083237574915194</v>
      </c>
      <c r="C7" s="10">
        <v>9.2592592592592587E-2</v>
      </c>
      <c r="D7" s="10">
        <v>8.3333333333333329E-2</v>
      </c>
      <c r="E7" s="10">
        <v>0.12903225806451613</v>
      </c>
      <c r="F7" s="10">
        <v>0.12173913043478261</v>
      </c>
      <c r="G7" s="10">
        <v>9.8484848484848481E-2</v>
      </c>
      <c r="H7" s="10">
        <v>4.878048780487805E-2</v>
      </c>
      <c r="I7" s="10">
        <v>0.49937728358024103</v>
      </c>
      <c r="J7" s="10">
        <f t="shared" si="0"/>
        <v>0.49937728358024103</v>
      </c>
      <c r="K7" s="10">
        <f t="shared" si="0"/>
        <v>0.59259259259259256</v>
      </c>
      <c r="L7" s="15">
        <f t="shared" si="0"/>
        <v>0.3611111111111111</v>
      </c>
      <c r="M7" s="10">
        <f t="shared" si="0"/>
        <v>0.41935483870967738</v>
      </c>
      <c r="N7" s="10">
        <f t="shared" si="0"/>
        <v>0.52173913043478259</v>
      </c>
      <c r="O7" s="10">
        <f t="shared" si="0"/>
        <v>0.52272727272727271</v>
      </c>
      <c r="P7" s="10">
        <f t="shared" si="0"/>
        <v>0.46341463414634149</v>
      </c>
    </row>
    <row r="8" spans="1:16" x14ac:dyDescent="0.3">
      <c r="A8" s="10" t="s">
        <v>27</v>
      </c>
      <c r="B8" s="10">
        <v>0.14120868913033008</v>
      </c>
      <c r="C8" s="10">
        <v>0.16666666666666666</v>
      </c>
      <c r="D8" s="10">
        <v>0.3611111111111111</v>
      </c>
      <c r="E8" s="10">
        <v>0.25806451612903225</v>
      </c>
      <c r="F8" s="10">
        <v>0.1391304347826087</v>
      </c>
      <c r="G8" s="10">
        <v>0.23484848484848486</v>
      </c>
      <c r="H8" s="10">
        <v>0.28048780487804881</v>
      </c>
      <c r="I8" s="10">
        <v>0.64058597271057116</v>
      </c>
      <c r="J8" s="10">
        <f t="shared" si="0"/>
        <v>0.64058597271057116</v>
      </c>
      <c r="K8" s="10">
        <f t="shared" si="0"/>
        <v>0.75925925925925919</v>
      </c>
      <c r="L8" s="15">
        <f t="shared" si="0"/>
        <v>0.72222222222222221</v>
      </c>
      <c r="M8" s="10">
        <f t="shared" si="0"/>
        <v>0.67741935483870963</v>
      </c>
      <c r="N8" s="10">
        <f t="shared" si="0"/>
        <v>0.66086956521739126</v>
      </c>
      <c r="O8" s="10">
        <f t="shared" si="0"/>
        <v>0.75757575757575757</v>
      </c>
      <c r="P8" s="10">
        <f t="shared" si="0"/>
        <v>0.74390243902439024</v>
      </c>
    </row>
    <row r="9" spans="1:16" x14ac:dyDescent="0.3">
      <c r="A9" s="10" t="s">
        <v>21</v>
      </c>
      <c r="B9" s="10">
        <v>0.35941402728942895</v>
      </c>
      <c r="C9" s="10">
        <v>0.24074074074074073</v>
      </c>
      <c r="D9" s="10">
        <v>0.27777777777777779</v>
      </c>
      <c r="E9" s="10">
        <v>0.32258064516129031</v>
      </c>
      <c r="F9" s="10">
        <v>0.33913043478260868</v>
      </c>
      <c r="G9" s="10">
        <v>0.24242424242424243</v>
      </c>
      <c r="H9" s="10">
        <v>0.25609756097560976</v>
      </c>
      <c r="I9" s="10">
        <v>1</v>
      </c>
      <c r="J9" s="10">
        <f t="shared" si="0"/>
        <v>1</v>
      </c>
      <c r="K9" s="10">
        <f t="shared" si="0"/>
        <v>0.99999999999999989</v>
      </c>
      <c r="L9" s="15">
        <f t="shared" si="0"/>
        <v>1</v>
      </c>
      <c r="M9" s="10">
        <f t="shared" si="0"/>
        <v>1</v>
      </c>
      <c r="N9" s="10">
        <f t="shared" si="0"/>
        <v>1</v>
      </c>
      <c r="O9" s="10">
        <f t="shared" si="0"/>
        <v>1</v>
      </c>
      <c r="P9" s="10">
        <f t="shared" si="0"/>
        <v>1</v>
      </c>
    </row>
    <row r="11" spans="1:16" ht="28.8" x14ac:dyDescent="0.3">
      <c r="B11" s="1" t="s">
        <v>154</v>
      </c>
      <c r="C11" s="3" t="s">
        <v>162</v>
      </c>
      <c r="D11" s="3" t="s">
        <v>163</v>
      </c>
      <c r="E11" s="3" t="s">
        <v>164</v>
      </c>
      <c r="F11" s="3" t="s">
        <v>165</v>
      </c>
      <c r="G11" s="3" t="s">
        <v>166</v>
      </c>
      <c r="H11" s="3" t="s">
        <v>167</v>
      </c>
      <c r="J11" s="8"/>
      <c r="K11" s="11" t="s">
        <v>168</v>
      </c>
      <c r="L11" s="11" t="s">
        <v>169</v>
      </c>
      <c r="M11" s="11" t="s">
        <v>170</v>
      </c>
      <c r="N11" s="11" t="s">
        <v>171</v>
      </c>
      <c r="O11" s="11" t="s">
        <v>172</v>
      </c>
      <c r="P11" s="11" t="s">
        <v>173</v>
      </c>
    </row>
    <row r="12" spans="1:16" x14ac:dyDescent="0.3">
      <c r="B12" s="10" t="s">
        <v>28</v>
      </c>
      <c r="C12" s="10">
        <f>C2-B2</f>
        <v>0.11675085507234187</v>
      </c>
      <c r="D12" s="10">
        <f>D2-B2</f>
        <v>-3.6195152980284875E-3</v>
      </c>
      <c r="E12" s="10">
        <f>E2-B2</f>
        <v>8.6077144032276759E-4</v>
      </c>
      <c r="F12" s="10">
        <f>F2-B2</f>
        <v>-1.4005988727980177E-2</v>
      </c>
      <c r="G12" s="10">
        <f>G2-B2</f>
        <v>-2.3821535500048688E-2</v>
      </c>
      <c r="H12" s="10">
        <f>H2-B2</f>
        <v>-1.9202171124586751E-2</v>
      </c>
      <c r="J12" s="10" t="s">
        <v>28</v>
      </c>
      <c r="K12" s="8">
        <f>(J2-0) * (K2+0)</f>
        <v>4.6514508260453724E-3</v>
      </c>
      <c r="L12" s="8">
        <f t="shared" ref="L12" si="1">(K2-0) * (L2+0)</f>
        <v>4.1152263374485592E-3</v>
      </c>
      <c r="M12" s="8">
        <f>(J2-0) * (M2+0)</f>
        <v>1.0128159056711698E-3</v>
      </c>
      <c r="N12" s="8">
        <f>(J2-0) * (N2+0)</f>
        <v>5.4603987957923942E-4</v>
      </c>
      <c r="O12" s="8">
        <f>(J2-0) * (O2+0)</f>
        <v>2.3785828087732018E-4</v>
      </c>
      <c r="P12" s="8">
        <f>(J2-0) * (P2+0)</f>
        <v>3.8289381799763738E-4</v>
      </c>
    </row>
    <row r="13" spans="1:16" x14ac:dyDescent="0.3">
      <c r="B13" s="10" t="s">
        <v>25</v>
      </c>
      <c r="C13" s="10">
        <f t="shared" ref="C13:C19" si="2">C3-B3</f>
        <v>-2.0464140989012725E-4</v>
      </c>
      <c r="D13" s="10">
        <f t="shared" ref="D13:D19" si="3">D3-B3</f>
        <v>9.0546178493691315E-3</v>
      </c>
      <c r="E13" s="10">
        <f t="shared" ref="E13:E19" si="4">E3-B3</f>
        <v>-9.7625864517061345E-3</v>
      </c>
      <c r="F13" s="10">
        <f t="shared" ref="F13:F19" si="5">F3-B3</f>
        <v>-3.0800454614398981E-2</v>
      </c>
      <c r="G13" s="10">
        <f t="shared" ref="G13:G19" si="6">G3-B3</f>
        <v>6.9660678455429753E-2</v>
      </c>
      <c r="H13" s="10">
        <f t="shared" ref="H13:H19" si="7">H3-B3</f>
        <v>0.1330383576867675</v>
      </c>
      <c r="J13" s="10" t="s">
        <v>25</v>
      </c>
      <c r="K13" s="8">
        <f>(J3-J2) * (K3+K2)</f>
        <v>2.7510635364431182E-2</v>
      </c>
      <c r="L13" s="8">
        <f>(J3-J2) * (L3+L2)</f>
        <v>1.0316488261661694E-2</v>
      </c>
      <c r="M13" s="8">
        <f>(J3-J2) * (M3+M2)</f>
        <v>9.5843503850276384E-3</v>
      </c>
      <c r="N13" s="8">
        <f>(J3-J2) * (N3+N2)</f>
        <v>5.8131168639624147E-3</v>
      </c>
      <c r="O13" s="8">
        <f>(J3-J2) * (O3+O2)</f>
        <v>1.181706837244885E-2</v>
      </c>
      <c r="P13" s="8">
        <f>(J3-J2) * (P3+P2)</f>
        <v>1.7210921880430729E-2</v>
      </c>
    </row>
    <row r="14" spans="1:16" x14ac:dyDescent="0.3">
      <c r="B14" s="10" t="s">
        <v>22</v>
      </c>
      <c r="C14" s="10">
        <f t="shared" si="2"/>
        <v>-2.0064924589767885E-2</v>
      </c>
      <c r="D14" s="10">
        <f t="shared" si="3"/>
        <v>-7.5620480145323438E-2</v>
      </c>
      <c r="E14" s="10">
        <f t="shared" si="4"/>
        <v>2.1153713403063656E-2</v>
      </c>
      <c r="F14" s="10">
        <f t="shared" si="5"/>
        <v>-5.8229175797497354E-2</v>
      </c>
      <c r="G14" s="10">
        <f t="shared" si="6"/>
        <v>-3.0165934690777982E-2</v>
      </c>
      <c r="H14" s="10">
        <f t="shared" si="7"/>
        <v>-5.1230236242884412E-2</v>
      </c>
      <c r="J14" s="10" t="s">
        <v>22</v>
      </c>
      <c r="K14" s="8">
        <f t="shared" ref="K14:K19" si="8">(J4-J3) * (K4+K3)</f>
        <v>3.7810240072661719E-2</v>
      </c>
      <c r="L14" s="8">
        <f t="shared" ref="L14:L19" si="9">(J4-J3) * (L4+L3)</f>
        <v>1.6804551143405209E-2</v>
      </c>
      <c r="M14" s="8">
        <f t="shared" ref="M14:M19" si="10">(J4-J3) * (M4+M3)</f>
        <v>2.1954332945416478E-2</v>
      </c>
      <c r="N14" s="8">
        <f t="shared" ref="N14:N19" si="11">(J4-J3) * (N4+N3)</f>
        <v>1.0521110281088476E-2</v>
      </c>
      <c r="O14" s="8">
        <f t="shared" ref="O14:O19" si="12">(J4-J3) * (O4+O3)</f>
        <v>2.6352591565794534E-2</v>
      </c>
      <c r="P14" s="8">
        <f t="shared" ref="P14:P19" si="13">(J4-J3) * (P4+P3)</f>
        <v>3.5043637140515733E-2</v>
      </c>
    </row>
    <row r="15" spans="1:16" x14ac:dyDescent="0.3">
      <c r="B15" s="10" t="s">
        <v>26</v>
      </c>
      <c r="C15" s="10">
        <f t="shared" si="2"/>
        <v>3.9222214831685615E-2</v>
      </c>
      <c r="D15" s="10">
        <f t="shared" si="3"/>
        <v>2.0703696313167097E-2</v>
      </c>
      <c r="E15" s="10">
        <f t="shared" si="4"/>
        <v>-9.0407414797944008E-2</v>
      </c>
      <c r="F15" s="10">
        <f t="shared" si="5"/>
        <v>4.8723019984664689E-2</v>
      </c>
      <c r="G15" s="10">
        <f t="shared" si="6"/>
        <v>3.8380463989934777E-2</v>
      </c>
      <c r="H15" s="10">
        <f t="shared" si="7"/>
        <v>-1.7236683090626939E-2</v>
      </c>
      <c r="J15" s="10" t="s">
        <v>26</v>
      </c>
      <c r="K15" s="8">
        <f t="shared" si="8"/>
        <v>6.1945821250443123E-2</v>
      </c>
      <c r="L15" s="8">
        <f t="shared" si="9"/>
        <v>3.0135804932648003E-2</v>
      </c>
      <c r="M15" s="8">
        <f t="shared" si="10"/>
        <v>3.4996418631462196E-2</v>
      </c>
      <c r="N15" s="8">
        <f t="shared" si="11"/>
        <v>2.67291487228704E-2</v>
      </c>
      <c r="O15" s="8">
        <f t="shared" si="12"/>
        <v>4.7258421371652551E-2</v>
      </c>
      <c r="P15" s="8">
        <f t="shared" si="13"/>
        <v>5.0716354642749081E-2</v>
      </c>
    </row>
    <row r="16" spans="1:16" x14ac:dyDescent="0.3">
      <c r="B16" s="10" t="s">
        <v>23</v>
      </c>
      <c r="C16" s="10">
        <f t="shared" si="2"/>
        <v>-4.2484117354585488E-3</v>
      </c>
      <c r="D16" s="10">
        <f t="shared" si="3"/>
        <v>-4.1285448772495584E-2</v>
      </c>
      <c r="E16" s="10">
        <f t="shared" si="4"/>
        <v>-6.6810779664042141E-5</v>
      </c>
      <c r="F16" s="10">
        <f t="shared" si="5"/>
        <v>8.5767691324122777E-2</v>
      </c>
      <c r="G16" s="10">
        <f t="shared" si="6"/>
        <v>1.6438441567973444E-3</v>
      </c>
      <c r="H16" s="10">
        <f t="shared" si="7"/>
        <v>7.1997128170496472E-4</v>
      </c>
      <c r="J16" s="10" t="s">
        <v>23</v>
      </c>
      <c r="K16" s="8">
        <f t="shared" si="8"/>
        <v>8.7874244668046414E-2</v>
      </c>
      <c r="L16" s="8">
        <f t="shared" si="9"/>
        <v>4.8420502164025575E-2</v>
      </c>
      <c r="M16" s="8">
        <f t="shared" si="10"/>
        <v>4.685855048131507E-2</v>
      </c>
      <c r="N16" s="8">
        <f t="shared" si="11"/>
        <v>5.978879397644897E-2</v>
      </c>
      <c r="O16" s="8">
        <f t="shared" si="12"/>
        <v>7.2630753246038363E-2</v>
      </c>
      <c r="P16" s="8">
        <f t="shared" si="13"/>
        <v>7.0859271459549622E-2</v>
      </c>
    </row>
    <row r="17" spans="2:16" x14ac:dyDescent="0.3">
      <c r="B17" s="10" t="s">
        <v>24</v>
      </c>
      <c r="C17" s="10">
        <f t="shared" si="2"/>
        <v>-3.8239783156559348E-2</v>
      </c>
      <c r="D17" s="10">
        <f t="shared" si="3"/>
        <v>-4.7499042415818607E-2</v>
      </c>
      <c r="E17" s="10">
        <f t="shared" si="4"/>
        <v>-1.8001176846358102E-3</v>
      </c>
      <c r="F17" s="10">
        <f t="shared" si="5"/>
        <v>-9.093245314369322E-3</v>
      </c>
      <c r="G17" s="10">
        <f t="shared" si="6"/>
        <v>-3.2347527264303455E-2</v>
      </c>
      <c r="H17" s="10">
        <f t="shared" si="7"/>
        <v>-8.2051887944273885E-2</v>
      </c>
      <c r="J17" s="10" t="s">
        <v>24</v>
      </c>
      <c r="K17" s="8">
        <f t="shared" si="8"/>
        <v>0.14294648461481418</v>
      </c>
      <c r="L17" s="8">
        <f t="shared" si="9"/>
        <v>8.3587351173069299E-2</v>
      </c>
      <c r="M17" s="8">
        <f t="shared" si="10"/>
        <v>9.2848782789720738E-2</v>
      </c>
      <c r="N17" s="8">
        <f t="shared" si="11"/>
        <v>0.12059332025574007</v>
      </c>
      <c r="O17" s="8">
        <f t="shared" si="12"/>
        <v>0.12389429521699996</v>
      </c>
      <c r="P17" s="8">
        <f t="shared" si="13"/>
        <v>0.11487720797486516</v>
      </c>
    </row>
    <row r="18" spans="2:16" x14ac:dyDescent="0.3">
      <c r="B18" s="10" t="s">
        <v>27</v>
      </c>
      <c r="C18" s="10">
        <f t="shared" si="2"/>
        <v>2.5457977536336579E-2</v>
      </c>
      <c r="D18" s="10">
        <f t="shared" si="3"/>
        <v>0.21990242198078103</v>
      </c>
      <c r="E18" s="10">
        <f t="shared" si="4"/>
        <v>0.11685582699870217</v>
      </c>
      <c r="F18" s="10">
        <f t="shared" si="5"/>
        <v>-2.0782543477213811E-3</v>
      </c>
      <c r="G18" s="10">
        <f t="shared" si="6"/>
        <v>9.3639795718154784E-2</v>
      </c>
      <c r="H18" s="10">
        <f t="shared" si="7"/>
        <v>0.13927911574771873</v>
      </c>
      <c r="J18" s="10" t="s">
        <v>27</v>
      </c>
      <c r="K18" s="8">
        <f t="shared" si="8"/>
        <v>0.19089322789840923</v>
      </c>
      <c r="L18" s="8">
        <f t="shared" si="9"/>
        <v>0.15297607989119097</v>
      </c>
      <c r="M18" s="8">
        <f t="shared" si="10"/>
        <v>0.15487404614294273</v>
      </c>
      <c r="N18" s="8">
        <f t="shared" si="11"/>
        <v>0.16699462366717299</v>
      </c>
      <c r="O18" s="8">
        <f t="shared" si="12"/>
        <v>0.18078991259868024</v>
      </c>
      <c r="P18" s="8">
        <f t="shared" si="13"/>
        <v>0.1704836612671059</v>
      </c>
    </row>
    <row r="19" spans="2:16" x14ac:dyDescent="0.3">
      <c r="B19" s="10" t="s">
        <v>21</v>
      </c>
      <c r="C19" s="10">
        <f t="shared" si="2"/>
        <v>-0.11867328654868822</v>
      </c>
      <c r="D19" s="10">
        <f t="shared" si="3"/>
        <v>-8.163624951165116E-2</v>
      </c>
      <c r="E19" s="10">
        <f t="shared" si="4"/>
        <v>-3.6833382128138636E-2</v>
      </c>
      <c r="F19" s="10">
        <f t="shared" si="5"/>
        <v>-2.0283592506820269E-2</v>
      </c>
      <c r="G19" s="10">
        <f t="shared" si="6"/>
        <v>-0.11698978486518652</v>
      </c>
      <c r="H19" s="10">
        <f t="shared" si="7"/>
        <v>-0.10331646631381919</v>
      </c>
      <c r="J19" s="10" t="s">
        <v>21</v>
      </c>
      <c r="K19" s="8">
        <f t="shared" si="8"/>
        <v>0.63230245541658769</v>
      </c>
      <c r="L19" s="8">
        <f t="shared" si="9"/>
        <v>0.61899082477623857</v>
      </c>
      <c r="M19" s="8">
        <f t="shared" si="10"/>
        <v>0.60288804577581601</v>
      </c>
      <c r="N19" s="8">
        <f t="shared" si="11"/>
        <v>0.59693981923722528</v>
      </c>
      <c r="O19" s="8">
        <f t="shared" si="12"/>
        <v>0.63169738129657194</v>
      </c>
      <c r="P19" s="8">
        <f t="shared" si="13"/>
        <v>0.62678299880961375</v>
      </c>
    </row>
    <row r="20" spans="2:16" x14ac:dyDescent="0.3">
      <c r="J20" s="11" t="s">
        <v>174</v>
      </c>
      <c r="K20" s="11">
        <f>SUM(K12:K19)</f>
        <v>1.1859345601114391</v>
      </c>
      <c r="L20" s="11">
        <f t="shared" ref="L20:P20" si="14">SUM(L12:L19)</f>
        <v>0.96534682867968791</v>
      </c>
      <c r="M20" s="11">
        <f t="shared" si="14"/>
        <v>0.96501734305737208</v>
      </c>
      <c r="N20" s="11">
        <f t="shared" si="14"/>
        <v>0.9879259728840879</v>
      </c>
      <c r="O20" s="11">
        <f t="shared" si="14"/>
        <v>1.0946782819490637</v>
      </c>
      <c r="P20" s="11">
        <f t="shared" si="14"/>
        <v>1.0863569469928276</v>
      </c>
    </row>
    <row r="21" spans="2:16" x14ac:dyDescent="0.3">
      <c r="J21" s="14" t="s">
        <v>175</v>
      </c>
      <c r="K21" s="14">
        <f>1-K20</f>
        <v>-0.18593456011143905</v>
      </c>
      <c r="L21" s="14">
        <f t="shared" ref="L21:P21" si="15">1-L20</f>
        <v>3.4653171320312093E-2</v>
      </c>
      <c r="M21" s="14">
        <f t="shared" si="15"/>
        <v>3.4982656942627921E-2</v>
      </c>
      <c r="N21" s="14">
        <f t="shared" si="15"/>
        <v>1.20740271159121E-2</v>
      </c>
      <c r="O21" s="14">
        <f t="shared" si="15"/>
        <v>-9.4678281949063692E-2</v>
      </c>
      <c r="P21" s="14">
        <f t="shared" si="15"/>
        <v>-8.6356946992827588E-2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35F7-2620-4452-AE81-17A86D31C34B}">
  <dimension ref="A1:P35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32</v>
      </c>
      <c r="B2" s="10">
        <v>8.6580926018392391E-3</v>
      </c>
      <c r="C2" s="10">
        <v>1.7241379310344827E-2</v>
      </c>
      <c r="D2" s="10">
        <v>3.7735849056603772E-2</v>
      </c>
      <c r="E2" s="10">
        <v>4.7619047619047616E-2</v>
      </c>
      <c r="F2" s="10">
        <v>1.1363636363636364E-2</v>
      </c>
      <c r="G2" s="10">
        <v>6.9444444444444441E-3</v>
      </c>
      <c r="H2" s="10">
        <v>1.9867549668874173E-2</v>
      </c>
      <c r="I2" s="10">
        <v>8.6580926018392391E-3</v>
      </c>
      <c r="J2" s="10">
        <v>8.6580926018392391E-3</v>
      </c>
      <c r="K2" s="10">
        <v>1.7241379310344827E-2</v>
      </c>
      <c r="L2" s="10">
        <v>3.7735849056603772E-2</v>
      </c>
      <c r="M2" s="10">
        <v>4.7619047619047616E-2</v>
      </c>
      <c r="N2" s="10">
        <v>1.1363636363636364E-2</v>
      </c>
      <c r="O2" s="10">
        <v>6.9444444444444441E-3</v>
      </c>
      <c r="P2" s="10">
        <v>1.9867549668874173E-2</v>
      </c>
    </row>
    <row r="3" spans="1:16" x14ac:dyDescent="0.3">
      <c r="A3" s="10" t="s">
        <v>43</v>
      </c>
      <c r="B3" s="10">
        <v>1.2327844057378043E-2</v>
      </c>
      <c r="C3" s="10">
        <v>2.5862068965517241E-2</v>
      </c>
      <c r="D3" s="10">
        <v>1.8867924528301886E-2</v>
      </c>
      <c r="E3" s="10">
        <v>4.7619047619047616E-2</v>
      </c>
      <c r="F3" s="10">
        <v>0</v>
      </c>
      <c r="G3" s="10">
        <v>3.125E-2</v>
      </c>
      <c r="H3" s="10">
        <v>2.6490066225165563E-2</v>
      </c>
      <c r="I3" s="10">
        <v>2.0985936659217282E-2</v>
      </c>
      <c r="J3" s="10">
        <f>J2+B3</f>
        <v>2.0985936659217282E-2</v>
      </c>
      <c r="K3" s="10">
        <f t="shared" ref="K3:P16" si="0">K2+C3</f>
        <v>4.3103448275862072E-2</v>
      </c>
      <c r="L3" s="10">
        <f t="shared" si="0"/>
        <v>5.6603773584905662E-2</v>
      </c>
      <c r="M3" s="10">
        <f t="shared" si="0"/>
        <v>9.5238095238095233E-2</v>
      </c>
      <c r="N3" s="10">
        <f t="shared" si="0"/>
        <v>1.1363636363636364E-2</v>
      </c>
      <c r="O3" s="10">
        <f t="shared" si="0"/>
        <v>3.8194444444444448E-2</v>
      </c>
      <c r="P3" s="10">
        <f t="shared" si="0"/>
        <v>4.6357615894039736E-2</v>
      </c>
    </row>
    <row r="4" spans="1:16" x14ac:dyDescent="0.3">
      <c r="A4" s="10" t="s">
        <v>36</v>
      </c>
      <c r="B4" s="10">
        <v>1.3093789539511637E-2</v>
      </c>
      <c r="C4" s="10">
        <v>3.4482758620689655E-2</v>
      </c>
      <c r="D4" s="10">
        <v>0</v>
      </c>
      <c r="E4" s="10">
        <v>0</v>
      </c>
      <c r="F4" s="10">
        <v>2.2727272727272728E-2</v>
      </c>
      <c r="G4" s="10">
        <v>0</v>
      </c>
      <c r="H4" s="10">
        <v>1.3245033112582781E-2</v>
      </c>
      <c r="I4" s="10">
        <v>3.407972619872892E-2</v>
      </c>
      <c r="J4" s="10">
        <f t="shared" ref="J4:J16" si="1">J3+B4</f>
        <v>3.407972619872892E-2</v>
      </c>
      <c r="K4" s="10">
        <f t="shared" si="0"/>
        <v>7.7586206896551727E-2</v>
      </c>
      <c r="L4" s="10">
        <f t="shared" si="0"/>
        <v>5.6603773584905662E-2</v>
      </c>
      <c r="M4" s="10">
        <f t="shared" si="0"/>
        <v>9.5238095238095233E-2</v>
      </c>
      <c r="N4" s="10">
        <f t="shared" si="0"/>
        <v>3.4090909090909088E-2</v>
      </c>
      <c r="O4" s="10">
        <f t="shared" si="0"/>
        <v>3.8194444444444448E-2</v>
      </c>
      <c r="P4" s="10">
        <f t="shared" si="0"/>
        <v>5.9602649006622516E-2</v>
      </c>
    </row>
    <row r="5" spans="1:16" x14ac:dyDescent="0.3">
      <c r="A5" s="10" t="s">
        <v>31</v>
      </c>
      <c r="B5" s="10">
        <v>1.3641585991923638E-2</v>
      </c>
      <c r="C5" s="10">
        <v>1.7241379310344827E-2</v>
      </c>
      <c r="D5" s="10">
        <v>3.7735849056603772E-2</v>
      </c>
      <c r="E5" s="10">
        <v>0</v>
      </c>
      <c r="F5" s="10">
        <v>0</v>
      </c>
      <c r="G5" s="10">
        <v>0</v>
      </c>
      <c r="H5" s="10">
        <v>1.3245033112582781E-2</v>
      </c>
      <c r="I5" s="10">
        <v>4.7721312190652558E-2</v>
      </c>
      <c r="J5" s="10">
        <f t="shared" si="1"/>
        <v>4.7721312190652558E-2</v>
      </c>
      <c r="K5" s="10">
        <f t="shared" si="0"/>
        <v>9.4827586206896547E-2</v>
      </c>
      <c r="L5" s="10">
        <f t="shared" si="0"/>
        <v>9.4339622641509441E-2</v>
      </c>
      <c r="M5" s="10">
        <f t="shared" si="0"/>
        <v>9.5238095238095233E-2</v>
      </c>
      <c r="N5" s="10">
        <f t="shared" si="0"/>
        <v>3.4090909090909088E-2</v>
      </c>
      <c r="O5" s="10">
        <f t="shared" si="0"/>
        <v>3.8194444444444448E-2</v>
      </c>
      <c r="P5" s="10">
        <f t="shared" si="0"/>
        <v>7.2847682119205295E-2</v>
      </c>
    </row>
    <row r="6" spans="1:16" x14ac:dyDescent="0.3">
      <c r="A6" s="10" t="s">
        <v>41</v>
      </c>
      <c r="B6" s="10">
        <v>2.0467226744101494E-2</v>
      </c>
      <c r="C6" s="10">
        <v>5.1724137931034482E-2</v>
      </c>
      <c r="D6" s="10">
        <v>1.8867924528301886E-2</v>
      </c>
      <c r="E6" s="10">
        <v>4.7619047619047616E-2</v>
      </c>
      <c r="F6" s="10">
        <v>1.7045454545454544E-2</v>
      </c>
      <c r="G6" s="10">
        <v>6.9444444444444441E-3</v>
      </c>
      <c r="H6" s="10">
        <v>0</v>
      </c>
      <c r="I6" s="10">
        <v>6.8188538934754045E-2</v>
      </c>
      <c r="J6" s="10">
        <f t="shared" si="1"/>
        <v>6.8188538934754045E-2</v>
      </c>
      <c r="K6" s="10">
        <f t="shared" si="0"/>
        <v>0.14655172413793102</v>
      </c>
      <c r="L6" s="10">
        <f t="shared" si="0"/>
        <v>0.11320754716981132</v>
      </c>
      <c r="M6" s="10">
        <f t="shared" si="0"/>
        <v>0.14285714285714285</v>
      </c>
      <c r="N6" s="10">
        <f t="shared" si="0"/>
        <v>5.1136363636363633E-2</v>
      </c>
      <c r="O6" s="10">
        <f t="shared" si="0"/>
        <v>4.5138888888888895E-2</v>
      </c>
      <c r="P6" s="10">
        <f t="shared" si="0"/>
        <v>7.2847682119205295E-2</v>
      </c>
    </row>
    <row r="7" spans="1:16" x14ac:dyDescent="0.3">
      <c r="A7" s="10" t="s">
        <v>34</v>
      </c>
      <c r="B7" s="10">
        <v>2.1136217101914379E-2</v>
      </c>
      <c r="C7" s="10">
        <v>1.7241379310344827E-2</v>
      </c>
      <c r="D7" s="10">
        <v>1.8867924528301886E-2</v>
      </c>
      <c r="E7" s="10">
        <v>0</v>
      </c>
      <c r="F7" s="10">
        <v>1.7045454545454544E-2</v>
      </c>
      <c r="G7" s="10">
        <v>8.3333333333333329E-2</v>
      </c>
      <c r="H7" s="10">
        <v>2.6490066225165563E-2</v>
      </c>
      <c r="I7" s="10">
        <v>8.9324756036668423E-2</v>
      </c>
      <c r="J7" s="10">
        <f t="shared" si="1"/>
        <v>8.9324756036668423E-2</v>
      </c>
      <c r="K7" s="10">
        <f t="shared" si="0"/>
        <v>0.16379310344827586</v>
      </c>
      <c r="L7" s="10">
        <f t="shared" si="0"/>
        <v>0.13207547169811321</v>
      </c>
      <c r="M7" s="10">
        <f t="shared" si="0"/>
        <v>0.14285714285714285</v>
      </c>
      <c r="N7" s="10">
        <f t="shared" si="0"/>
        <v>6.8181818181818177E-2</v>
      </c>
      <c r="O7" s="10">
        <f t="shared" si="0"/>
        <v>0.12847222222222221</v>
      </c>
      <c r="P7" s="10">
        <f t="shared" si="0"/>
        <v>9.9337748344370855E-2</v>
      </c>
    </row>
    <row r="8" spans="1:16" x14ac:dyDescent="0.3">
      <c r="A8" s="10" t="s">
        <v>39</v>
      </c>
      <c r="B8" s="10">
        <v>2.6682050213058885E-2</v>
      </c>
      <c r="C8" s="10">
        <v>2.5862068965517241E-2</v>
      </c>
      <c r="D8" s="10">
        <v>3.7735849056603772E-2</v>
      </c>
      <c r="E8" s="10">
        <v>9.5238095238095233E-2</v>
      </c>
      <c r="F8" s="10">
        <v>1.7045454545454544E-2</v>
      </c>
      <c r="G8" s="10">
        <v>1.3888888888888888E-2</v>
      </c>
      <c r="H8" s="10">
        <v>1.9867549668874173E-2</v>
      </c>
      <c r="I8" s="10">
        <v>0.11600680624972731</v>
      </c>
      <c r="J8" s="10">
        <f t="shared" si="1"/>
        <v>0.11600680624972731</v>
      </c>
      <c r="K8" s="10">
        <f t="shared" si="0"/>
        <v>0.18965517241379309</v>
      </c>
      <c r="L8" s="10">
        <f t="shared" si="0"/>
        <v>0.16981132075471697</v>
      </c>
      <c r="M8" s="10">
        <f t="shared" si="0"/>
        <v>0.23809523809523808</v>
      </c>
      <c r="N8" s="10">
        <f t="shared" si="0"/>
        <v>8.5227272727272721E-2</v>
      </c>
      <c r="O8" s="10">
        <f t="shared" si="0"/>
        <v>0.1423611111111111</v>
      </c>
      <c r="P8" s="10">
        <f t="shared" si="0"/>
        <v>0.11920529801324503</v>
      </c>
    </row>
    <row r="9" spans="1:16" x14ac:dyDescent="0.3">
      <c r="A9" s="10" t="s">
        <v>42</v>
      </c>
      <c r="B9" s="10">
        <v>3.4152442541969447E-2</v>
      </c>
      <c r="C9" s="10">
        <v>8.6206896551724137E-3</v>
      </c>
      <c r="D9" s="10">
        <v>1.8867924528301886E-2</v>
      </c>
      <c r="E9" s="10">
        <v>0</v>
      </c>
      <c r="F9" s="10">
        <v>1.7045454545454544E-2</v>
      </c>
      <c r="G9" s="10">
        <v>3.125E-2</v>
      </c>
      <c r="H9" s="10">
        <v>3.3112582781456956E-2</v>
      </c>
      <c r="I9" s="10">
        <v>0.15015924879169676</v>
      </c>
      <c r="J9" s="10">
        <f t="shared" si="1"/>
        <v>0.15015924879169676</v>
      </c>
      <c r="K9" s="10">
        <f t="shared" si="0"/>
        <v>0.1982758620689655</v>
      </c>
      <c r="L9" s="10">
        <f t="shared" si="0"/>
        <v>0.18867924528301885</v>
      </c>
      <c r="M9" s="10">
        <f t="shared" si="0"/>
        <v>0.23809523809523808</v>
      </c>
      <c r="N9" s="10">
        <f t="shared" si="0"/>
        <v>0.10227272727272727</v>
      </c>
      <c r="O9" s="10">
        <f t="shared" si="0"/>
        <v>0.1736111111111111</v>
      </c>
      <c r="P9" s="10">
        <f t="shared" si="0"/>
        <v>0.15231788079470199</v>
      </c>
    </row>
    <row r="10" spans="1:16" x14ac:dyDescent="0.3">
      <c r="A10" s="10" t="s">
        <v>33</v>
      </c>
      <c r="B10" s="10">
        <v>3.8815984021795515E-2</v>
      </c>
      <c r="C10" s="10">
        <v>2.5862068965517241E-2</v>
      </c>
      <c r="D10" s="10">
        <v>0</v>
      </c>
      <c r="E10" s="10">
        <v>0</v>
      </c>
      <c r="F10" s="10">
        <v>2.8409090909090908E-2</v>
      </c>
      <c r="G10" s="10">
        <v>5.5555555555555552E-2</v>
      </c>
      <c r="H10" s="10">
        <v>5.2980132450331126E-2</v>
      </c>
      <c r="I10" s="10">
        <v>0.18897523281349227</v>
      </c>
      <c r="J10" s="10">
        <f t="shared" si="1"/>
        <v>0.18897523281349227</v>
      </c>
      <c r="K10" s="10">
        <f t="shared" si="0"/>
        <v>0.22413793103448273</v>
      </c>
      <c r="L10" s="10">
        <f t="shared" si="0"/>
        <v>0.18867924528301885</v>
      </c>
      <c r="M10" s="10">
        <f t="shared" si="0"/>
        <v>0.23809523809523808</v>
      </c>
      <c r="N10" s="10">
        <f t="shared" si="0"/>
        <v>0.13068181818181818</v>
      </c>
      <c r="O10" s="10">
        <f t="shared" si="0"/>
        <v>0.22916666666666666</v>
      </c>
      <c r="P10" s="10">
        <f t="shared" si="0"/>
        <v>0.20529801324503311</v>
      </c>
    </row>
    <row r="11" spans="1:16" x14ac:dyDescent="0.3">
      <c r="A11" s="10" t="s">
        <v>40</v>
      </c>
      <c r="B11" s="10">
        <v>4.2093067223835448E-2</v>
      </c>
      <c r="C11" s="10">
        <v>3.4482758620689655E-2</v>
      </c>
      <c r="D11" s="10">
        <v>1.8867924528301886E-2</v>
      </c>
      <c r="E11" s="10">
        <v>9.5238095238095233E-2</v>
      </c>
      <c r="F11" s="10">
        <v>3.4090909090909088E-2</v>
      </c>
      <c r="G11" s="10">
        <v>4.1666666666666664E-2</v>
      </c>
      <c r="H11" s="10">
        <v>6.6225165562913912E-2</v>
      </c>
      <c r="I11" s="10">
        <v>0.2310683000373277</v>
      </c>
      <c r="J11" s="10">
        <f t="shared" si="1"/>
        <v>0.2310683000373277</v>
      </c>
      <c r="K11" s="10">
        <f t="shared" si="0"/>
        <v>0.25862068965517238</v>
      </c>
      <c r="L11" s="10">
        <f t="shared" si="0"/>
        <v>0.20754716981132074</v>
      </c>
      <c r="M11" s="10">
        <f t="shared" si="0"/>
        <v>0.33333333333333331</v>
      </c>
      <c r="N11" s="10">
        <f t="shared" si="0"/>
        <v>0.16477272727272727</v>
      </c>
      <c r="O11" s="10">
        <f t="shared" si="0"/>
        <v>0.27083333333333331</v>
      </c>
      <c r="P11" s="10">
        <f t="shared" si="0"/>
        <v>0.27152317880794702</v>
      </c>
    </row>
    <row r="12" spans="1:16" x14ac:dyDescent="0.3">
      <c r="A12" s="10" t="s">
        <v>38</v>
      </c>
      <c r="B12" s="10">
        <v>5.3800398485560959E-2</v>
      </c>
      <c r="C12" s="10">
        <v>6.0344827586206899E-2</v>
      </c>
      <c r="D12" s="10">
        <v>0.13207547169811321</v>
      </c>
      <c r="E12" s="10">
        <v>4.7619047619047616E-2</v>
      </c>
      <c r="F12" s="10">
        <v>3.4090909090909088E-2</v>
      </c>
      <c r="G12" s="10">
        <v>2.0833333333333332E-2</v>
      </c>
      <c r="H12" s="10">
        <v>6.6225165562913912E-2</v>
      </c>
      <c r="I12" s="10">
        <v>0.28486869852288865</v>
      </c>
      <c r="J12" s="10">
        <f t="shared" si="1"/>
        <v>0.28486869852288865</v>
      </c>
      <c r="K12" s="10">
        <f t="shared" si="0"/>
        <v>0.31896551724137928</v>
      </c>
      <c r="L12" s="10">
        <f t="shared" si="0"/>
        <v>0.33962264150943394</v>
      </c>
      <c r="M12" s="10">
        <f t="shared" si="0"/>
        <v>0.38095238095238093</v>
      </c>
      <c r="N12" s="10">
        <f t="shared" si="0"/>
        <v>0.19886363636363635</v>
      </c>
      <c r="O12" s="10">
        <f t="shared" si="0"/>
        <v>0.29166666666666663</v>
      </c>
      <c r="P12" s="10">
        <f t="shared" si="0"/>
        <v>0.33774834437086093</v>
      </c>
    </row>
    <row r="13" spans="1:16" x14ac:dyDescent="0.3">
      <c r="A13" s="10" t="s">
        <v>35</v>
      </c>
      <c r="B13" s="10">
        <v>6.7960694392600385E-2</v>
      </c>
      <c r="C13" s="10">
        <v>6.0344827586206899E-2</v>
      </c>
      <c r="D13" s="10">
        <v>5.6603773584905662E-2</v>
      </c>
      <c r="E13" s="10">
        <v>0.14285714285714285</v>
      </c>
      <c r="F13" s="10">
        <v>1.1363636363636364E-2</v>
      </c>
      <c r="G13" s="10">
        <v>5.9027777777777776E-2</v>
      </c>
      <c r="H13" s="10">
        <v>2.6490066225165563E-2</v>
      </c>
      <c r="I13" s="10">
        <v>0.35282939291548904</v>
      </c>
      <c r="J13" s="10">
        <f t="shared" si="1"/>
        <v>0.35282939291548904</v>
      </c>
      <c r="K13" s="10">
        <f t="shared" si="0"/>
        <v>0.37931034482758619</v>
      </c>
      <c r="L13" s="10">
        <f t="shared" si="0"/>
        <v>0.39622641509433959</v>
      </c>
      <c r="M13" s="10">
        <f t="shared" si="0"/>
        <v>0.52380952380952372</v>
      </c>
      <c r="N13" s="10">
        <f t="shared" si="0"/>
        <v>0.21022727272727271</v>
      </c>
      <c r="O13" s="10">
        <f t="shared" si="0"/>
        <v>0.35069444444444442</v>
      </c>
      <c r="P13" s="10">
        <f t="shared" si="0"/>
        <v>0.36423841059602652</v>
      </c>
    </row>
    <row r="14" spans="1:16" x14ac:dyDescent="0.3">
      <c r="A14" s="10" t="s">
        <v>30</v>
      </c>
      <c r="B14" s="10">
        <v>6.9633170287132604E-2</v>
      </c>
      <c r="C14" s="10">
        <v>5.1724137931034482E-2</v>
      </c>
      <c r="D14" s="10">
        <v>1.8867924528301886E-2</v>
      </c>
      <c r="E14" s="10">
        <v>4.7619047619047616E-2</v>
      </c>
      <c r="F14" s="10">
        <v>6.25E-2</v>
      </c>
      <c r="G14" s="10">
        <v>4.5138888888888888E-2</v>
      </c>
      <c r="H14" s="10">
        <v>1.3245033112582781E-2</v>
      </c>
      <c r="I14" s="10">
        <v>0.42246256320262165</v>
      </c>
      <c r="J14" s="10">
        <f t="shared" si="1"/>
        <v>0.42246256320262165</v>
      </c>
      <c r="K14" s="10">
        <f t="shared" si="0"/>
        <v>0.43103448275862066</v>
      </c>
      <c r="L14" s="10">
        <f t="shared" si="0"/>
        <v>0.41509433962264147</v>
      </c>
      <c r="M14" s="10">
        <f t="shared" si="0"/>
        <v>0.5714285714285714</v>
      </c>
      <c r="N14" s="10">
        <f t="shared" si="0"/>
        <v>0.27272727272727271</v>
      </c>
      <c r="O14" s="10">
        <f t="shared" si="0"/>
        <v>0.39583333333333331</v>
      </c>
      <c r="P14" s="10">
        <f t="shared" si="0"/>
        <v>0.37748344370860931</v>
      </c>
    </row>
    <row r="15" spans="1:16" x14ac:dyDescent="0.3">
      <c r="A15" s="10" t="s">
        <v>37</v>
      </c>
      <c r="B15" s="10">
        <v>0.10351413848100406</v>
      </c>
      <c r="C15" s="10">
        <v>8.6206896551724137E-3</v>
      </c>
      <c r="D15" s="10">
        <v>0.11320754716981132</v>
      </c>
      <c r="E15" s="10">
        <v>9.5238095238095233E-2</v>
      </c>
      <c r="F15" s="10">
        <v>3.4090909090909088E-2</v>
      </c>
      <c r="G15" s="10">
        <v>2.7777777777777776E-2</v>
      </c>
      <c r="H15" s="10">
        <v>5.9602649006622516E-2</v>
      </c>
      <c r="I15" s="10">
        <v>0.52597670168362576</v>
      </c>
      <c r="J15" s="10">
        <f t="shared" si="1"/>
        <v>0.52597670168362576</v>
      </c>
      <c r="K15" s="10">
        <f t="shared" si="0"/>
        <v>0.43965517241379309</v>
      </c>
      <c r="L15" s="10">
        <f t="shared" si="0"/>
        <v>0.52830188679245282</v>
      </c>
      <c r="M15" s="10">
        <f t="shared" si="0"/>
        <v>0.66666666666666663</v>
      </c>
      <c r="N15" s="10">
        <f t="shared" si="0"/>
        <v>0.30681818181818177</v>
      </c>
      <c r="O15" s="10">
        <f t="shared" si="0"/>
        <v>0.4236111111111111</v>
      </c>
      <c r="P15" s="10">
        <f t="shared" si="0"/>
        <v>0.4370860927152318</v>
      </c>
    </row>
    <row r="16" spans="1:16" x14ac:dyDescent="0.3">
      <c r="A16" s="10" t="s">
        <v>29</v>
      </c>
      <c r="B16" s="10">
        <v>0.47402329831637424</v>
      </c>
      <c r="C16" s="10">
        <v>0.56034482758620685</v>
      </c>
      <c r="D16" s="10">
        <v>0.47169811320754718</v>
      </c>
      <c r="E16" s="10">
        <v>0.33333333333333331</v>
      </c>
      <c r="F16" s="10">
        <v>0.69318181818181823</v>
      </c>
      <c r="G16" s="10">
        <v>0.57638888888888884</v>
      </c>
      <c r="H16" s="10">
        <v>0.5629139072847682</v>
      </c>
      <c r="I16" s="10">
        <v>1</v>
      </c>
      <c r="J16" s="10">
        <f t="shared" si="1"/>
        <v>1</v>
      </c>
      <c r="K16" s="10">
        <f t="shared" si="0"/>
        <v>1</v>
      </c>
      <c r="L16" s="10">
        <f t="shared" si="0"/>
        <v>1</v>
      </c>
      <c r="M16" s="10">
        <f t="shared" si="0"/>
        <v>1</v>
      </c>
      <c r="N16" s="10">
        <f t="shared" si="0"/>
        <v>1</v>
      </c>
      <c r="O16" s="10">
        <f t="shared" si="0"/>
        <v>1</v>
      </c>
      <c r="P16" s="10">
        <f t="shared" si="0"/>
        <v>1</v>
      </c>
    </row>
    <row r="18" spans="2:16" ht="28.8" x14ac:dyDescent="0.3">
      <c r="B18" s="1" t="s">
        <v>154</v>
      </c>
      <c r="C18" s="3" t="s">
        <v>162</v>
      </c>
      <c r="D18" s="3" t="s">
        <v>163</v>
      </c>
      <c r="E18" s="3" t="s">
        <v>164</v>
      </c>
      <c r="F18" s="3" t="s">
        <v>165</v>
      </c>
      <c r="G18" s="3" t="s">
        <v>166</v>
      </c>
      <c r="H18" s="3" t="s">
        <v>167</v>
      </c>
      <c r="J18" s="8"/>
      <c r="K18" s="11" t="s">
        <v>168</v>
      </c>
      <c r="L18" s="11" t="s">
        <v>169</v>
      </c>
      <c r="M18" s="11" t="s">
        <v>170</v>
      </c>
      <c r="N18" s="11" t="s">
        <v>171</v>
      </c>
      <c r="O18" s="11" t="s">
        <v>172</v>
      </c>
      <c r="P18" s="11" t="s">
        <v>173</v>
      </c>
    </row>
    <row r="19" spans="2:16" x14ac:dyDescent="0.3">
      <c r="B19" s="10" t="s">
        <v>32</v>
      </c>
      <c r="C19" s="10">
        <f>C2-B2</f>
        <v>8.5832867085055883E-3</v>
      </c>
      <c r="D19" s="10">
        <f>D2-B2</f>
        <v>2.9077756454764535E-2</v>
      </c>
      <c r="E19" s="10">
        <f>E2-B2</f>
        <v>3.8960955017208379E-2</v>
      </c>
      <c r="F19" s="10">
        <f>F2-B2</f>
        <v>2.7055437617971249E-3</v>
      </c>
      <c r="G19" s="10">
        <f>G2-B2</f>
        <v>-1.713648157394795E-3</v>
      </c>
      <c r="H19" s="10">
        <f>H2-B2</f>
        <v>1.1209457067034934E-2</v>
      </c>
      <c r="J19" s="10" t="s">
        <v>32</v>
      </c>
      <c r="K19" s="8">
        <f>(J2-0) * ((K2+0))</f>
        <v>1.4927745865240066E-4</v>
      </c>
      <c r="L19" s="8">
        <f>(J2-0) * ((L2+0))</f>
        <v>3.2672047554110336E-4</v>
      </c>
      <c r="M19" s="8">
        <f>(J2-0) * ((M2+0))</f>
        <v>4.122901238971066E-4</v>
      </c>
      <c r="N19" s="8">
        <f>(J2-0) * ((N2+0))</f>
        <v>9.8387415929991354E-5</v>
      </c>
      <c r="O19" s="8">
        <f>(J2-0) * ((O2+0))</f>
        <v>6.0125643068328044E-5</v>
      </c>
      <c r="P19" s="8">
        <f>(J2-0) * ((P2+0))</f>
        <v>1.7201508480475309E-4</v>
      </c>
    </row>
    <row r="20" spans="2:16" x14ac:dyDescent="0.3">
      <c r="B20" s="10" t="s">
        <v>43</v>
      </c>
      <c r="C20" s="10">
        <f t="shared" ref="C20:C33" si="2">C3-B3</f>
        <v>1.3534224908139198E-2</v>
      </c>
      <c r="D20" s="10">
        <f t="shared" ref="D20:D33" si="3">D3-B3</f>
        <v>6.5400804709238435E-3</v>
      </c>
      <c r="E20" s="10">
        <f t="shared" ref="E20:E33" si="4">E3-B3</f>
        <v>3.5291203561669572E-2</v>
      </c>
      <c r="F20" s="10">
        <f t="shared" ref="F20:F33" si="5">F3-B3</f>
        <v>-1.2327844057378043E-2</v>
      </c>
      <c r="G20" s="10">
        <f t="shared" ref="G20:G33" si="6">G3-B3</f>
        <v>1.8922155942621956E-2</v>
      </c>
      <c r="H20" s="10">
        <f t="shared" ref="H20:H33" si="7">H3-B3</f>
        <v>1.416222216778752E-2</v>
      </c>
      <c r="J20" s="10" t="s">
        <v>43</v>
      </c>
      <c r="K20" s="8">
        <f>(J3-J2) * ((K3+K2))</f>
        <v>7.4392162415212325E-4</v>
      </c>
      <c r="L20" s="8">
        <f>(J3-J2) * ((L3+L2))</f>
        <v>1.1630041563564192E-3</v>
      </c>
      <c r="M20" s="8">
        <f>(J3-J2) * ((M3+M2))</f>
        <v>1.7611205796254346E-3</v>
      </c>
      <c r="N20" s="8">
        <f>(J3-J2) * ((N3+N2))</f>
        <v>2.8017827403131913E-4</v>
      </c>
      <c r="O20" s="8">
        <f>(J3-J2) * ((O3+O2))</f>
        <v>5.5646518314553673E-4</v>
      </c>
      <c r="P20" s="8">
        <f>(J3-J2) * ((P3+P2))</f>
        <v>8.1641351373364524E-4</v>
      </c>
    </row>
    <row r="21" spans="2:16" x14ac:dyDescent="0.3">
      <c r="B21" s="10" t="s">
        <v>36</v>
      </c>
      <c r="C21" s="10">
        <f t="shared" si="2"/>
        <v>2.1388969081178016E-2</v>
      </c>
      <c r="D21" s="10">
        <f t="shared" si="3"/>
        <v>-1.3093789539511637E-2</v>
      </c>
      <c r="E21" s="10">
        <f t="shared" si="4"/>
        <v>-1.3093789539511637E-2</v>
      </c>
      <c r="F21" s="10">
        <f t="shared" si="5"/>
        <v>9.6334831877610914E-3</v>
      </c>
      <c r="G21" s="10">
        <f t="shared" si="6"/>
        <v>-1.3093789539511637E-2</v>
      </c>
      <c r="H21" s="10">
        <f t="shared" si="7"/>
        <v>1.5124357307114492E-4</v>
      </c>
      <c r="J21" s="10" t="s">
        <v>36</v>
      </c>
      <c r="K21" s="8">
        <f t="shared" ref="K21:K33" si="8">(J4-J3) * ((K4+K3))</f>
        <v>1.5802849444238184E-3</v>
      </c>
      <c r="L21" s="8">
        <f t="shared" ref="L21:L33" si="9">(J4-J3) * ((L4+L3))</f>
        <v>1.482315796925846E-3</v>
      </c>
      <c r="M21" s="8">
        <f t="shared" ref="M21:M33" si="10">(J4-J3) * ((M4+M3))</f>
        <v>2.4940551503831693E-3</v>
      </c>
      <c r="N21" s="8">
        <f t="shared" ref="N21:N33" si="11">(J4-J3) * ((N4+N3))</f>
        <v>5.9517225179598363E-4</v>
      </c>
      <c r="O21" s="8">
        <f t="shared" ref="O21:O33" si="12">(J4-J3) * ((O4+O3))</f>
        <v>1.0002200342682501E-3</v>
      </c>
      <c r="P21" s="8">
        <f t="shared" ref="P21:P33" si="13">(J4-J3) * ((P4+P3))</f>
        <v>1.3874214081601736E-3</v>
      </c>
    </row>
    <row r="22" spans="2:16" x14ac:dyDescent="0.3">
      <c r="B22" s="10" t="s">
        <v>31</v>
      </c>
      <c r="C22" s="10">
        <f t="shared" si="2"/>
        <v>3.5997933184211892E-3</v>
      </c>
      <c r="D22" s="10">
        <f t="shared" si="3"/>
        <v>2.4094263064680134E-2</v>
      </c>
      <c r="E22" s="10">
        <f t="shared" si="4"/>
        <v>-1.3641585991923638E-2</v>
      </c>
      <c r="F22" s="10">
        <f t="shared" si="5"/>
        <v>-1.3641585991923638E-2</v>
      </c>
      <c r="G22" s="10">
        <f t="shared" si="6"/>
        <v>-1.3641585991923638E-2</v>
      </c>
      <c r="H22" s="10">
        <f t="shared" si="7"/>
        <v>-3.9655287934085674E-4</v>
      </c>
      <c r="J22" s="10" t="s">
        <v>31</v>
      </c>
      <c r="K22" s="8">
        <f t="shared" si="8"/>
        <v>2.3519975848144206E-3</v>
      </c>
      <c r="L22" s="8">
        <f t="shared" si="9"/>
        <v>2.0591073195356437E-3</v>
      </c>
      <c r="M22" s="8">
        <f t="shared" si="10"/>
        <v>2.5983973317949788E-3</v>
      </c>
      <c r="N22" s="8">
        <f t="shared" si="11"/>
        <v>9.3010813581297525E-4</v>
      </c>
      <c r="O22" s="8">
        <f t="shared" si="12"/>
        <v>1.042065596605278E-3</v>
      </c>
      <c r="P22" s="8">
        <f t="shared" si="13"/>
        <v>1.8068325817117404E-3</v>
      </c>
    </row>
    <row r="23" spans="2:16" x14ac:dyDescent="0.3">
      <c r="B23" s="10" t="s">
        <v>41</v>
      </c>
      <c r="C23" s="10">
        <f t="shared" si="2"/>
        <v>3.1256911186932988E-2</v>
      </c>
      <c r="D23" s="10">
        <f t="shared" si="3"/>
        <v>-1.5993022157996077E-3</v>
      </c>
      <c r="E23" s="10">
        <f t="shared" si="4"/>
        <v>2.7151820874946123E-2</v>
      </c>
      <c r="F23" s="10">
        <f t="shared" si="5"/>
        <v>-3.4217721986469496E-3</v>
      </c>
      <c r="G23" s="10">
        <f t="shared" si="6"/>
        <v>-1.352278229965705E-2</v>
      </c>
      <c r="H23" s="10">
        <f t="shared" si="7"/>
        <v>-2.0467226744101494E-2</v>
      </c>
      <c r="J23" s="10" t="s">
        <v>41</v>
      </c>
      <c r="K23" s="8">
        <f t="shared" si="8"/>
        <v>4.9403650761624274E-3</v>
      </c>
      <c r="L23" s="8">
        <f t="shared" si="9"/>
        <v>4.2479149846248367E-3</v>
      </c>
      <c r="M23" s="8">
        <f t="shared" si="10"/>
        <v>4.8731492247860676E-3</v>
      </c>
      <c r="N23" s="8">
        <f t="shared" si="11"/>
        <v>1.7443659156904676E-3</v>
      </c>
      <c r="O23" s="8">
        <f t="shared" si="12"/>
        <v>1.705602228675124E-3</v>
      </c>
      <c r="P23" s="8">
        <f t="shared" si="13"/>
        <v>2.9819800554320044E-3</v>
      </c>
    </row>
    <row r="24" spans="2:16" x14ac:dyDescent="0.3">
      <c r="B24" s="10" t="s">
        <v>34</v>
      </c>
      <c r="C24" s="10">
        <f t="shared" si="2"/>
        <v>-3.8948377915695512E-3</v>
      </c>
      <c r="D24" s="10">
        <f t="shared" si="3"/>
        <v>-2.2682925736124925E-3</v>
      </c>
      <c r="E24" s="10">
        <f t="shared" si="4"/>
        <v>-2.1136217101914379E-2</v>
      </c>
      <c r="F24" s="10">
        <f t="shared" si="5"/>
        <v>-4.0907625564598343E-3</v>
      </c>
      <c r="G24" s="10">
        <f t="shared" si="6"/>
        <v>6.219711623141895E-2</v>
      </c>
      <c r="H24" s="10">
        <f t="shared" si="7"/>
        <v>5.3538491232511844E-3</v>
      </c>
      <c r="J24" s="10" t="s">
        <v>34</v>
      </c>
      <c r="K24" s="8">
        <f t="shared" si="8"/>
        <v>6.5595156523182542E-3</v>
      </c>
      <c r="L24" s="8">
        <f t="shared" si="9"/>
        <v>5.184355138205414E-3</v>
      </c>
      <c r="M24" s="8">
        <f t="shared" si="10"/>
        <v>6.0389191719755365E-3</v>
      </c>
      <c r="N24" s="8">
        <f t="shared" si="11"/>
        <v>2.5219349951147835E-3</v>
      </c>
      <c r="O24" s="8">
        <f t="shared" si="12"/>
        <v>3.669482135749024E-3</v>
      </c>
      <c r="P24" s="8">
        <f t="shared" si="13"/>
        <v>3.6393486400647271E-3</v>
      </c>
    </row>
    <row r="25" spans="2:16" x14ac:dyDescent="0.3">
      <c r="B25" s="10" t="s">
        <v>39</v>
      </c>
      <c r="C25" s="10">
        <f t="shared" si="2"/>
        <v>-8.1998124754164431E-4</v>
      </c>
      <c r="D25" s="10">
        <f t="shared" si="3"/>
        <v>1.1053798843544887E-2</v>
      </c>
      <c r="E25" s="10">
        <f t="shared" si="4"/>
        <v>6.8556045025036344E-2</v>
      </c>
      <c r="F25" s="10">
        <f t="shared" si="5"/>
        <v>-9.6365956676043411E-3</v>
      </c>
      <c r="G25" s="10">
        <f t="shared" si="6"/>
        <v>-1.2793161324169997E-2</v>
      </c>
      <c r="H25" s="10">
        <f t="shared" si="7"/>
        <v>-6.8145005441847123E-3</v>
      </c>
      <c r="J25" s="10" t="s">
        <v>39</v>
      </c>
      <c r="K25" s="8">
        <f t="shared" si="8"/>
        <v>9.4307246442708135E-3</v>
      </c>
      <c r="L25" s="8">
        <f t="shared" si="9"/>
        <v>8.0549585548857026E-3</v>
      </c>
      <c r="M25" s="8">
        <f t="shared" si="10"/>
        <v>1.0164590557355767E-2</v>
      </c>
      <c r="N25" s="8">
        <f t="shared" si="11"/>
        <v>4.0932690667760787E-3</v>
      </c>
      <c r="O25" s="8">
        <f t="shared" si="12"/>
        <v>7.2263885993701154E-3</v>
      </c>
      <c r="P25" s="8">
        <f t="shared" si="13"/>
        <v>5.8311765366287635E-3</v>
      </c>
    </row>
    <row r="26" spans="2:16" x14ac:dyDescent="0.3">
      <c r="B26" s="10" t="s">
        <v>42</v>
      </c>
      <c r="C26" s="10">
        <f t="shared" si="2"/>
        <v>-2.5531752886797033E-2</v>
      </c>
      <c r="D26" s="10">
        <f t="shared" si="3"/>
        <v>-1.5284518013667561E-2</v>
      </c>
      <c r="E26" s="10">
        <f t="shared" si="4"/>
        <v>-3.4152442541969447E-2</v>
      </c>
      <c r="F26" s="10">
        <f t="shared" si="5"/>
        <v>-1.7106987996514902E-2</v>
      </c>
      <c r="G26" s="10">
        <f t="shared" si="6"/>
        <v>-2.9024425419694466E-3</v>
      </c>
      <c r="H26" s="10">
        <f t="shared" si="7"/>
        <v>-1.0398597605124904E-3</v>
      </c>
      <c r="J26" s="10" t="s">
        <v>42</v>
      </c>
      <c r="K26" s="8">
        <f t="shared" si="8"/>
        <v>1.324879236541918E-2</v>
      </c>
      <c r="L26" s="8">
        <f t="shared" si="9"/>
        <v>1.2243328458441876E-2</v>
      </c>
      <c r="M26" s="8">
        <f t="shared" si="10"/>
        <v>1.6263067877128307E-2</v>
      </c>
      <c r="N26" s="8">
        <f t="shared" si="11"/>
        <v>6.4035829766192712E-3</v>
      </c>
      <c r="O26" s="8">
        <f t="shared" si="12"/>
        <v>1.0791223164302845E-2</v>
      </c>
      <c r="P26" s="8">
        <f t="shared" si="13"/>
        <v>9.2731797630513074E-3</v>
      </c>
    </row>
    <row r="27" spans="2:16" x14ac:dyDescent="0.3">
      <c r="B27" s="10" t="s">
        <v>33</v>
      </c>
      <c r="C27" s="10">
        <f t="shared" si="2"/>
        <v>-1.2953915056278274E-2</v>
      </c>
      <c r="D27" s="10">
        <f t="shared" si="3"/>
        <v>-3.8815984021795515E-2</v>
      </c>
      <c r="E27" s="10">
        <f t="shared" si="4"/>
        <v>-3.8815984021795515E-2</v>
      </c>
      <c r="F27" s="10">
        <f t="shared" si="5"/>
        <v>-1.0406893112704606E-2</v>
      </c>
      <c r="G27" s="10">
        <f t="shared" si="6"/>
        <v>1.6739571533760038E-2</v>
      </c>
      <c r="H27" s="10">
        <f t="shared" si="7"/>
        <v>1.4164148428535611E-2</v>
      </c>
      <c r="J27" s="10" t="s">
        <v>33</v>
      </c>
      <c r="K27" s="8">
        <f t="shared" si="8"/>
        <v>1.6396407043689481E-2</v>
      </c>
      <c r="L27" s="8">
        <f t="shared" si="9"/>
        <v>1.464754114030019E-2</v>
      </c>
      <c r="M27" s="8">
        <f t="shared" si="10"/>
        <v>1.8483801915140718E-2</v>
      </c>
      <c r="N27" s="8">
        <f t="shared" si="11"/>
        <v>9.0423599141682704E-3</v>
      </c>
      <c r="O27" s="8">
        <f t="shared" si="12"/>
        <v>1.5634215786556525E-2</v>
      </c>
      <c r="P27" s="8">
        <f t="shared" si="13"/>
        <v>1.3881212828986472E-2</v>
      </c>
    </row>
    <row r="28" spans="2:16" x14ac:dyDescent="0.3">
      <c r="B28" s="10" t="s">
        <v>40</v>
      </c>
      <c r="C28" s="10">
        <f t="shared" si="2"/>
        <v>-7.6103086031457934E-3</v>
      </c>
      <c r="D28" s="10">
        <f t="shared" si="3"/>
        <v>-2.3225142695533562E-2</v>
      </c>
      <c r="E28" s="10">
        <f t="shared" si="4"/>
        <v>5.3145028014259785E-2</v>
      </c>
      <c r="F28" s="10">
        <f t="shared" si="5"/>
        <v>-8.0021581329263597E-3</v>
      </c>
      <c r="G28" s="10">
        <f t="shared" si="6"/>
        <v>-4.2640055716878372E-4</v>
      </c>
      <c r="H28" s="10">
        <f t="shared" si="7"/>
        <v>2.4132098339078464E-2</v>
      </c>
      <c r="J28" s="10" t="s">
        <v>40</v>
      </c>
      <c r="K28" s="8">
        <f t="shared" si="8"/>
        <v>2.0320791073575727E-2</v>
      </c>
      <c r="L28" s="8">
        <f t="shared" si="9"/>
        <v>1.667838512642536E-2</v>
      </c>
      <c r="M28" s="8">
        <f t="shared" si="10"/>
        <v>2.4053181270763103E-2</v>
      </c>
      <c r="N28" s="8">
        <f t="shared" si="11"/>
        <v>1.2436588043405921E-2</v>
      </c>
      <c r="O28" s="8">
        <f t="shared" si="12"/>
        <v>2.1046533611917717E-2</v>
      </c>
      <c r="P28" s="8">
        <f t="shared" si="13"/>
        <v>2.0070866490835438E-2</v>
      </c>
    </row>
    <row r="29" spans="2:16" x14ac:dyDescent="0.3">
      <c r="B29" s="10" t="s">
        <v>38</v>
      </c>
      <c r="C29" s="10">
        <f t="shared" si="2"/>
        <v>6.5444291006459404E-3</v>
      </c>
      <c r="D29" s="10">
        <f t="shared" si="3"/>
        <v>7.8275073212552254E-2</v>
      </c>
      <c r="E29" s="10">
        <f t="shared" si="4"/>
        <v>-6.1813508665133424E-3</v>
      </c>
      <c r="F29" s="10">
        <f t="shared" si="5"/>
        <v>-1.970948939465187E-2</v>
      </c>
      <c r="G29" s="10">
        <f t="shared" si="6"/>
        <v>-3.2967065152227623E-2</v>
      </c>
      <c r="H29" s="10">
        <f t="shared" si="7"/>
        <v>1.2424767077352954E-2</v>
      </c>
      <c r="J29" s="10" t="s">
        <v>38</v>
      </c>
      <c r="K29" s="8">
        <f t="shared" si="8"/>
        <v>3.1074368090798131E-2</v>
      </c>
      <c r="L29" s="8">
        <f t="shared" si="9"/>
        <v>2.9437953888325805E-2</v>
      </c>
      <c r="M29" s="8">
        <f t="shared" si="10"/>
        <v>3.8428856061114958E-2</v>
      </c>
      <c r="N29" s="8">
        <f t="shared" si="11"/>
        <v>1.956378126747671E-2</v>
      </c>
      <c r="O29" s="8">
        <f t="shared" si="12"/>
        <v>3.0262724148128035E-2</v>
      </c>
      <c r="P29" s="8">
        <f t="shared" si="13"/>
        <v>3.2779050732924551E-2</v>
      </c>
    </row>
    <row r="30" spans="2:16" x14ac:dyDescent="0.3">
      <c r="B30" s="10" t="s">
        <v>35</v>
      </c>
      <c r="C30" s="10">
        <f t="shared" si="2"/>
        <v>-7.6158668063934856E-3</v>
      </c>
      <c r="D30" s="10">
        <f t="shared" si="3"/>
        <v>-1.1356920807694723E-2</v>
      </c>
      <c r="E30" s="10">
        <f t="shared" si="4"/>
        <v>7.4896448464542464E-2</v>
      </c>
      <c r="F30" s="10">
        <f t="shared" si="5"/>
        <v>-5.6597058028964017E-2</v>
      </c>
      <c r="G30" s="10">
        <f t="shared" si="6"/>
        <v>-8.9329166148226086E-3</v>
      </c>
      <c r="H30" s="10">
        <f t="shared" si="7"/>
        <v>-4.1470628167434825E-2</v>
      </c>
      <c r="J30" s="10" t="s">
        <v>35</v>
      </c>
      <c r="K30" s="8">
        <f t="shared" si="8"/>
        <v>4.7455312463798548E-2</v>
      </c>
      <c r="L30" s="8">
        <f t="shared" si="9"/>
        <v>5.0008812854932354E-2</v>
      </c>
      <c r="M30" s="8">
        <f t="shared" si="10"/>
        <v>6.1488247307590817E-2</v>
      </c>
      <c r="N30" s="8">
        <f t="shared" si="11"/>
        <v>2.7802102251518336E-2</v>
      </c>
      <c r="O30" s="8">
        <f t="shared" si="12"/>
        <v>4.3655307161913438E-2</v>
      </c>
      <c r="P30" s="8">
        <f t="shared" si="13"/>
        <v>4.7707507321957887E-2</v>
      </c>
    </row>
    <row r="31" spans="2:16" x14ac:dyDescent="0.3">
      <c r="B31" s="10" t="s">
        <v>30</v>
      </c>
      <c r="C31" s="10">
        <f t="shared" si="2"/>
        <v>-1.7909032356098122E-2</v>
      </c>
      <c r="D31" s="10">
        <f t="shared" si="3"/>
        <v>-5.0765245758830721E-2</v>
      </c>
      <c r="E31" s="10">
        <f t="shared" si="4"/>
        <v>-2.2014122668084987E-2</v>
      </c>
      <c r="F31" s="10">
        <f t="shared" si="5"/>
        <v>-7.1331702871326036E-3</v>
      </c>
      <c r="G31" s="10">
        <f t="shared" si="6"/>
        <v>-2.4494281398243715E-2</v>
      </c>
      <c r="H31" s="10">
        <f t="shared" si="7"/>
        <v>-5.6388137174549824E-2</v>
      </c>
      <c r="J31" s="10" t="s">
        <v>30</v>
      </c>
      <c r="K31" s="8">
        <f t="shared" si="8"/>
        <v>5.6426879370607461E-2</v>
      </c>
      <c r="L31" s="8">
        <f t="shared" si="9"/>
        <v>5.6494836270692496E-2</v>
      </c>
      <c r="M31" s="8">
        <f t="shared" si="10"/>
        <v>7.6264900790669055E-2</v>
      </c>
      <c r="N31" s="8">
        <f t="shared" si="11"/>
        <v>3.3629656104581088E-2</v>
      </c>
      <c r="O31" s="8">
        <f t="shared" si="12"/>
        <v>5.1983095874074688E-2</v>
      </c>
      <c r="P31" s="8">
        <f t="shared" si="13"/>
        <v>5.164844418648247E-2</v>
      </c>
    </row>
    <row r="32" spans="2:16" x14ac:dyDescent="0.3">
      <c r="B32" s="10" t="s">
        <v>37</v>
      </c>
      <c r="C32" s="10">
        <f t="shared" si="2"/>
        <v>-9.4893448825831644E-2</v>
      </c>
      <c r="D32" s="10">
        <f t="shared" si="3"/>
        <v>9.6934086888072618E-3</v>
      </c>
      <c r="E32" s="10">
        <f t="shared" si="4"/>
        <v>-8.2760432429088288E-3</v>
      </c>
      <c r="F32" s="10">
        <f t="shared" si="5"/>
        <v>-6.9423229390094973E-2</v>
      </c>
      <c r="G32" s="10">
        <f t="shared" si="6"/>
        <v>-7.5736360703226285E-2</v>
      </c>
      <c r="H32" s="10">
        <f t="shared" si="7"/>
        <v>-4.3911489474381546E-2</v>
      </c>
      <c r="J32" s="10" t="s">
        <v>37</v>
      </c>
      <c r="K32" s="8">
        <f t="shared" si="8"/>
        <v>9.0128689539494947E-2</v>
      </c>
      <c r="L32" s="8">
        <f t="shared" si="9"/>
        <v>9.7654847623588781E-2</v>
      </c>
      <c r="M32" s="8">
        <f t="shared" si="10"/>
        <v>0.12816036192886224</v>
      </c>
      <c r="N32" s="8">
        <f t="shared" si="11"/>
        <v>5.9991148437854643E-2</v>
      </c>
      <c r="O32" s="8">
        <f t="shared" si="12"/>
        <v>8.4824085699711699E-2</v>
      </c>
      <c r="P32" s="8">
        <f t="shared" si="13"/>
        <v>8.431946379578481E-2</v>
      </c>
    </row>
    <row r="33" spans="2:16" x14ac:dyDescent="0.3">
      <c r="B33" s="10" t="s">
        <v>29</v>
      </c>
      <c r="C33" s="10">
        <f t="shared" si="2"/>
        <v>8.6321529269832609E-2</v>
      </c>
      <c r="D33" s="10">
        <f t="shared" si="3"/>
        <v>-2.3251851088270659E-3</v>
      </c>
      <c r="E33" s="10">
        <f t="shared" si="4"/>
        <v>-0.14068996498304093</v>
      </c>
      <c r="F33" s="10">
        <f t="shared" si="5"/>
        <v>0.21915851986544399</v>
      </c>
      <c r="G33" s="10">
        <f t="shared" si="6"/>
        <v>0.1023655905725146</v>
      </c>
      <c r="H33" s="10">
        <f t="shared" si="7"/>
        <v>8.8890608968393958E-2</v>
      </c>
      <c r="J33" s="10" t="s">
        <v>29</v>
      </c>
      <c r="K33" s="8">
        <f t="shared" si="8"/>
        <v>0.68243009326581461</v>
      </c>
      <c r="L33" s="8">
        <f t="shared" si="9"/>
        <v>0.72445070120049637</v>
      </c>
      <c r="M33" s="8">
        <f t="shared" si="10"/>
        <v>0.79003883052729029</v>
      </c>
      <c r="N33" s="8">
        <f t="shared" si="11"/>
        <v>0.61946226484526168</v>
      </c>
      <c r="O33" s="8">
        <f t="shared" si="12"/>
        <v>0.6748248344087272</v>
      </c>
      <c r="P33" s="8">
        <f t="shared" si="13"/>
        <v>0.68121228963346503</v>
      </c>
    </row>
    <row r="34" spans="2:16" x14ac:dyDescent="0.3">
      <c r="J34" s="12" t="s">
        <v>174</v>
      </c>
      <c r="K34" s="11">
        <f>SUM(K19:K33)</f>
        <v>0.98323742019799232</v>
      </c>
      <c r="L34" s="11">
        <f t="shared" ref="L34:P34" si="14">SUM(L19:L33)</f>
        <v>1.0241347829892782</v>
      </c>
      <c r="M34" s="11">
        <f t="shared" si="14"/>
        <v>1.1815237698183776</v>
      </c>
      <c r="N34" s="11">
        <f t="shared" si="14"/>
        <v>0.79859489989603749</v>
      </c>
      <c r="O34" s="11">
        <f t="shared" si="14"/>
        <v>0.94828236927621379</v>
      </c>
      <c r="P34" s="11">
        <f t="shared" si="14"/>
        <v>0.95752720257402379</v>
      </c>
    </row>
    <row r="35" spans="2:16" x14ac:dyDescent="0.3">
      <c r="J35" s="13" t="s">
        <v>175</v>
      </c>
      <c r="K35" s="14">
        <f>1-K34</f>
        <v>1.6762579802007682E-2</v>
      </c>
      <c r="L35" s="14">
        <f t="shared" ref="L35:P35" si="15">1-L34</f>
        <v>-2.4134782989278181E-2</v>
      </c>
      <c r="M35" s="14">
        <f t="shared" si="15"/>
        <v>-0.18152376981837759</v>
      </c>
      <c r="N35" s="14">
        <f t="shared" si="15"/>
        <v>0.20140510010396251</v>
      </c>
      <c r="O35" s="14">
        <f t="shared" si="15"/>
        <v>5.1717630723786212E-2</v>
      </c>
      <c r="P35" s="14">
        <f t="shared" si="15"/>
        <v>4.2472797425976205E-2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5AF2-F297-4B9E-BAE5-1D0EFA5F0C29}">
  <dimension ref="A1:P25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47</v>
      </c>
      <c r="B2" s="10">
        <v>1.4897987568070698E-2</v>
      </c>
      <c r="C2" s="10">
        <v>1.4778325123152709E-2</v>
      </c>
      <c r="D2" s="10">
        <v>8.9285714285714281E-3</v>
      </c>
      <c r="E2" s="10">
        <v>0</v>
      </c>
      <c r="F2" s="10">
        <v>9.7560975609756097E-3</v>
      </c>
      <c r="G2" s="10">
        <v>1.8867924528301886E-2</v>
      </c>
      <c r="H2" s="10">
        <v>2.5974025974025976E-2</v>
      </c>
      <c r="I2" s="10">
        <v>1.4897987568070698E-2</v>
      </c>
      <c r="J2" s="10">
        <v>1.4897987568070698E-2</v>
      </c>
      <c r="K2" s="10">
        <v>1.4778325123152709E-2</v>
      </c>
      <c r="L2" s="10">
        <v>8.9285714285714281E-3</v>
      </c>
      <c r="M2" s="10">
        <v>0</v>
      </c>
      <c r="N2" s="10">
        <v>9.7560975609756097E-3</v>
      </c>
      <c r="O2" s="10">
        <v>1.8867924528301886E-2</v>
      </c>
      <c r="P2" s="10">
        <v>2.5974025974025976E-2</v>
      </c>
    </row>
    <row r="3" spans="1:16" x14ac:dyDescent="0.3">
      <c r="A3" s="10" t="s">
        <v>49</v>
      </c>
      <c r="B3" s="10">
        <v>2.0054777519819406E-2</v>
      </c>
      <c r="C3" s="10">
        <v>2.4630541871921183E-2</v>
      </c>
      <c r="D3" s="10">
        <v>8.9285714285714281E-3</v>
      </c>
      <c r="E3" s="10">
        <v>2.1739130434782608E-2</v>
      </c>
      <c r="F3" s="10">
        <v>3.4146341463414637E-2</v>
      </c>
      <c r="G3" s="10">
        <v>3.3018867924528301E-2</v>
      </c>
      <c r="H3" s="10">
        <v>3.896103896103896E-2</v>
      </c>
      <c r="I3" s="10">
        <v>3.4952765087890102E-2</v>
      </c>
      <c r="J3" s="10">
        <f>J2+B3</f>
        <v>3.4952765087890102E-2</v>
      </c>
      <c r="K3" s="10">
        <f t="shared" ref="K3:P11" si="0">K2+C3</f>
        <v>3.9408866995073892E-2</v>
      </c>
      <c r="L3" s="10">
        <f t="shared" si="0"/>
        <v>1.7857142857142856E-2</v>
      </c>
      <c r="M3" s="10">
        <f t="shared" si="0"/>
        <v>2.1739130434782608E-2</v>
      </c>
      <c r="N3" s="10">
        <f t="shared" si="0"/>
        <v>4.3902439024390248E-2</v>
      </c>
      <c r="O3" s="10">
        <f t="shared" si="0"/>
        <v>5.1886792452830191E-2</v>
      </c>
      <c r="P3" s="10">
        <f t="shared" si="0"/>
        <v>6.4935064935064929E-2</v>
      </c>
    </row>
    <row r="4" spans="1:16" x14ac:dyDescent="0.3">
      <c r="A4" s="10" t="s">
        <v>45</v>
      </c>
      <c r="B4" s="10">
        <v>2.1675635772288138E-2</v>
      </c>
      <c r="C4" s="10">
        <v>2.4630541871921183E-2</v>
      </c>
      <c r="D4" s="10">
        <v>1.7857142857142856E-2</v>
      </c>
      <c r="E4" s="10">
        <v>3.2608695652173912E-2</v>
      </c>
      <c r="F4" s="10">
        <v>3.4146341463414637E-2</v>
      </c>
      <c r="G4" s="10">
        <v>1.4150943396226415E-2</v>
      </c>
      <c r="H4" s="10">
        <v>0</v>
      </c>
      <c r="I4" s="10">
        <v>5.6628400860178243E-2</v>
      </c>
      <c r="J4" s="10">
        <f t="shared" ref="J4:J11" si="1">J3+B4</f>
        <v>5.6628400860178243E-2</v>
      </c>
      <c r="K4" s="10">
        <f t="shared" si="0"/>
        <v>6.4039408866995079E-2</v>
      </c>
      <c r="L4" s="10">
        <f t="shared" si="0"/>
        <v>3.5714285714285712E-2</v>
      </c>
      <c r="M4" s="10">
        <f t="shared" si="0"/>
        <v>5.434782608695652E-2</v>
      </c>
      <c r="N4" s="10">
        <f t="shared" si="0"/>
        <v>7.8048780487804892E-2</v>
      </c>
      <c r="O4" s="10">
        <f t="shared" si="0"/>
        <v>6.6037735849056603E-2</v>
      </c>
      <c r="P4" s="10">
        <f t="shared" si="0"/>
        <v>6.4935064935064929E-2</v>
      </c>
    </row>
    <row r="5" spans="1:16" x14ac:dyDescent="0.3">
      <c r="A5" s="10" t="s">
        <v>53</v>
      </c>
      <c r="B5" s="10">
        <v>2.1723780076816912E-2</v>
      </c>
      <c r="C5" s="10">
        <v>2.9556650246305417E-2</v>
      </c>
      <c r="D5" s="10">
        <v>1.7857142857142856E-2</v>
      </c>
      <c r="E5" s="10">
        <v>1.0869565217391304E-2</v>
      </c>
      <c r="F5" s="10">
        <v>1.4634146341463415E-2</v>
      </c>
      <c r="G5" s="10">
        <v>4.7169811320754715E-3</v>
      </c>
      <c r="H5" s="10">
        <v>0</v>
      </c>
      <c r="I5" s="10">
        <v>7.8352180936995156E-2</v>
      </c>
      <c r="J5" s="10">
        <f t="shared" si="1"/>
        <v>7.8352180936995156E-2</v>
      </c>
      <c r="K5" s="10">
        <f t="shared" si="0"/>
        <v>9.3596059113300489E-2</v>
      </c>
      <c r="L5" s="10">
        <f t="shared" si="0"/>
        <v>5.3571428571428568E-2</v>
      </c>
      <c r="M5" s="10">
        <f t="shared" si="0"/>
        <v>6.5217391304347824E-2</v>
      </c>
      <c r="N5" s="10">
        <f t="shared" si="0"/>
        <v>9.2682926829268306E-2</v>
      </c>
      <c r="O5" s="10">
        <f t="shared" si="0"/>
        <v>7.0754716981132074E-2</v>
      </c>
      <c r="P5" s="10">
        <f t="shared" si="0"/>
        <v>6.4935064935064929E-2</v>
      </c>
    </row>
    <row r="6" spans="1:16" x14ac:dyDescent="0.3">
      <c r="A6" s="10" t="s">
        <v>50</v>
      </c>
      <c r="B6" s="10">
        <v>2.9052413099530324E-2</v>
      </c>
      <c r="C6" s="10">
        <v>2.9556650246305417E-2</v>
      </c>
      <c r="D6" s="10">
        <v>7.1428571428571425E-2</v>
      </c>
      <c r="E6" s="10">
        <v>2.1739130434782608E-2</v>
      </c>
      <c r="F6" s="10">
        <v>6.3414634146341464E-2</v>
      </c>
      <c r="G6" s="10">
        <v>8.0188679245283015E-2</v>
      </c>
      <c r="H6" s="10">
        <v>0.1038961038961039</v>
      </c>
      <c r="I6" s="10">
        <v>0.10740459403652548</v>
      </c>
      <c r="J6" s="10">
        <f t="shared" si="1"/>
        <v>0.10740459403652548</v>
      </c>
      <c r="K6" s="10">
        <f t="shared" si="0"/>
        <v>0.1231527093596059</v>
      </c>
      <c r="L6" s="10">
        <f t="shared" si="0"/>
        <v>0.125</v>
      </c>
      <c r="M6" s="10">
        <f t="shared" si="0"/>
        <v>8.6956521739130432E-2</v>
      </c>
      <c r="N6" s="10">
        <f t="shared" si="0"/>
        <v>0.15609756097560978</v>
      </c>
      <c r="O6" s="10">
        <f t="shared" si="0"/>
        <v>0.15094339622641509</v>
      </c>
      <c r="P6" s="10">
        <f t="shared" si="0"/>
        <v>0.16883116883116883</v>
      </c>
    </row>
    <row r="7" spans="1:16" x14ac:dyDescent="0.3">
      <c r="A7" s="10" t="s">
        <v>48</v>
      </c>
      <c r="B7" s="10">
        <v>3.197851694144583E-2</v>
      </c>
      <c r="C7" s="10">
        <v>2.9556650246305417E-2</v>
      </c>
      <c r="D7" s="10">
        <v>8.9285714285714281E-3</v>
      </c>
      <c r="E7" s="10">
        <v>0</v>
      </c>
      <c r="F7" s="10">
        <v>2.9268292682926831E-2</v>
      </c>
      <c r="G7" s="10">
        <v>3.7735849056603772E-2</v>
      </c>
      <c r="H7" s="10">
        <v>6.4935064935064929E-2</v>
      </c>
      <c r="I7" s="10">
        <v>0.13938311097797132</v>
      </c>
      <c r="J7" s="10">
        <f t="shared" si="1"/>
        <v>0.13938311097797132</v>
      </c>
      <c r="K7" s="10">
        <f t="shared" si="0"/>
        <v>0.15270935960591131</v>
      </c>
      <c r="L7" s="10">
        <f t="shared" si="0"/>
        <v>0.13392857142857142</v>
      </c>
      <c r="M7" s="10">
        <f t="shared" si="0"/>
        <v>8.6956521739130432E-2</v>
      </c>
      <c r="N7" s="10">
        <f t="shared" si="0"/>
        <v>0.18536585365853661</v>
      </c>
      <c r="O7" s="10">
        <f t="shared" si="0"/>
        <v>0.18867924528301885</v>
      </c>
      <c r="P7" s="10">
        <f t="shared" si="0"/>
        <v>0.23376623376623376</v>
      </c>
    </row>
    <row r="8" spans="1:16" x14ac:dyDescent="0.3">
      <c r="A8" s="10" t="s">
        <v>46</v>
      </c>
      <c r="B8" s="10">
        <v>3.5664230921481986E-2</v>
      </c>
      <c r="C8" s="10">
        <v>3.9408866995073892E-2</v>
      </c>
      <c r="D8" s="10">
        <v>0</v>
      </c>
      <c r="E8" s="10">
        <v>1.0869565217391304E-2</v>
      </c>
      <c r="F8" s="10">
        <v>2.9268292682926831E-2</v>
      </c>
      <c r="G8" s="10">
        <v>9.433962264150943E-3</v>
      </c>
      <c r="H8" s="10">
        <v>1.2987012987012988E-2</v>
      </c>
      <c r="I8" s="10">
        <v>0.17504734189945331</v>
      </c>
      <c r="J8" s="10">
        <f t="shared" si="1"/>
        <v>0.17504734189945331</v>
      </c>
      <c r="K8" s="10">
        <f t="shared" si="0"/>
        <v>0.19211822660098521</v>
      </c>
      <c r="L8" s="10">
        <f t="shared" si="0"/>
        <v>0.13392857142857142</v>
      </c>
      <c r="M8" s="10">
        <f t="shared" si="0"/>
        <v>9.7826086956521729E-2</v>
      </c>
      <c r="N8" s="10">
        <f t="shared" si="0"/>
        <v>0.21463414634146344</v>
      </c>
      <c r="O8" s="10">
        <f t="shared" si="0"/>
        <v>0.1981132075471698</v>
      </c>
      <c r="P8" s="10">
        <f t="shared" si="0"/>
        <v>0.24675324675324675</v>
      </c>
    </row>
    <row r="9" spans="1:16" x14ac:dyDescent="0.3">
      <c r="A9" s="10" t="s">
        <v>52</v>
      </c>
      <c r="B9" s="10">
        <v>0.11542329542415132</v>
      </c>
      <c r="C9" s="10">
        <v>3.4482758620689655E-2</v>
      </c>
      <c r="D9" s="10">
        <v>0.16071428571428573</v>
      </c>
      <c r="E9" s="10">
        <v>0.16304347826086957</v>
      </c>
      <c r="F9" s="10">
        <v>0.15609756097560976</v>
      </c>
      <c r="G9" s="10">
        <v>0.19339622641509435</v>
      </c>
      <c r="H9" s="10">
        <v>0.21428571428571427</v>
      </c>
      <c r="I9" s="10">
        <v>0.29047063732360462</v>
      </c>
      <c r="J9" s="10">
        <f t="shared" si="1"/>
        <v>0.29047063732360462</v>
      </c>
      <c r="K9" s="10">
        <f t="shared" si="0"/>
        <v>0.22660098522167488</v>
      </c>
      <c r="L9" s="10">
        <f t="shared" si="0"/>
        <v>0.29464285714285715</v>
      </c>
      <c r="M9" s="10">
        <f t="shared" si="0"/>
        <v>0.2608695652173913</v>
      </c>
      <c r="N9" s="10">
        <f t="shared" si="0"/>
        <v>0.37073170731707317</v>
      </c>
      <c r="O9" s="10">
        <f t="shared" si="0"/>
        <v>0.39150943396226412</v>
      </c>
      <c r="P9" s="10">
        <f t="shared" si="0"/>
        <v>0.46103896103896103</v>
      </c>
    </row>
    <row r="10" spans="1:16" x14ac:dyDescent="0.3">
      <c r="A10" s="10" t="s">
        <v>51</v>
      </c>
      <c r="B10" s="10">
        <v>0.14380168826027881</v>
      </c>
      <c r="C10" s="10">
        <v>0.1625615763546798</v>
      </c>
      <c r="D10" s="10">
        <v>0.15178571428571427</v>
      </c>
      <c r="E10" s="10">
        <v>0.22826086956521738</v>
      </c>
      <c r="F10" s="10">
        <v>0.22439024390243903</v>
      </c>
      <c r="G10" s="10">
        <v>0.23584905660377359</v>
      </c>
      <c r="H10" s="10">
        <v>0.16883116883116883</v>
      </c>
      <c r="I10" s="10">
        <v>0.4342723255838834</v>
      </c>
      <c r="J10" s="10">
        <f t="shared" si="1"/>
        <v>0.4342723255838834</v>
      </c>
      <c r="K10" s="10">
        <f t="shared" si="0"/>
        <v>0.38916256157635465</v>
      </c>
      <c r="L10" s="10">
        <f t="shared" si="0"/>
        <v>0.4464285714285714</v>
      </c>
      <c r="M10" s="10">
        <f t="shared" si="0"/>
        <v>0.48913043478260865</v>
      </c>
      <c r="N10" s="10">
        <f t="shared" si="0"/>
        <v>0.59512195121951217</v>
      </c>
      <c r="O10" s="10">
        <f t="shared" si="0"/>
        <v>0.62735849056603765</v>
      </c>
      <c r="P10" s="10">
        <f t="shared" si="0"/>
        <v>0.62987012987012991</v>
      </c>
    </row>
    <row r="11" spans="1:16" x14ac:dyDescent="0.3">
      <c r="A11" s="10" t="s">
        <v>44</v>
      </c>
      <c r="B11" s="10">
        <v>0.5657276744161166</v>
      </c>
      <c r="C11" s="10">
        <v>0.61083743842364535</v>
      </c>
      <c r="D11" s="10">
        <v>0.5535714285714286</v>
      </c>
      <c r="E11" s="10">
        <v>0.51086956521739135</v>
      </c>
      <c r="F11" s="10">
        <v>0.40487804878048783</v>
      </c>
      <c r="G11" s="10">
        <v>0.37264150943396224</v>
      </c>
      <c r="H11" s="10">
        <v>0.37012987012987014</v>
      </c>
      <c r="I11" s="10">
        <v>1</v>
      </c>
      <c r="J11" s="10">
        <f t="shared" si="1"/>
        <v>1</v>
      </c>
      <c r="K11" s="10">
        <f t="shared" si="0"/>
        <v>1</v>
      </c>
      <c r="L11" s="10">
        <f t="shared" si="0"/>
        <v>1</v>
      </c>
      <c r="M11" s="10">
        <f t="shared" si="0"/>
        <v>1</v>
      </c>
      <c r="N11" s="10">
        <f t="shared" si="0"/>
        <v>1</v>
      </c>
      <c r="O11" s="10">
        <f t="shared" si="0"/>
        <v>0.99999999999999989</v>
      </c>
      <c r="P11" s="10">
        <f t="shared" si="0"/>
        <v>1</v>
      </c>
    </row>
    <row r="13" spans="1:16" ht="28.8" x14ac:dyDescent="0.3">
      <c r="B13" s="1" t="s">
        <v>154</v>
      </c>
      <c r="C13" s="3" t="s">
        <v>162</v>
      </c>
      <c r="D13" s="3" t="s">
        <v>163</v>
      </c>
      <c r="E13" s="3" t="s">
        <v>164</v>
      </c>
      <c r="F13" s="3" t="s">
        <v>165</v>
      </c>
      <c r="G13" s="3" t="s">
        <v>166</v>
      </c>
      <c r="H13" s="3" t="s">
        <v>167</v>
      </c>
      <c r="J13" s="1" t="s">
        <v>154</v>
      </c>
      <c r="K13" s="11" t="s">
        <v>168</v>
      </c>
      <c r="L13" s="11" t="s">
        <v>169</v>
      </c>
      <c r="M13" s="11" t="s">
        <v>170</v>
      </c>
      <c r="N13" s="11" t="s">
        <v>171</v>
      </c>
      <c r="O13" s="11" t="s">
        <v>172</v>
      </c>
      <c r="P13" s="11" t="s">
        <v>173</v>
      </c>
    </row>
    <row r="14" spans="1:16" x14ac:dyDescent="0.3">
      <c r="B14" s="10" t="s">
        <v>47</v>
      </c>
      <c r="C14" s="10">
        <f>C2-B2</f>
        <v>-1.1966244491798915E-4</v>
      </c>
      <c r="D14" s="10">
        <f>D2-B2</f>
        <v>-5.9694161394992697E-3</v>
      </c>
      <c r="E14" s="10">
        <f>E2-B2</f>
        <v>-1.4897987568070698E-2</v>
      </c>
      <c r="F14" s="10">
        <f>F2-B2</f>
        <v>-5.1418900070950881E-3</v>
      </c>
      <c r="G14" s="10">
        <f>G2-B2</f>
        <v>3.9699369602311883E-3</v>
      </c>
      <c r="H14" s="10">
        <f>H2-B2</f>
        <v>1.1076038405955278E-2</v>
      </c>
      <c r="J14" s="10" t="s">
        <v>47</v>
      </c>
      <c r="K14" s="8">
        <f>(J2-0) * ((K2+0))</f>
        <v>2.2016730396163593E-4</v>
      </c>
      <c r="L14" s="8">
        <f>(J2-0) * ((L2+0))</f>
        <v>1.3301774614348836E-4</v>
      </c>
      <c r="M14" s="8">
        <f>(J2-0) * ((M2+0))</f>
        <v>0</v>
      </c>
      <c r="N14" s="8">
        <f>(J2-0) * ((N2+0))</f>
        <v>1.453462201762995E-4</v>
      </c>
      <c r="O14" s="8">
        <f>(J2-0) * ((O2+0))</f>
        <v>2.8109410505793768E-4</v>
      </c>
      <c r="P14" s="8">
        <f>(J2-0) * ((P2+0))</f>
        <v>3.869607160537844E-4</v>
      </c>
    </row>
    <row r="15" spans="1:16" x14ac:dyDescent="0.3">
      <c r="B15" s="10" t="s">
        <v>49</v>
      </c>
      <c r="C15" s="10">
        <f t="shared" ref="C15:C23" si="2">C3-B3</f>
        <v>4.5757643521017778E-3</v>
      </c>
      <c r="D15" s="10">
        <f t="shared" ref="D15:D23" si="3">D3-B3</f>
        <v>-1.1126206091247978E-2</v>
      </c>
      <c r="E15" s="10">
        <f t="shared" ref="E15:E23" si="4">E3-B3</f>
        <v>1.6843529149632025E-3</v>
      </c>
      <c r="F15" s="10">
        <f t="shared" ref="F15:F23" si="5">F3-B3</f>
        <v>1.4091563943595231E-2</v>
      </c>
      <c r="G15" s="10">
        <f t="shared" ref="G15:G23" si="6">G3-B3</f>
        <v>1.2964090404708896E-2</v>
      </c>
      <c r="H15" s="10">
        <f t="shared" ref="H15:H23" si="7">H3-B3</f>
        <v>1.8906261441219555E-2</v>
      </c>
      <c r="J15" s="10" t="s">
        <v>49</v>
      </c>
      <c r="K15" s="8">
        <f>(J3-J2) * ((K3+K2))</f>
        <v>1.0867120823547462E-3</v>
      </c>
      <c r="L15" s="8">
        <f>(J3-J2) * ((L3+L2))</f>
        <v>5.3718154070944832E-4</v>
      </c>
      <c r="M15" s="8">
        <f>(J3-J2) * ((M3+M2))</f>
        <v>4.3597342434390011E-4</v>
      </c>
      <c r="N15" s="8">
        <f>(J3-J2) * ((N3+N2))</f>
        <v>1.0761100132586025E-3</v>
      </c>
      <c r="O15" s="8">
        <f>(J3-J2) * ((O3+O2))</f>
        <v>1.4189701075343918E-3</v>
      </c>
      <c r="P15" s="8">
        <f>(J3-J2) * ((P3+P2))</f>
        <v>1.823161592710855E-3</v>
      </c>
    </row>
    <row r="16" spans="1:16" x14ac:dyDescent="0.3">
      <c r="B16" s="10" t="s">
        <v>45</v>
      </c>
      <c r="C16" s="10">
        <f t="shared" si="2"/>
        <v>2.9549060996330451E-3</v>
      </c>
      <c r="D16" s="10">
        <f t="shared" si="3"/>
        <v>-3.8184929151452822E-3</v>
      </c>
      <c r="E16" s="10">
        <f t="shared" si="4"/>
        <v>1.0933059879885774E-2</v>
      </c>
      <c r="F16" s="10">
        <f t="shared" si="5"/>
        <v>1.2470705691126498E-2</v>
      </c>
      <c r="G16" s="10">
        <f t="shared" si="6"/>
        <v>-7.5246923760617229E-3</v>
      </c>
      <c r="H16" s="10">
        <f t="shared" si="7"/>
        <v>-2.1675635772288138E-2</v>
      </c>
      <c r="J16" s="10" t="s">
        <v>45</v>
      </c>
      <c r="K16" s="8">
        <f t="shared" ref="K16:K23" si="8">(J4-J3) * ((K4+K3))</f>
        <v>2.2423071488573941E-3</v>
      </c>
      <c r="L16" s="8">
        <f t="shared" ref="L16:L23" si="9">(J4-J3) * ((L4+L3))</f>
        <v>1.1611947735154361E-3</v>
      </c>
      <c r="M16" s="8">
        <f t="shared" ref="M16:M23" si="10">(J4-J3) * ((M4+M3))</f>
        <v>1.6492331565871414E-3</v>
      </c>
      <c r="N16" s="8">
        <f t="shared" ref="N16:N23" si="11">(J4-J3) * ((N4+N3))</f>
        <v>2.6433702161327006E-3</v>
      </c>
      <c r="O16" s="8">
        <f t="shared" ref="O16:O23" si="12">(J4-J3) * ((O4+O3))</f>
        <v>2.556089124090583E-3</v>
      </c>
      <c r="P16" s="8">
        <f t="shared" ref="P16:P23" si="13">(J4-J3) * ((P4+P3))</f>
        <v>2.8150176327646935E-3</v>
      </c>
    </row>
    <row r="17" spans="2:16" x14ac:dyDescent="0.3">
      <c r="B17" s="10" t="s">
        <v>53</v>
      </c>
      <c r="C17" s="10">
        <f t="shared" si="2"/>
        <v>7.8328701694885053E-3</v>
      </c>
      <c r="D17" s="10">
        <f t="shared" si="3"/>
        <v>-3.8666372196740559E-3</v>
      </c>
      <c r="E17" s="10">
        <f t="shared" si="4"/>
        <v>-1.0854214859425608E-2</v>
      </c>
      <c r="F17" s="10">
        <f t="shared" si="5"/>
        <v>-7.0896337353534965E-3</v>
      </c>
      <c r="G17" s="10">
        <f t="shared" si="6"/>
        <v>-1.7006798944741441E-2</v>
      </c>
      <c r="H17" s="10">
        <f t="shared" si="7"/>
        <v>-2.1723780076816912E-2</v>
      </c>
      <c r="J17" s="10" t="s">
        <v>53</v>
      </c>
      <c r="K17" s="8">
        <f t="shared" si="8"/>
        <v>3.4244382387100553E-3</v>
      </c>
      <c r="L17" s="8">
        <f t="shared" si="9"/>
        <v>1.9396232211443668E-3</v>
      </c>
      <c r="M17" s="8">
        <f t="shared" si="10"/>
        <v>2.5974084874455005E-3</v>
      </c>
      <c r="N17" s="8">
        <f t="shared" si="11"/>
        <v>3.7089380618955713E-3</v>
      </c>
      <c r="O17" s="8">
        <f t="shared" si="12"/>
        <v>2.9716491614513699E-3</v>
      </c>
      <c r="P17" s="8">
        <f t="shared" si="13"/>
        <v>2.8212701398463518E-3</v>
      </c>
    </row>
    <row r="18" spans="2:16" x14ac:dyDescent="0.3">
      <c r="B18" s="10" t="s">
        <v>50</v>
      </c>
      <c r="C18" s="10">
        <f t="shared" si="2"/>
        <v>5.0423714677509321E-4</v>
      </c>
      <c r="D18" s="10">
        <f t="shared" si="3"/>
        <v>4.2376158329041097E-2</v>
      </c>
      <c r="E18" s="10">
        <f t="shared" si="4"/>
        <v>-7.313282664747716E-3</v>
      </c>
      <c r="F18" s="10">
        <f t="shared" si="5"/>
        <v>3.4362221046811137E-2</v>
      </c>
      <c r="G18" s="10">
        <f t="shared" si="6"/>
        <v>5.1136266145752687E-2</v>
      </c>
      <c r="H18" s="10">
        <f t="shared" si="7"/>
        <v>7.4843690796573575E-2</v>
      </c>
      <c r="J18" s="10" t="s">
        <v>50</v>
      </c>
      <c r="K18" s="8">
        <f t="shared" si="8"/>
        <v>6.2970747604893318E-3</v>
      </c>
      <c r="L18" s="8">
        <f t="shared" si="9"/>
        <v>5.187930910630416E-3</v>
      </c>
      <c r="M18" s="8">
        <f t="shared" si="10"/>
        <v>4.4210193847111371E-3</v>
      </c>
      <c r="N18" s="8">
        <f t="shared" si="11"/>
        <v>7.2276735028099859E-3</v>
      </c>
      <c r="O18" s="8">
        <f t="shared" si="12"/>
        <v>6.4408651682921012E-3</v>
      </c>
      <c r="P18" s="8">
        <f t="shared" si="13"/>
        <v>6.7914731920979982E-3</v>
      </c>
    </row>
    <row r="19" spans="2:16" x14ac:dyDescent="0.3">
      <c r="B19" s="10" t="s">
        <v>48</v>
      </c>
      <c r="C19" s="10">
        <f t="shared" si="2"/>
        <v>-2.4218666951404122E-3</v>
      </c>
      <c r="D19" s="10">
        <f t="shared" si="3"/>
        <v>-2.3049945512874401E-2</v>
      </c>
      <c r="E19" s="10">
        <f t="shared" si="4"/>
        <v>-3.197851694144583E-2</v>
      </c>
      <c r="F19" s="10">
        <f t="shared" si="5"/>
        <v>-2.7102242585189985E-3</v>
      </c>
      <c r="G19" s="10">
        <f t="shared" si="6"/>
        <v>5.7573321151579426E-3</v>
      </c>
      <c r="H19" s="10">
        <f t="shared" si="7"/>
        <v>3.2956547993619099E-2</v>
      </c>
      <c r="J19" s="10" t="s">
        <v>48</v>
      </c>
      <c r="K19" s="8">
        <f t="shared" si="8"/>
        <v>8.8216598459160932E-3</v>
      </c>
      <c r="L19" s="8">
        <f t="shared" si="9"/>
        <v>8.2801517080529387E-3</v>
      </c>
      <c r="M19" s="8">
        <f t="shared" si="10"/>
        <v>5.5614812072079713E-3</v>
      </c>
      <c r="N19" s="8">
        <f t="shared" si="11"/>
        <v>1.0919493589761995E-2</v>
      </c>
      <c r="O19" s="8">
        <f t="shared" si="12"/>
        <v>1.086062839520802E-2</v>
      </c>
      <c r="P19" s="8">
        <f t="shared" si="13"/>
        <v>1.287446785954313E-2</v>
      </c>
    </row>
    <row r="20" spans="2:16" x14ac:dyDescent="0.3">
      <c r="B20" s="10" t="s">
        <v>46</v>
      </c>
      <c r="C20" s="10">
        <f t="shared" si="2"/>
        <v>3.744636073591906E-3</v>
      </c>
      <c r="D20" s="10">
        <f t="shared" si="3"/>
        <v>-3.5664230921481986E-2</v>
      </c>
      <c r="E20" s="10">
        <f t="shared" si="4"/>
        <v>-2.4794665704090682E-2</v>
      </c>
      <c r="F20" s="10">
        <f t="shared" si="5"/>
        <v>-6.3959382385551551E-3</v>
      </c>
      <c r="G20" s="10">
        <f t="shared" si="6"/>
        <v>-2.6230268657331045E-2</v>
      </c>
      <c r="H20" s="10">
        <f t="shared" si="7"/>
        <v>-2.2677217934468998E-2</v>
      </c>
      <c r="J20" s="10" t="s">
        <v>46</v>
      </c>
      <c r="K20" s="8">
        <f t="shared" si="8"/>
        <v>1.2298010662579996E-2</v>
      </c>
      <c r="L20" s="8">
        <f t="shared" si="9"/>
        <v>9.5529189968255341E-3</v>
      </c>
      <c r="M20" s="8">
        <f t="shared" si="10"/>
        <v>6.5901296267955852E-3</v>
      </c>
      <c r="N20" s="8">
        <f t="shared" si="11"/>
        <v>1.4265692368592799E-2</v>
      </c>
      <c r="O20" s="8">
        <f t="shared" si="12"/>
        <v>1.379465535642228E-2</v>
      </c>
      <c r="P20" s="8">
        <f t="shared" si="13"/>
        <v>1.7137357715517321E-2</v>
      </c>
    </row>
    <row r="21" spans="2:16" x14ac:dyDescent="0.3">
      <c r="B21" s="10" t="s">
        <v>52</v>
      </c>
      <c r="C21" s="10">
        <f t="shared" si="2"/>
        <v>-8.0940536803461666E-2</v>
      </c>
      <c r="D21" s="10">
        <f t="shared" si="3"/>
        <v>4.5290990290134406E-2</v>
      </c>
      <c r="E21" s="10">
        <f t="shared" si="4"/>
        <v>4.7620182836718247E-2</v>
      </c>
      <c r="F21" s="10">
        <f t="shared" si="5"/>
        <v>4.0674265551458436E-2</v>
      </c>
      <c r="G21" s="10">
        <f t="shared" si="6"/>
        <v>7.7972930990943032E-2</v>
      </c>
      <c r="H21" s="10">
        <f t="shared" si="7"/>
        <v>9.8862418861562953E-2</v>
      </c>
      <c r="J21" s="10" t="s">
        <v>52</v>
      </c>
      <c r="K21" s="8">
        <f t="shared" si="8"/>
        <v>4.8329951285974684E-2</v>
      </c>
      <c r="L21" s="8">
        <f t="shared" si="9"/>
        <v>4.9467126610350562E-2</v>
      </c>
      <c r="M21" s="8">
        <f t="shared" si="10"/>
        <v>4.1401834228228185E-2</v>
      </c>
      <c r="N21" s="8">
        <f t="shared" si="11"/>
        <v>6.7564855858039799E-2</v>
      </c>
      <c r="O21" s="8">
        <f t="shared" si="12"/>
        <v>6.8056188339711846E-2</v>
      </c>
      <c r="P21" s="8">
        <f t="shared" si="13"/>
        <v>8.1695709098912286E-2</v>
      </c>
    </row>
    <row r="22" spans="2:16" x14ac:dyDescent="0.3">
      <c r="B22" s="10" t="s">
        <v>51</v>
      </c>
      <c r="C22" s="10">
        <f t="shared" si="2"/>
        <v>1.8759888094400989E-2</v>
      </c>
      <c r="D22" s="10">
        <f t="shared" si="3"/>
        <v>7.9840260254354645E-3</v>
      </c>
      <c r="E22" s="10">
        <f t="shared" si="4"/>
        <v>8.4459181304938569E-2</v>
      </c>
      <c r="F22" s="10">
        <f t="shared" si="5"/>
        <v>8.058855564216022E-2</v>
      </c>
      <c r="G22" s="10">
        <f t="shared" si="6"/>
        <v>9.2047368343494779E-2</v>
      </c>
      <c r="H22" s="10">
        <f t="shared" si="7"/>
        <v>2.5029480570890023E-2</v>
      </c>
      <c r="J22" s="10" t="s">
        <v>51</v>
      </c>
      <c r="K22" s="8">
        <f t="shared" si="8"/>
        <v>8.8547837598693835E-2</v>
      </c>
      <c r="L22" s="8">
        <f t="shared" si="9"/>
        <v>0.10656732255002803</v>
      </c>
      <c r="M22" s="8">
        <f t="shared" si="10"/>
        <v>0.10785126619520909</v>
      </c>
      <c r="N22" s="8">
        <f t="shared" si="11"/>
        <v>0.13889138670992779</v>
      </c>
      <c r="O22" s="8">
        <f t="shared" si="12"/>
        <v>0.14651492766141608</v>
      </c>
      <c r="P22" s="8">
        <f t="shared" si="13"/>
        <v>0.15687456901121322</v>
      </c>
    </row>
    <row r="23" spans="2:16" x14ac:dyDescent="0.3">
      <c r="B23" s="10" t="s">
        <v>44</v>
      </c>
      <c r="C23" s="10">
        <f t="shared" si="2"/>
        <v>4.5109764007528752E-2</v>
      </c>
      <c r="D23" s="10">
        <f t="shared" si="3"/>
        <v>-1.2156245844687996E-2</v>
      </c>
      <c r="E23" s="10">
        <f t="shared" si="4"/>
        <v>-5.4858109198725247E-2</v>
      </c>
      <c r="F23" s="10">
        <f t="shared" si="5"/>
        <v>-0.16084962563562877</v>
      </c>
      <c r="G23" s="10">
        <f t="shared" si="6"/>
        <v>-0.19308616498215436</v>
      </c>
      <c r="H23" s="10">
        <f t="shared" si="7"/>
        <v>-0.19559780428624646</v>
      </c>
      <c r="J23" s="10" t="s">
        <v>44</v>
      </c>
      <c r="K23" s="8">
        <f t="shared" si="8"/>
        <v>0.78588770534652641</v>
      </c>
      <c r="L23" s="8">
        <f t="shared" si="9"/>
        <v>0.81828467192331145</v>
      </c>
      <c r="M23" s="8">
        <f t="shared" si="10"/>
        <v>0.84244229777182578</v>
      </c>
      <c r="N23" s="8">
        <f t="shared" si="11"/>
        <v>0.90240463187351283</v>
      </c>
      <c r="O23" s="8">
        <f t="shared" si="12"/>
        <v>0.92064173430924634</v>
      </c>
      <c r="P23" s="8">
        <f t="shared" si="13"/>
        <v>0.92206263817172252</v>
      </c>
    </row>
    <row r="24" spans="2:16" x14ac:dyDescent="0.3">
      <c r="J24" s="12" t="s">
        <v>174</v>
      </c>
      <c r="K24" s="11">
        <f>SUM(K14:K23)</f>
        <v>0.95715586427406418</v>
      </c>
      <c r="L24" s="11">
        <f t="shared" ref="L24:P24" si="14">SUM(L14:L23)</f>
        <v>1.0011111399807118</v>
      </c>
      <c r="M24" s="11">
        <f t="shared" si="14"/>
        <v>1.0129506434823543</v>
      </c>
      <c r="N24" s="11">
        <f t="shared" si="14"/>
        <v>1.1488474984141084</v>
      </c>
      <c r="O24" s="11">
        <f t="shared" si="14"/>
        <v>1.1735368017284309</v>
      </c>
      <c r="P24" s="11">
        <f t="shared" si="14"/>
        <v>1.2052826251303821</v>
      </c>
    </row>
    <row r="25" spans="2:16" x14ac:dyDescent="0.3">
      <c r="J25" s="13" t="s">
        <v>175</v>
      </c>
      <c r="K25" s="14">
        <f>1-K24</f>
        <v>4.2844135725935817E-2</v>
      </c>
      <c r="L25" s="14">
        <f t="shared" ref="L25:P25" si="15">1-L24</f>
        <v>-1.1111399807117728E-3</v>
      </c>
      <c r="M25" s="14">
        <f t="shared" si="15"/>
        <v>-1.2950643482354307E-2</v>
      </c>
      <c r="N25" s="14">
        <f t="shared" si="15"/>
        <v>-0.14884749841410838</v>
      </c>
      <c r="O25" s="14">
        <f t="shared" si="15"/>
        <v>-0.17353680172843089</v>
      </c>
      <c r="P25" s="14">
        <f t="shared" si="15"/>
        <v>-0.20528262513038209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4584-FDFA-4AAB-B334-91B99C4D167E}">
  <dimension ref="A1:P23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56</v>
      </c>
      <c r="B2" s="10">
        <v>1.9919296526951694E-2</v>
      </c>
      <c r="C2" s="10">
        <v>2.4390243902439025E-2</v>
      </c>
      <c r="D2" s="10">
        <v>0</v>
      </c>
      <c r="E2" s="10">
        <v>2.8846153846153848E-2</v>
      </c>
      <c r="F2" s="10">
        <v>4.1758241758241756E-2</v>
      </c>
      <c r="G2" s="10">
        <v>5.2631578947368418E-2</v>
      </c>
      <c r="H2" s="10">
        <v>5.6122448979591837E-2</v>
      </c>
      <c r="I2" s="10">
        <v>1.9919296526951694E-2</v>
      </c>
      <c r="J2" s="10">
        <v>1.9919296526951694E-2</v>
      </c>
      <c r="K2" s="10">
        <v>2.4390243902439025E-2</v>
      </c>
      <c r="L2" s="10">
        <v>0</v>
      </c>
      <c r="M2" s="10">
        <v>2.8846153846153848E-2</v>
      </c>
      <c r="N2" s="10">
        <v>4.1758241758241756E-2</v>
      </c>
      <c r="O2" s="10">
        <v>5.2631578947368418E-2</v>
      </c>
      <c r="P2" s="10">
        <v>5.6122448979591837E-2</v>
      </c>
    </row>
    <row r="3" spans="1:16" x14ac:dyDescent="0.3">
      <c r="A3" s="10" t="s">
        <v>58</v>
      </c>
      <c r="B3" s="10">
        <v>2.0805635248291467E-2</v>
      </c>
      <c r="C3" s="10">
        <v>8.130081300813009E-3</v>
      </c>
      <c r="D3" s="10">
        <v>0</v>
      </c>
      <c r="E3" s="10">
        <v>9.6153846153846159E-3</v>
      </c>
      <c r="F3" s="10">
        <v>3.2967032967032968E-2</v>
      </c>
      <c r="G3" s="10">
        <v>2.6315789473684209E-2</v>
      </c>
      <c r="H3" s="10">
        <v>1.5306122448979591E-2</v>
      </c>
      <c r="I3" s="10">
        <v>4.072493177524316E-2</v>
      </c>
      <c r="J3" s="10">
        <f t="shared" ref="J3:P10" si="0">J2+B3</f>
        <v>4.072493177524316E-2</v>
      </c>
      <c r="K3" s="10">
        <f t="shared" si="0"/>
        <v>3.2520325203252036E-2</v>
      </c>
      <c r="L3" s="10">
        <f t="shared" si="0"/>
        <v>0</v>
      </c>
      <c r="M3" s="10">
        <f t="shared" si="0"/>
        <v>3.8461538461538464E-2</v>
      </c>
      <c r="N3" s="10">
        <f t="shared" si="0"/>
        <v>7.4725274725274723E-2</v>
      </c>
      <c r="O3" s="10">
        <f t="shared" si="0"/>
        <v>7.8947368421052627E-2</v>
      </c>
      <c r="P3" s="10">
        <f t="shared" si="0"/>
        <v>7.1428571428571425E-2</v>
      </c>
    </row>
    <row r="4" spans="1:16" x14ac:dyDescent="0.3">
      <c r="A4" s="10" t="s">
        <v>62</v>
      </c>
      <c r="B4" s="10">
        <v>3.513633289016397E-2</v>
      </c>
      <c r="C4" s="10">
        <v>0.25203252032520324</v>
      </c>
      <c r="D4" s="10">
        <v>7.9545454545454544E-2</v>
      </c>
      <c r="E4" s="10">
        <v>6.7307692307692304E-2</v>
      </c>
      <c r="F4" s="10">
        <v>9.0109890109890109E-2</v>
      </c>
      <c r="G4" s="10">
        <v>8.4210526315789472E-2</v>
      </c>
      <c r="H4" s="10">
        <v>0.11734693877551021</v>
      </c>
      <c r="I4" s="10">
        <v>7.586126466540713E-2</v>
      </c>
      <c r="J4" s="10">
        <f t="shared" si="0"/>
        <v>7.586126466540713E-2</v>
      </c>
      <c r="K4" s="10">
        <f t="shared" si="0"/>
        <v>0.28455284552845528</v>
      </c>
      <c r="L4" s="10">
        <f t="shared" si="0"/>
        <v>7.9545454545454544E-2</v>
      </c>
      <c r="M4" s="10">
        <f t="shared" si="0"/>
        <v>0.10576923076923077</v>
      </c>
      <c r="N4" s="10">
        <f t="shared" si="0"/>
        <v>0.16483516483516483</v>
      </c>
      <c r="O4" s="10">
        <f t="shared" si="0"/>
        <v>0.16315789473684211</v>
      </c>
      <c r="P4" s="10">
        <f t="shared" si="0"/>
        <v>0.18877551020408162</v>
      </c>
    </row>
    <row r="5" spans="1:16" x14ac:dyDescent="0.3">
      <c r="A5" s="10" t="s">
        <v>61</v>
      </c>
      <c r="B5" s="10">
        <v>3.5178317355911648E-2</v>
      </c>
      <c r="C5" s="10">
        <v>2.4390243902439025E-2</v>
      </c>
      <c r="D5" s="10">
        <v>5.6818181818181816E-2</v>
      </c>
      <c r="E5" s="10">
        <v>3.8461538461538464E-2</v>
      </c>
      <c r="F5" s="10">
        <v>7.4725274725274723E-2</v>
      </c>
      <c r="G5" s="10">
        <v>0.11052631578947368</v>
      </c>
      <c r="H5" s="10">
        <v>7.1428571428571425E-2</v>
      </c>
      <c r="I5" s="10">
        <v>0.11103958202131878</v>
      </c>
      <c r="J5" s="10">
        <f t="shared" si="0"/>
        <v>0.11103958202131878</v>
      </c>
      <c r="K5" s="10">
        <f t="shared" si="0"/>
        <v>0.30894308943089432</v>
      </c>
      <c r="L5" s="10">
        <f t="shared" si="0"/>
        <v>0.13636363636363635</v>
      </c>
      <c r="M5" s="10">
        <f t="shared" si="0"/>
        <v>0.14423076923076922</v>
      </c>
      <c r="N5" s="10">
        <f t="shared" si="0"/>
        <v>0.23956043956043954</v>
      </c>
      <c r="O5" s="10">
        <f t="shared" si="0"/>
        <v>0.27368421052631581</v>
      </c>
      <c r="P5" s="10">
        <f t="shared" si="0"/>
        <v>0.26020408163265307</v>
      </c>
    </row>
    <row r="6" spans="1:16" x14ac:dyDescent="0.3">
      <c r="A6" s="10" t="s">
        <v>59</v>
      </c>
      <c r="B6" s="10">
        <v>7.5973223240734258E-2</v>
      </c>
      <c r="C6" s="10">
        <v>4.065040650406504E-2</v>
      </c>
      <c r="D6" s="10">
        <v>4.5454545454545456E-2</v>
      </c>
      <c r="E6" s="10">
        <v>2.8846153846153848E-2</v>
      </c>
      <c r="F6" s="10">
        <v>6.5934065934065936E-2</v>
      </c>
      <c r="G6" s="10">
        <v>0.11578947368421053</v>
      </c>
      <c r="H6" s="10">
        <v>0.11734693877551021</v>
      </c>
      <c r="I6" s="10">
        <v>0.18701280526205305</v>
      </c>
      <c r="J6" s="10">
        <f t="shared" si="0"/>
        <v>0.18701280526205305</v>
      </c>
      <c r="K6" s="10">
        <f t="shared" si="0"/>
        <v>0.34959349593495936</v>
      </c>
      <c r="L6" s="10">
        <f t="shared" si="0"/>
        <v>0.18181818181818182</v>
      </c>
      <c r="M6" s="10">
        <f t="shared" si="0"/>
        <v>0.17307692307692307</v>
      </c>
      <c r="N6" s="10">
        <f t="shared" si="0"/>
        <v>0.30549450549450546</v>
      </c>
      <c r="O6" s="10">
        <f t="shared" si="0"/>
        <v>0.38947368421052631</v>
      </c>
      <c r="P6" s="10">
        <f t="shared" si="0"/>
        <v>0.3775510204081633</v>
      </c>
    </row>
    <row r="7" spans="1:16" x14ac:dyDescent="0.3">
      <c r="A7" s="10" t="s">
        <v>60</v>
      </c>
      <c r="B7" s="10">
        <v>7.9010099596482641E-2</v>
      </c>
      <c r="C7" s="10">
        <v>9.7560975609756101E-2</v>
      </c>
      <c r="D7" s="10">
        <v>0.15909090909090909</v>
      </c>
      <c r="E7" s="10">
        <v>3.8461538461538464E-2</v>
      </c>
      <c r="F7" s="10">
        <v>0.11428571428571428</v>
      </c>
      <c r="G7" s="10">
        <v>0.14210526315789473</v>
      </c>
      <c r="H7" s="10">
        <v>9.6938775510204078E-2</v>
      </c>
      <c r="I7" s="10">
        <v>0.26602290485853569</v>
      </c>
      <c r="J7" s="10">
        <f t="shared" si="0"/>
        <v>0.26602290485853569</v>
      </c>
      <c r="K7" s="10">
        <f t="shared" si="0"/>
        <v>0.44715447154471544</v>
      </c>
      <c r="L7" s="10">
        <f t="shared" si="0"/>
        <v>0.34090909090909094</v>
      </c>
      <c r="M7" s="10">
        <f t="shared" si="0"/>
        <v>0.21153846153846154</v>
      </c>
      <c r="N7" s="10">
        <f t="shared" si="0"/>
        <v>0.41978021978021973</v>
      </c>
      <c r="O7" s="10">
        <f t="shared" si="0"/>
        <v>0.53157894736842104</v>
      </c>
      <c r="P7" s="10">
        <f t="shared" si="0"/>
        <v>0.47448979591836737</v>
      </c>
    </row>
    <row r="8" spans="1:16" x14ac:dyDescent="0.3">
      <c r="A8" s="10" t="s">
        <v>55</v>
      </c>
      <c r="B8" s="10">
        <v>9.3574044270286663E-2</v>
      </c>
      <c r="C8" s="10">
        <v>8.1300813008130079E-2</v>
      </c>
      <c r="D8" s="10">
        <v>1.1363636363636364E-2</v>
      </c>
      <c r="E8" s="10">
        <v>0.125</v>
      </c>
      <c r="F8" s="10">
        <v>0.1076923076923077</v>
      </c>
      <c r="G8" s="10">
        <v>5.7894736842105263E-2</v>
      </c>
      <c r="H8" s="10">
        <v>7.6530612244897961E-2</v>
      </c>
      <c r="I8" s="10">
        <v>0.35959694912882234</v>
      </c>
      <c r="J8" s="10">
        <f t="shared" si="0"/>
        <v>0.35959694912882234</v>
      </c>
      <c r="K8" s="10">
        <f t="shared" si="0"/>
        <v>0.52845528455284552</v>
      </c>
      <c r="L8" s="10">
        <f t="shared" si="0"/>
        <v>0.35227272727272729</v>
      </c>
      <c r="M8" s="10">
        <f t="shared" si="0"/>
        <v>0.33653846153846156</v>
      </c>
      <c r="N8" s="10">
        <f t="shared" si="0"/>
        <v>0.52747252747252737</v>
      </c>
      <c r="O8" s="10">
        <f t="shared" si="0"/>
        <v>0.58947368421052626</v>
      </c>
      <c r="P8" s="10">
        <f t="shared" si="0"/>
        <v>0.55102040816326536</v>
      </c>
    </row>
    <row r="9" spans="1:16" x14ac:dyDescent="0.3">
      <c r="A9" s="10" t="s">
        <v>57</v>
      </c>
      <c r="B9" s="10">
        <v>9.9409885009213259E-2</v>
      </c>
      <c r="C9" s="10">
        <v>0.17073170731707318</v>
      </c>
      <c r="D9" s="10">
        <v>0.125</v>
      </c>
      <c r="E9" s="10">
        <v>6.7307692307692304E-2</v>
      </c>
      <c r="F9" s="10">
        <v>9.6703296703296707E-2</v>
      </c>
      <c r="G9" s="10">
        <v>9.4736842105263161E-2</v>
      </c>
      <c r="H9" s="10">
        <v>0.15816326530612246</v>
      </c>
      <c r="I9" s="10">
        <v>0.45900683413803561</v>
      </c>
      <c r="J9" s="10">
        <f t="shared" si="0"/>
        <v>0.45900683413803561</v>
      </c>
      <c r="K9" s="10">
        <f t="shared" si="0"/>
        <v>0.69918699186991873</v>
      </c>
      <c r="L9" s="10">
        <f t="shared" si="0"/>
        <v>0.47727272727272729</v>
      </c>
      <c r="M9" s="10">
        <f t="shared" si="0"/>
        <v>0.40384615384615385</v>
      </c>
      <c r="N9" s="10">
        <f t="shared" si="0"/>
        <v>0.62417582417582407</v>
      </c>
      <c r="O9" s="10">
        <f t="shared" si="0"/>
        <v>0.68421052631578938</v>
      </c>
      <c r="P9" s="10">
        <f t="shared" si="0"/>
        <v>0.70918367346938782</v>
      </c>
    </row>
    <row r="10" spans="1:16" x14ac:dyDescent="0.3">
      <c r="A10" s="10" t="s">
        <v>54</v>
      </c>
      <c r="B10" s="10">
        <v>0.54099316586196444</v>
      </c>
      <c r="C10" s="10">
        <v>0.30081300813008133</v>
      </c>
      <c r="D10" s="10">
        <v>0.52272727272727271</v>
      </c>
      <c r="E10" s="10">
        <v>0.59615384615384615</v>
      </c>
      <c r="F10" s="10">
        <v>0.37582417582417582</v>
      </c>
      <c r="G10" s="10">
        <v>0.31578947368421051</v>
      </c>
      <c r="H10" s="10">
        <v>0.29081632653061223</v>
      </c>
      <c r="I10" s="10">
        <v>1</v>
      </c>
      <c r="J10" s="10">
        <f t="shared" si="0"/>
        <v>1</v>
      </c>
      <c r="K10" s="10">
        <f t="shared" si="0"/>
        <v>1</v>
      </c>
      <c r="L10" s="10">
        <f t="shared" si="0"/>
        <v>1</v>
      </c>
      <c r="M10" s="10">
        <f t="shared" si="0"/>
        <v>1</v>
      </c>
      <c r="N10" s="10">
        <f t="shared" si="0"/>
        <v>0.99999999999999989</v>
      </c>
      <c r="O10" s="10">
        <f t="shared" si="0"/>
        <v>0.99999999999999989</v>
      </c>
      <c r="P10" s="10">
        <f t="shared" si="0"/>
        <v>1</v>
      </c>
    </row>
    <row r="12" spans="1:16" ht="28.8" x14ac:dyDescent="0.3">
      <c r="B12" s="1" t="s">
        <v>154</v>
      </c>
      <c r="C12" s="3" t="s">
        <v>162</v>
      </c>
      <c r="D12" s="3" t="s">
        <v>163</v>
      </c>
      <c r="E12" s="3" t="s">
        <v>164</v>
      </c>
      <c r="F12" s="3" t="s">
        <v>165</v>
      </c>
      <c r="G12" s="3" t="s">
        <v>166</v>
      </c>
      <c r="H12" s="3" t="s">
        <v>167</v>
      </c>
      <c r="J12" s="8"/>
      <c r="K12" s="11" t="s">
        <v>168</v>
      </c>
      <c r="L12" s="11" t="s">
        <v>169</v>
      </c>
      <c r="M12" s="11" t="s">
        <v>170</v>
      </c>
      <c r="N12" s="11" t="s">
        <v>171</v>
      </c>
      <c r="O12" s="11" t="s">
        <v>172</v>
      </c>
      <c r="P12" s="11" t="s">
        <v>173</v>
      </c>
    </row>
    <row r="13" spans="1:16" x14ac:dyDescent="0.3">
      <c r="B13" s="10" t="s">
        <v>56</v>
      </c>
      <c r="C13" s="10">
        <f>C2-B2</f>
        <v>4.4709473754873316E-3</v>
      </c>
      <c r="D13" s="10">
        <f>D2-B2</f>
        <v>-1.9919296526951694E-2</v>
      </c>
      <c r="E13" s="10">
        <f>E2-B2</f>
        <v>8.9268573192021541E-3</v>
      </c>
      <c r="F13" s="10">
        <f>F2-B2</f>
        <v>2.1838945231290062E-2</v>
      </c>
      <c r="G13" s="10">
        <f>G2-B2</f>
        <v>3.2712282420416725E-2</v>
      </c>
      <c r="H13" s="10">
        <f>H2-B2</f>
        <v>3.6203152452640143E-2</v>
      </c>
      <c r="J13" s="10" t="s">
        <v>56</v>
      </c>
      <c r="K13" s="8">
        <f>($J2-0) * ((K2+0))</f>
        <v>4.8583650065735841E-4</v>
      </c>
      <c r="L13" s="8">
        <f t="shared" ref="L13:P13" si="1">($J2-0) * ((L2+0))</f>
        <v>0</v>
      </c>
      <c r="M13" s="8">
        <f t="shared" si="1"/>
        <v>5.745950921236066E-4</v>
      </c>
      <c r="N13" s="8">
        <f t="shared" si="1"/>
        <v>8.3179480002655419E-4</v>
      </c>
      <c r="O13" s="8">
        <f t="shared" si="1"/>
        <v>1.0483840277342995E-3</v>
      </c>
      <c r="P13" s="8">
        <f t="shared" si="1"/>
        <v>1.1179197030432072E-3</v>
      </c>
    </row>
    <row r="14" spans="1:16" x14ac:dyDescent="0.3">
      <c r="B14" s="10" t="s">
        <v>58</v>
      </c>
      <c r="C14" s="10">
        <f t="shared" ref="C14:C21" si="2">C3-B3</f>
        <v>-1.2675553947478458E-2</v>
      </c>
      <c r="D14" s="10">
        <f t="shared" ref="D14:D21" si="3">D3-B3</f>
        <v>-2.0805635248291467E-2</v>
      </c>
      <c r="E14" s="10">
        <f t="shared" ref="E14:E21" si="4">E3-B3</f>
        <v>-1.1190250632906851E-2</v>
      </c>
      <c r="F14" s="10">
        <f t="shared" ref="F14:F21" si="5">F3-B3</f>
        <v>1.2161397718741501E-2</v>
      </c>
      <c r="G14" s="10">
        <f t="shared" ref="G14:G21" si="6">G3-B3</f>
        <v>5.5101542253927424E-3</v>
      </c>
      <c r="H14" s="10">
        <f t="shared" ref="H14:H21" si="7">H3-B3</f>
        <v>-5.4995127993118752E-3</v>
      </c>
      <c r="J14" s="10" t="s">
        <v>58</v>
      </c>
      <c r="K14" s="8">
        <f>($J3-$J2) * ((K3+K2))</f>
        <v>1.1840605425856934E-3</v>
      </c>
      <c r="L14" s="8">
        <f t="shared" ref="L14:P14" si="8">($J3-$J2) * ((L3+L2))</f>
        <v>0</v>
      </c>
      <c r="M14" s="8">
        <f t="shared" si="8"/>
        <v>1.4003792955580797E-3</v>
      </c>
      <c r="N14" s="8">
        <f t="shared" si="8"/>
        <v>2.4235135563943906E-3</v>
      </c>
      <c r="O14" s="8">
        <f t="shared" si="8"/>
        <v>2.7375835853015087E-3</v>
      </c>
      <c r="P14" s="8">
        <f t="shared" si="8"/>
        <v>2.6537800061596259E-3</v>
      </c>
    </row>
    <row r="15" spans="1:16" x14ac:dyDescent="0.3">
      <c r="B15" s="10" t="s">
        <v>62</v>
      </c>
      <c r="C15" s="10">
        <f t="shared" si="2"/>
        <v>0.21689618743503927</v>
      </c>
      <c r="D15" s="10">
        <f t="shared" si="3"/>
        <v>4.4409121655290575E-2</v>
      </c>
      <c r="E15" s="10">
        <f t="shared" si="4"/>
        <v>3.2171359417528335E-2</v>
      </c>
      <c r="F15" s="10">
        <f t="shared" si="5"/>
        <v>5.4973557219726139E-2</v>
      </c>
      <c r="G15" s="10">
        <f t="shared" si="6"/>
        <v>4.9074193425625502E-2</v>
      </c>
      <c r="H15" s="10">
        <f t="shared" si="7"/>
        <v>8.2210605885346233E-2</v>
      </c>
      <c r="J15" s="10" t="s">
        <v>62</v>
      </c>
      <c r="K15" s="8">
        <f t="shared" ref="K15:P21" si="9">($J4-$J3) * ((K4+K3))</f>
        <v>1.1140788477369063E-2</v>
      </c>
      <c r="L15" s="8">
        <f t="shared" si="9"/>
        <v>2.7949355708084974E-3</v>
      </c>
      <c r="M15" s="8">
        <f t="shared" si="9"/>
        <v>5.0677403206967255E-3</v>
      </c>
      <c r="N15" s="8">
        <f t="shared" si="9"/>
        <v>8.4172753517096095E-3</v>
      </c>
      <c r="O15" s="8">
        <f t="shared" si="9"/>
        <v>8.5066911207765401E-3</v>
      </c>
      <c r="P15" s="8">
        <f t="shared" si="9"/>
        <v>9.1426172316242983E-3</v>
      </c>
    </row>
    <row r="16" spans="1:16" x14ac:dyDescent="0.3">
      <c r="B16" s="10" t="s">
        <v>61</v>
      </c>
      <c r="C16" s="10">
        <f t="shared" si="2"/>
        <v>-1.0788073453472623E-2</v>
      </c>
      <c r="D16" s="10">
        <f t="shared" si="3"/>
        <v>2.1639864462270168E-2</v>
      </c>
      <c r="E16" s="10">
        <f t="shared" si="4"/>
        <v>3.2832211056268157E-3</v>
      </c>
      <c r="F16" s="10">
        <f t="shared" si="5"/>
        <v>3.9546957369363075E-2</v>
      </c>
      <c r="G16" s="10">
        <f t="shared" si="6"/>
        <v>7.5347998433562033E-2</v>
      </c>
      <c r="H16" s="10">
        <f t="shared" si="7"/>
        <v>3.6250254072659777E-2</v>
      </c>
      <c r="J16" s="10" t="s">
        <v>61</v>
      </c>
      <c r="K16" s="8">
        <f t="shared" si="9"/>
        <v>2.0878188349443497E-2</v>
      </c>
      <c r="L16" s="8">
        <f t="shared" si="9"/>
        <v>7.5953185200263781E-3</v>
      </c>
      <c r="M16" s="8">
        <f t="shared" si="9"/>
        <v>8.794579338977912E-3</v>
      </c>
      <c r="N16" s="8">
        <f t="shared" si="9"/>
        <v>1.4225956908764272E-2</v>
      </c>
      <c r="O16" s="8">
        <f t="shared" si="9"/>
        <v>1.5367370213371931E-2</v>
      </c>
      <c r="P16" s="8">
        <f t="shared" si="9"/>
        <v>1.5794346567960332E-2</v>
      </c>
    </row>
    <row r="17" spans="2:16" x14ac:dyDescent="0.3">
      <c r="B17" s="10" t="s">
        <v>59</v>
      </c>
      <c r="C17" s="10">
        <f t="shared" si="2"/>
        <v>-3.5322816736669219E-2</v>
      </c>
      <c r="D17" s="10">
        <f t="shared" si="3"/>
        <v>-3.0518677786188803E-2</v>
      </c>
      <c r="E17" s="10">
        <f t="shared" si="4"/>
        <v>-4.7127069394580411E-2</v>
      </c>
      <c r="F17" s="10">
        <f t="shared" si="5"/>
        <v>-1.0039157306668323E-2</v>
      </c>
      <c r="G17" s="10">
        <f t="shared" si="6"/>
        <v>3.9816250443476267E-2</v>
      </c>
      <c r="H17" s="10">
        <f t="shared" si="7"/>
        <v>4.1373715534775951E-2</v>
      </c>
      <c r="J17" s="10" t="s">
        <v>59</v>
      </c>
      <c r="K17" s="8">
        <f t="shared" si="9"/>
        <v>5.0031147012190864E-2</v>
      </c>
      <c r="L17" s="8">
        <f t="shared" si="9"/>
        <v>2.4173298303869994E-2</v>
      </c>
      <c r="M17" s="8">
        <f t="shared" si="9"/>
        <v>2.4106888143694528E-2</v>
      </c>
      <c r="N17" s="8">
        <f t="shared" si="9"/>
        <v>4.1409581019125487E-2</v>
      </c>
      <c r="O17" s="8">
        <f t="shared" si="9"/>
        <v>5.0382242780697473E-2</v>
      </c>
      <c r="P17" s="8">
        <f t="shared" si="9"/>
        <v>4.8452310740264203E-2</v>
      </c>
    </row>
    <row r="18" spans="2:16" x14ac:dyDescent="0.3">
      <c r="B18" s="10" t="s">
        <v>60</v>
      </c>
      <c r="C18" s="10">
        <f t="shared" si="2"/>
        <v>1.855087601327346E-2</v>
      </c>
      <c r="D18" s="10">
        <f t="shared" si="3"/>
        <v>8.0080809494426447E-2</v>
      </c>
      <c r="E18" s="10">
        <f t="shared" si="4"/>
        <v>-4.0548561134944178E-2</v>
      </c>
      <c r="F18" s="10">
        <f t="shared" si="5"/>
        <v>3.5275614689231641E-2</v>
      </c>
      <c r="G18" s="10">
        <f t="shared" si="6"/>
        <v>6.3095163561412093E-2</v>
      </c>
      <c r="H18" s="10">
        <f t="shared" si="7"/>
        <v>1.7928675913721437E-2</v>
      </c>
      <c r="J18" s="10" t="s">
        <v>60</v>
      </c>
      <c r="K18" s="8">
        <f t="shared" si="9"/>
        <v>6.2951136263864213E-2</v>
      </c>
      <c r="L18" s="8">
        <f t="shared" si="9"/>
        <v>4.1300733879979561E-2</v>
      </c>
      <c r="M18" s="8">
        <f t="shared" si="9"/>
        <v>3.0388499844801013E-2</v>
      </c>
      <c r="N18" s="8">
        <f t="shared" si="9"/>
        <v>5.730402827876762E-2</v>
      </c>
      <c r="O18" s="8">
        <f t="shared" si="9"/>
        <v>7.2772460154655064E-2</v>
      </c>
      <c r="P18" s="8">
        <f t="shared" si="9"/>
        <v>6.7319829758227562E-2</v>
      </c>
    </row>
    <row r="19" spans="2:16" x14ac:dyDescent="0.3">
      <c r="B19" s="10" t="s">
        <v>55</v>
      </c>
      <c r="C19" s="10">
        <f t="shared" si="2"/>
        <v>-1.2273231262156584E-2</v>
      </c>
      <c r="D19" s="10">
        <f t="shared" si="3"/>
        <v>-8.2210407906650296E-2</v>
      </c>
      <c r="E19" s="10">
        <f t="shared" si="4"/>
        <v>3.1425955729713337E-2</v>
      </c>
      <c r="F19" s="10">
        <f t="shared" si="5"/>
        <v>1.4118263422021035E-2</v>
      </c>
      <c r="G19" s="10">
        <f t="shared" si="6"/>
        <v>-3.56793074281814E-2</v>
      </c>
      <c r="H19" s="10">
        <f t="shared" si="7"/>
        <v>-1.7043432025388702E-2</v>
      </c>
      <c r="J19" s="10" t="s">
        <v>55</v>
      </c>
      <c r="K19" s="8">
        <f t="shared" si="9"/>
        <v>9.1291750507596733E-2</v>
      </c>
      <c r="L19" s="8">
        <f t="shared" si="9"/>
        <v>6.4863826141903252E-2</v>
      </c>
      <c r="M19" s="8">
        <f t="shared" si="9"/>
        <v>5.1285774263522495E-2</v>
      </c>
      <c r="N19" s="8">
        <f t="shared" si="9"/>
        <v>8.8638270506579214E-2</v>
      </c>
      <c r="O19" s="8">
        <f t="shared" si="9"/>
        <v>0.10490142857668977</v>
      </c>
      <c r="P19" s="8">
        <f t="shared" si="9"/>
        <v>9.5961137236365388E-2</v>
      </c>
    </row>
    <row r="20" spans="2:16" x14ac:dyDescent="0.3">
      <c r="B20" s="10" t="s">
        <v>57</v>
      </c>
      <c r="C20" s="10">
        <f t="shared" si="2"/>
        <v>7.1321822307859925E-2</v>
      </c>
      <c r="D20" s="10">
        <f t="shared" si="3"/>
        <v>2.5590114990786741E-2</v>
      </c>
      <c r="E20" s="10">
        <f t="shared" si="4"/>
        <v>-3.2102192701520954E-2</v>
      </c>
      <c r="F20" s="10">
        <f t="shared" si="5"/>
        <v>-2.7065883059165519E-3</v>
      </c>
      <c r="G20" s="10">
        <f t="shared" si="6"/>
        <v>-4.6730429039500976E-3</v>
      </c>
      <c r="H20" s="10">
        <f t="shared" si="7"/>
        <v>5.8753380296909199E-2</v>
      </c>
      <c r="J20" s="10" t="s">
        <v>57</v>
      </c>
      <c r="K20" s="8">
        <f t="shared" si="9"/>
        <v>0.12203977753163579</v>
      </c>
      <c r="L20" s="8">
        <f t="shared" si="9"/>
        <v>8.2465018246279193E-2</v>
      </c>
      <c r="M20" s="8">
        <f t="shared" si="9"/>
        <v>7.3601549477975217E-2</v>
      </c>
      <c r="N20" s="8">
        <f t="shared" si="9"/>
        <v>0.11448523020841264</v>
      </c>
      <c r="O20" s="8">
        <f t="shared" si="9"/>
        <v>0.12661680090647165</v>
      </c>
      <c r="P20" s="8">
        <f t="shared" si="9"/>
        <v>0.12527674284324328</v>
      </c>
    </row>
    <row r="21" spans="2:16" x14ac:dyDescent="0.3">
      <c r="B21" s="10" t="s">
        <v>54</v>
      </c>
      <c r="C21" s="10">
        <f t="shared" si="2"/>
        <v>-0.24018015773188311</v>
      </c>
      <c r="D21" s="10">
        <f t="shared" si="3"/>
        <v>-1.8265893134691735E-2</v>
      </c>
      <c r="E21" s="10">
        <f t="shared" si="4"/>
        <v>5.5160680291881703E-2</v>
      </c>
      <c r="F21" s="10">
        <f t="shared" si="5"/>
        <v>-0.16516899003778862</v>
      </c>
      <c r="G21" s="10">
        <f t="shared" si="6"/>
        <v>-0.22520369217775393</v>
      </c>
      <c r="H21" s="10">
        <f t="shared" si="7"/>
        <v>-0.25017683933135221</v>
      </c>
      <c r="J21" s="10" t="s">
        <v>54</v>
      </c>
      <c r="K21" s="8">
        <f t="shared" si="9"/>
        <v>0.91924855012317541</v>
      </c>
      <c r="L21" s="8">
        <f t="shared" si="9"/>
        <v>0.79919444956881114</v>
      </c>
      <c r="M21" s="8">
        <f t="shared" si="9"/>
        <v>0.75947117515237306</v>
      </c>
      <c r="N21" s="8">
        <f t="shared" si="9"/>
        <v>0.87866802103734432</v>
      </c>
      <c r="O21" s="8">
        <f t="shared" si="9"/>
        <v>0.91114638460962427</v>
      </c>
      <c r="P21" s="8">
        <f t="shared" si="9"/>
        <v>0.92465668654978617</v>
      </c>
    </row>
    <row r="22" spans="2:16" x14ac:dyDescent="0.3">
      <c r="J22" s="12" t="s">
        <v>174</v>
      </c>
      <c r="K22" s="11">
        <f>SUM(K13:K21)</f>
        <v>1.2792512353085186</v>
      </c>
      <c r="L22" s="11">
        <f t="shared" ref="L22:P22" si="10">SUM(L13:L21)</f>
        <v>1.022387580231678</v>
      </c>
      <c r="M22" s="11">
        <f t="shared" si="10"/>
        <v>0.9546911809297226</v>
      </c>
      <c r="N22" s="11">
        <f t="shared" si="10"/>
        <v>1.206403671667124</v>
      </c>
      <c r="O22" s="11">
        <f t="shared" si="10"/>
        <v>1.2934793459753224</v>
      </c>
      <c r="P22" s="11">
        <f t="shared" si="10"/>
        <v>1.2903753706366741</v>
      </c>
    </row>
    <row r="23" spans="2:16" x14ac:dyDescent="0.3">
      <c r="J23" s="13" t="s">
        <v>175</v>
      </c>
      <c r="K23" s="14">
        <f>1-K22</f>
        <v>-0.27925123530851859</v>
      </c>
      <c r="L23" s="14">
        <f t="shared" ref="L23:P23" si="11">1-L22</f>
        <v>-2.2387580231677973E-2</v>
      </c>
      <c r="M23" s="14">
        <f t="shared" si="11"/>
        <v>4.5308819070277395E-2</v>
      </c>
      <c r="N23" s="14">
        <f t="shared" si="11"/>
        <v>-0.20640367166712403</v>
      </c>
      <c r="O23" s="14">
        <f t="shared" si="11"/>
        <v>-0.29347934597532244</v>
      </c>
      <c r="P23" s="14">
        <f t="shared" si="11"/>
        <v>-0.29037537063667407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6BD-0110-4217-ACBB-8C1D11FBA90F}">
  <dimension ref="A1:P19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65</v>
      </c>
      <c r="B2" s="10">
        <v>1.9833496571988248E-2</v>
      </c>
      <c r="C2" s="10">
        <v>2.7777777777777776E-2</v>
      </c>
      <c r="D2" s="10">
        <v>3.2258064516129031E-2</v>
      </c>
      <c r="E2" s="10">
        <v>0</v>
      </c>
      <c r="F2" s="10">
        <v>2.8846153846153848E-2</v>
      </c>
      <c r="G2" s="10">
        <v>0</v>
      </c>
      <c r="H2" s="10">
        <v>0</v>
      </c>
      <c r="I2" s="10">
        <v>1.9833496571988248E-2</v>
      </c>
      <c r="J2" s="10">
        <v>1.9833496571988248E-2</v>
      </c>
      <c r="K2" s="10">
        <v>2.7777777777777776E-2</v>
      </c>
      <c r="L2" s="10">
        <v>3.2258064516129031E-2</v>
      </c>
      <c r="M2" s="10">
        <v>0</v>
      </c>
      <c r="N2" s="10">
        <v>2.8846153846153848E-2</v>
      </c>
      <c r="O2" s="10">
        <v>0</v>
      </c>
      <c r="P2" s="10">
        <v>0</v>
      </c>
    </row>
    <row r="3" spans="1:16" x14ac:dyDescent="0.3">
      <c r="A3" s="10" t="s">
        <v>69</v>
      </c>
      <c r="B3" s="10">
        <v>2.7617402958915408E-2</v>
      </c>
      <c r="C3" s="10">
        <v>1.3888888888888888E-2</v>
      </c>
      <c r="D3" s="10">
        <v>0</v>
      </c>
      <c r="E3" s="10">
        <v>4.7619047619047616E-2</v>
      </c>
      <c r="F3" s="10">
        <v>3.8461538461538464E-2</v>
      </c>
      <c r="G3" s="10">
        <v>5.434782608695652E-2</v>
      </c>
      <c r="H3" s="10">
        <v>5.7971014492753624E-2</v>
      </c>
      <c r="I3" s="10">
        <v>4.7450899530903659E-2</v>
      </c>
      <c r="J3" s="10">
        <f>J2+B3</f>
        <v>4.7450899530903659E-2</v>
      </c>
      <c r="K3" s="10">
        <f t="shared" ref="K3:P8" si="0">K2+C3</f>
        <v>4.1666666666666664E-2</v>
      </c>
      <c r="L3" s="10">
        <f t="shared" si="0"/>
        <v>3.2258064516129031E-2</v>
      </c>
      <c r="M3" s="10">
        <f t="shared" si="0"/>
        <v>4.7619047619047616E-2</v>
      </c>
      <c r="N3" s="10">
        <f t="shared" si="0"/>
        <v>6.7307692307692318E-2</v>
      </c>
      <c r="O3" s="10">
        <f t="shared" si="0"/>
        <v>5.434782608695652E-2</v>
      </c>
      <c r="P3" s="10">
        <f t="shared" si="0"/>
        <v>5.7971014492753624E-2</v>
      </c>
    </row>
    <row r="4" spans="1:16" ht="15.6" customHeight="1" x14ac:dyDescent="0.3">
      <c r="A4" s="10" t="s">
        <v>68</v>
      </c>
      <c r="B4" s="10">
        <v>9.1499561833084178E-2</v>
      </c>
      <c r="C4" s="10">
        <v>0.125</v>
      </c>
      <c r="D4" s="10">
        <v>6.4516129032258063E-2</v>
      </c>
      <c r="E4" s="10">
        <v>0.19047619047619047</v>
      </c>
      <c r="F4" s="10">
        <v>6.7307692307692304E-2</v>
      </c>
      <c r="G4" s="10">
        <v>8.6956521739130432E-2</v>
      </c>
      <c r="H4" s="10">
        <v>5.7971014492753624E-2</v>
      </c>
      <c r="I4" s="10">
        <v>0.13895046136398784</v>
      </c>
      <c r="J4" s="10">
        <f t="shared" ref="J4:J8" si="1">J3+B4</f>
        <v>0.13895046136398784</v>
      </c>
      <c r="K4" s="10">
        <f t="shared" si="0"/>
        <v>0.16666666666666666</v>
      </c>
      <c r="L4" s="10">
        <f t="shared" si="0"/>
        <v>9.6774193548387094E-2</v>
      </c>
      <c r="M4" s="10">
        <f t="shared" si="0"/>
        <v>0.23809523809523808</v>
      </c>
      <c r="N4" s="10">
        <f t="shared" si="0"/>
        <v>0.13461538461538464</v>
      </c>
      <c r="O4" s="10">
        <f t="shared" si="0"/>
        <v>0.14130434782608695</v>
      </c>
      <c r="P4" s="10">
        <f t="shared" si="0"/>
        <v>0.11594202898550725</v>
      </c>
    </row>
    <row r="5" spans="1:16" x14ac:dyDescent="0.3">
      <c r="A5" s="10" t="s">
        <v>64</v>
      </c>
      <c r="B5" s="10">
        <v>0.11202897056549306</v>
      </c>
      <c r="C5" s="10">
        <v>0.125</v>
      </c>
      <c r="D5" s="10">
        <v>9.6774193548387094E-2</v>
      </c>
      <c r="E5" s="10">
        <v>0.23809523809523808</v>
      </c>
      <c r="F5" s="10">
        <v>5.7692307692307696E-2</v>
      </c>
      <c r="G5" s="10">
        <v>0.19565217391304349</v>
      </c>
      <c r="H5" s="10">
        <v>8.6956521739130432E-2</v>
      </c>
      <c r="I5" s="10">
        <v>0.25097943192948091</v>
      </c>
      <c r="J5" s="10">
        <f t="shared" si="1"/>
        <v>0.25097943192948091</v>
      </c>
      <c r="K5" s="10">
        <f t="shared" si="0"/>
        <v>0.29166666666666663</v>
      </c>
      <c r="L5" s="10">
        <f t="shared" si="0"/>
        <v>0.19354838709677419</v>
      </c>
      <c r="M5" s="10">
        <f t="shared" si="0"/>
        <v>0.47619047619047616</v>
      </c>
      <c r="N5" s="10">
        <f t="shared" si="0"/>
        <v>0.19230769230769235</v>
      </c>
      <c r="O5" s="10">
        <f t="shared" si="0"/>
        <v>0.33695652173913043</v>
      </c>
      <c r="P5" s="10">
        <f t="shared" si="0"/>
        <v>0.20289855072463769</v>
      </c>
    </row>
    <row r="6" spans="1:16" x14ac:dyDescent="0.3">
      <c r="A6" s="10" t="s">
        <v>67</v>
      </c>
      <c r="B6" s="10">
        <v>0.11231249033455333</v>
      </c>
      <c r="C6" s="10">
        <v>5.5555555555555552E-2</v>
      </c>
      <c r="D6" s="10">
        <v>0.19354838709677419</v>
      </c>
      <c r="E6" s="10">
        <v>9.5238095238095233E-2</v>
      </c>
      <c r="F6" s="10">
        <v>6.7307692307692304E-2</v>
      </c>
      <c r="G6" s="10">
        <v>7.6086956521739135E-2</v>
      </c>
      <c r="H6" s="10">
        <v>8.6956521739130432E-2</v>
      </c>
      <c r="I6" s="10">
        <v>0.36329192226403423</v>
      </c>
      <c r="J6" s="10">
        <f t="shared" si="1"/>
        <v>0.36329192226403423</v>
      </c>
      <c r="K6" s="10">
        <f t="shared" si="0"/>
        <v>0.34722222222222221</v>
      </c>
      <c r="L6" s="10">
        <f t="shared" si="0"/>
        <v>0.38709677419354838</v>
      </c>
      <c r="M6" s="10">
        <f t="shared" si="0"/>
        <v>0.5714285714285714</v>
      </c>
      <c r="N6" s="10">
        <f t="shared" si="0"/>
        <v>0.25961538461538464</v>
      </c>
      <c r="O6" s="10">
        <f t="shared" si="0"/>
        <v>0.41304347826086957</v>
      </c>
      <c r="P6" s="10">
        <f t="shared" si="0"/>
        <v>0.28985507246376813</v>
      </c>
    </row>
    <row r="7" spans="1:16" x14ac:dyDescent="0.3">
      <c r="A7" s="10" t="s">
        <v>66</v>
      </c>
      <c r="B7" s="10">
        <v>0.18388834476003918</v>
      </c>
      <c r="C7" s="10">
        <v>0.20833333333333334</v>
      </c>
      <c r="D7" s="10">
        <v>6.4516129032258063E-2</v>
      </c>
      <c r="E7" s="10">
        <v>4.7619047619047616E-2</v>
      </c>
      <c r="F7" s="10">
        <v>0.14423076923076922</v>
      </c>
      <c r="G7" s="10">
        <v>9.7826086956521743E-2</v>
      </c>
      <c r="H7" s="10">
        <v>0.11594202898550725</v>
      </c>
      <c r="I7" s="10">
        <v>0.54718026702407341</v>
      </c>
      <c r="J7" s="10">
        <f t="shared" si="1"/>
        <v>0.54718026702407341</v>
      </c>
      <c r="K7" s="10">
        <f t="shared" si="0"/>
        <v>0.55555555555555558</v>
      </c>
      <c r="L7" s="10">
        <f t="shared" si="0"/>
        <v>0.45161290322580644</v>
      </c>
      <c r="M7" s="10">
        <f t="shared" si="0"/>
        <v>0.61904761904761907</v>
      </c>
      <c r="N7" s="10">
        <f t="shared" si="0"/>
        <v>0.40384615384615385</v>
      </c>
      <c r="O7" s="10">
        <f t="shared" si="0"/>
        <v>0.51086956521739135</v>
      </c>
      <c r="P7" s="10">
        <f t="shared" si="0"/>
        <v>0.40579710144927539</v>
      </c>
    </row>
    <row r="8" spans="1:16" x14ac:dyDescent="0.3">
      <c r="A8" s="10" t="s">
        <v>63</v>
      </c>
      <c r="B8" s="10">
        <v>0.45281973297592659</v>
      </c>
      <c r="C8" s="10">
        <v>0.44444444444444442</v>
      </c>
      <c r="D8" s="10">
        <v>0.54838709677419351</v>
      </c>
      <c r="E8" s="10">
        <v>0.38095238095238093</v>
      </c>
      <c r="F8" s="10">
        <v>0.59615384615384615</v>
      </c>
      <c r="G8" s="10">
        <v>0.4891304347826087</v>
      </c>
      <c r="H8" s="10">
        <v>0.59420289855072461</v>
      </c>
      <c r="I8" s="10">
        <v>1</v>
      </c>
      <c r="J8" s="10">
        <f t="shared" si="1"/>
        <v>1</v>
      </c>
      <c r="K8" s="10">
        <f t="shared" si="0"/>
        <v>1</v>
      </c>
      <c r="L8" s="10">
        <f t="shared" si="0"/>
        <v>1</v>
      </c>
      <c r="M8" s="10">
        <f t="shared" si="0"/>
        <v>1</v>
      </c>
      <c r="N8" s="10">
        <f t="shared" si="0"/>
        <v>1</v>
      </c>
      <c r="O8" s="10">
        <f t="shared" si="0"/>
        <v>1</v>
      </c>
      <c r="P8" s="10">
        <f t="shared" si="0"/>
        <v>1</v>
      </c>
    </row>
    <row r="10" spans="1:16" ht="28.8" x14ac:dyDescent="0.3">
      <c r="B10" s="1" t="s">
        <v>154</v>
      </c>
      <c r="C10" s="3" t="s">
        <v>162</v>
      </c>
      <c r="D10" s="3" t="s">
        <v>163</v>
      </c>
      <c r="E10" s="3" t="s">
        <v>164</v>
      </c>
      <c r="F10" s="3" t="s">
        <v>165</v>
      </c>
      <c r="G10" s="3" t="s">
        <v>166</v>
      </c>
      <c r="H10" s="3" t="s">
        <v>167</v>
      </c>
      <c r="J10" s="8"/>
      <c r="K10" s="11" t="s">
        <v>168</v>
      </c>
      <c r="L10" s="11" t="s">
        <v>169</v>
      </c>
      <c r="M10" s="11" t="s">
        <v>170</v>
      </c>
      <c r="N10" s="11" t="s">
        <v>171</v>
      </c>
      <c r="O10" s="11" t="s">
        <v>172</v>
      </c>
      <c r="P10" s="11" t="s">
        <v>173</v>
      </c>
    </row>
    <row r="11" spans="1:16" x14ac:dyDescent="0.3">
      <c r="B11" s="10" t="s">
        <v>65</v>
      </c>
      <c r="C11" s="10">
        <f>C2-B2</f>
        <v>7.9442812057895287E-3</v>
      </c>
      <c r="D11" s="10">
        <f>D2-B2</f>
        <v>1.2424567944140784E-2</v>
      </c>
      <c r="E11" s="10">
        <f>E2-B2</f>
        <v>-1.9833496571988248E-2</v>
      </c>
      <c r="F11" s="10">
        <f>F2-B2</f>
        <v>9.0126572741656003E-3</v>
      </c>
      <c r="G11" s="10">
        <f>G2-B2</f>
        <v>-1.9833496571988248E-2</v>
      </c>
      <c r="H11" s="10">
        <f>H2-B2</f>
        <v>-1.9833496571988248E-2</v>
      </c>
      <c r="J11" s="10" t="s">
        <v>65</v>
      </c>
      <c r="K11" s="8">
        <f>(J2-0) * ((K2+0))</f>
        <v>5.5093046033300689E-4</v>
      </c>
      <c r="L11" s="8">
        <f>(J2-0) * ((L2+0))</f>
        <v>6.3979021199962087E-4</v>
      </c>
      <c r="M11" s="8">
        <f>(J2-0) * ((M2+0))</f>
        <v>0</v>
      </c>
      <c r="N11" s="8">
        <f>(J2-0) * ((N2+0))</f>
        <v>5.7212009342273793E-4</v>
      </c>
      <c r="O11" s="8">
        <f>(J2-0) * ((O2+0))</f>
        <v>0</v>
      </c>
      <c r="P11" s="8">
        <f>(J2-0) * ((P2+0))</f>
        <v>0</v>
      </c>
    </row>
    <row r="12" spans="1:16" x14ac:dyDescent="0.3">
      <c r="B12" s="10" t="s">
        <v>69</v>
      </c>
      <c r="C12" s="10">
        <f t="shared" ref="C12:C17" si="2">C3-B3</f>
        <v>-1.372851407002652E-2</v>
      </c>
      <c r="D12" s="10">
        <f t="shared" ref="D12:D17" si="3">D3-B3</f>
        <v>-2.7617402958915408E-2</v>
      </c>
      <c r="E12" s="10">
        <f t="shared" ref="E12:E17" si="4">E3-B3</f>
        <v>2.0001644660132208E-2</v>
      </c>
      <c r="F12" s="10">
        <f t="shared" ref="F12:F17" si="5">F3-B3</f>
        <v>1.0844135502623056E-2</v>
      </c>
      <c r="G12" s="10">
        <f t="shared" ref="G12:G17" si="6">G3-B3</f>
        <v>2.6730423128041112E-2</v>
      </c>
      <c r="H12" s="10">
        <f t="shared" ref="H12:H17" si="7">H3-B3</f>
        <v>3.0353611533838216E-2</v>
      </c>
      <c r="J12" s="10" t="s">
        <v>69</v>
      </c>
      <c r="K12" s="8">
        <f>(J3-J2) * ((K3+K2))</f>
        <v>1.9178752054802371E-3</v>
      </c>
      <c r="L12" s="8">
        <f>(J3-J2) * ((L3+L2))</f>
        <v>1.7817679328332523E-3</v>
      </c>
      <c r="M12" s="8">
        <f>(J3-J2) * ((M3+M2))</f>
        <v>1.3151144266150196E-3</v>
      </c>
      <c r="N12" s="8">
        <f>(J3-J2) * ((N3+N2))</f>
        <v>2.6555195152803287E-3</v>
      </c>
      <c r="O12" s="8">
        <f>(J3-J2) * ((O3+O2))</f>
        <v>1.5009458129845333E-3</v>
      </c>
      <c r="P12" s="8">
        <f>(J3-J2) * ((P3+P2))</f>
        <v>1.6010088671835022E-3</v>
      </c>
    </row>
    <row r="13" spans="1:16" x14ac:dyDescent="0.3">
      <c r="B13" s="10" t="s">
        <v>68</v>
      </c>
      <c r="C13" s="10">
        <f t="shared" si="2"/>
        <v>3.3500438166915822E-2</v>
      </c>
      <c r="D13" s="10">
        <f t="shared" si="3"/>
        <v>-2.6983432800826115E-2</v>
      </c>
      <c r="E13" s="10">
        <f t="shared" si="4"/>
        <v>9.8976628643106287E-2</v>
      </c>
      <c r="F13" s="10">
        <f t="shared" si="5"/>
        <v>-2.4191869525391874E-2</v>
      </c>
      <c r="G13" s="10">
        <f t="shared" si="6"/>
        <v>-4.5430400939537458E-3</v>
      </c>
      <c r="H13" s="10">
        <f t="shared" si="7"/>
        <v>-3.3528547340330554E-2</v>
      </c>
      <c r="J13" s="10" t="s">
        <v>68</v>
      </c>
      <c r="K13" s="8">
        <f t="shared" ref="K13:K17" si="8">(J4-J3) * ((K4+K3))</f>
        <v>1.9062408715225868E-2</v>
      </c>
      <c r="L13" s="8">
        <f t="shared" ref="L13:L17" si="9">(J4-J3) * ((L4+L3))</f>
        <v>1.1806395075236668E-2</v>
      </c>
      <c r="M13" s="8">
        <f t="shared" ref="M13:M17" si="10">(J4-J3) * ((M4+M3))</f>
        <v>2.6142731952309765E-2</v>
      </c>
      <c r="N13" s="8">
        <f t="shared" ref="N13:N17" si="11">(J4-J3) * ((N4+N3))</f>
        <v>1.8475873062449692E-2</v>
      </c>
      <c r="O13" s="8">
        <f t="shared" ref="O13:O17" si="12">(J4-J3) * ((O4+O3))</f>
        <v>1.790208818473386E-2</v>
      </c>
      <c r="P13" s="8">
        <f t="shared" ref="P13:P17" si="13">(J4-J3) * ((P4+P3))</f>
        <v>1.5912967275318986E-2</v>
      </c>
    </row>
    <row r="14" spans="1:16" x14ac:dyDescent="0.3">
      <c r="B14" s="10" t="s">
        <v>64</v>
      </c>
      <c r="C14" s="10">
        <f t="shared" si="2"/>
        <v>1.2971029434506939E-2</v>
      </c>
      <c r="D14" s="10">
        <f t="shared" si="3"/>
        <v>-1.5254777017105967E-2</v>
      </c>
      <c r="E14" s="10">
        <f t="shared" si="4"/>
        <v>0.12606626752974504</v>
      </c>
      <c r="F14" s="10">
        <f t="shared" si="5"/>
        <v>-5.4336662873185365E-2</v>
      </c>
      <c r="G14" s="10">
        <f t="shared" si="6"/>
        <v>8.3623203347550426E-2</v>
      </c>
      <c r="H14" s="10">
        <f t="shared" si="7"/>
        <v>-2.5072448826362628E-2</v>
      </c>
      <c r="J14" s="10" t="s">
        <v>64</v>
      </c>
      <c r="K14" s="8">
        <f t="shared" si="8"/>
        <v>5.134661150918432E-2</v>
      </c>
      <c r="L14" s="8">
        <f t="shared" si="9"/>
        <v>3.2524539841594757E-2</v>
      </c>
      <c r="M14" s="8">
        <f t="shared" si="10"/>
        <v>8.0020693261066478E-2</v>
      </c>
      <c r="N14" s="8">
        <f t="shared" si="11"/>
        <v>3.6624855761795819E-2</v>
      </c>
      <c r="O14" s="8">
        <f t="shared" si="12"/>
        <v>5.3579072879148863E-2</v>
      </c>
      <c r="P14" s="8">
        <f t="shared" si="13"/>
        <v>3.571938191943258E-2</v>
      </c>
    </row>
    <row r="15" spans="1:16" x14ac:dyDescent="0.3">
      <c r="B15" s="10" t="s">
        <v>67</v>
      </c>
      <c r="C15" s="10">
        <f t="shared" si="2"/>
        <v>-5.6756934778997778E-2</v>
      </c>
      <c r="D15" s="10">
        <f t="shared" si="3"/>
        <v>8.1235896762220858E-2</v>
      </c>
      <c r="E15" s="10">
        <f t="shared" si="4"/>
        <v>-1.7074395096458098E-2</v>
      </c>
      <c r="F15" s="10">
        <f t="shared" si="5"/>
        <v>-4.5004798026861026E-2</v>
      </c>
      <c r="G15" s="10">
        <f t="shared" si="6"/>
        <v>-3.6225533812814195E-2</v>
      </c>
      <c r="H15" s="10">
        <f t="shared" si="7"/>
        <v>-2.5355968595422898E-2</v>
      </c>
      <c r="J15" s="10" t="s">
        <v>67</v>
      </c>
      <c r="K15" s="8">
        <f t="shared" si="8"/>
        <v>7.1755202158186829E-2</v>
      </c>
      <c r="L15" s="8">
        <f t="shared" si="9"/>
        <v>6.5213704065224504E-2</v>
      </c>
      <c r="M15" s="8">
        <f t="shared" si="10"/>
        <v>0.11766070416000822</v>
      </c>
      <c r="N15" s="8">
        <f t="shared" si="11"/>
        <v>5.0756606208884676E-2</v>
      </c>
      <c r="O15" s="8">
        <f t="shared" si="12"/>
        <v>8.4234367750914987E-2</v>
      </c>
      <c r="P15" s="8">
        <f t="shared" si="13"/>
        <v>5.5342386541663957E-2</v>
      </c>
    </row>
    <row r="16" spans="1:16" x14ac:dyDescent="0.3">
      <c r="B16" s="10" t="s">
        <v>66</v>
      </c>
      <c r="C16" s="10">
        <f t="shared" si="2"/>
        <v>2.4444988573294163E-2</v>
      </c>
      <c r="D16" s="10">
        <f t="shared" si="3"/>
        <v>-0.11937221572778112</v>
      </c>
      <c r="E16" s="10">
        <f t="shared" si="4"/>
        <v>-0.13626929714099156</v>
      </c>
      <c r="F16" s="10">
        <f t="shared" si="5"/>
        <v>-3.9657575529269962E-2</v>
      </c>
      <c r="G16" s="10">
        <f t="shared" si="6"/>
        <v>-8.6062257803517436E-2</v>
      </c>
      <c r="H16" s="10">
        <f t="shared" si="7"/>
        <v>-6.7946315774531932E-2</v>
      </c>
      <c r="J16" s="10" t="s">
        <v>66</v>
      </c>
      <c r="K16" s="8">
        <f t="shared" si="8"/>
        <v>0.16601031124170204</v>
      </c>
      <c r="L16" s="8">
        <f t="shared" si="9"/>
        <v>0.15422893431487156</v>
      </c>
      <c r="M16" s="8">
        <f t="shared" si="10"/>
        <v>0.21891469614290379</v>
      </c>
      <c r="N16" s="8">
        <f t="shared" si="11"/>
        <v>0.12200284411964139</v>
      </c>
      <c r="O16" s="8">
        <f t="shared" si="12"/>
        <v>0.16989684026742752</v>
      </c>
      <c r="P16" s="8">
        <f t="shared" si="13"/>
        <v>0.12792232678959248</v>
      </c>
    </row>
    <row r="17" spans="2:16" x14ac:dyDescent="0.3">
      <c r="B17" s="10" t="s">
        <v>63</v>
      </c>
      <c r="C17" s="10">
        <f t="shared" si="2"/>
        <v>-8.3752885314821723E-3</v>
      </c>
      <c r="D17" s="10">
        <f t="shared" si="3"/>
        <v>9.5567363798266913E-2</v>
      </c>
      <c r="E17" s="10">
        <f t="shared" si="4"/>
        <v>-7.1867352023545661E-2</v>
      </c>
      <c r="F17" s="10">
        <f t="shared" si="5"/>
        <v>0.14333411317791955</v>
      </c>
      <c r="G17" s="10">
        <f t="shared" si="6"/>
        <v>3.6310701806682111E-2</v>
      </c>
      <c r="H17" s="10">
        <f t="shared" si="7"/>
        <v>0.14138316557479802</v>
      </c>
      <c r="J17" s="10" t="s">
        <v>63</v>
      </c>
      <c r="K17" s="8">
        <f t="shared" si="8"/>
        <v>0.70438625129588583</v>
      </c>
      <c r="L17" s="8">
        <f t="shared" si="9"/>
        <v>0.65731896722311922</v>
      </c>
      <c r="M17" s="8">
        <f t="shared" si="10"/>
        <v>0.73313671053245255</v>
      </c>
      <c r="N17" s="8">
        <f t="shared" si="11"/>
        <v>0.63568924052389686</v>
      </c>
      <c r="O17" s="8">
        <f t="shared" si="12"/>
        <v>0.68415155308319342</v>
      </c>
      <c r="P17" s="8">
        <f t="shared" si="13"/>
        <v>0.63657266809659252</v>
      </c>
    </row>
    <row r="18" spans="2:16" x14ac:dyDescent="0.3">
      <c r="J18" s="12" t="s">
        <v>174</v>
      </c>
      <c r="K18" s="11">
        <f>SUM(K11:K17)</f>
        <v>1.0150295905859981</v>
      </c>
      <c r="L18" s="11">
        <f t="shared" ref="L18:P18" si="14">SUM(L11:L17)</f>
        <v>0.92351409866487955</v>
      </c>
      <c r="M18" s="11">
        <f t="shared" si="14"/>
        <v>1.1771906504753558</v>
      </c>
      <c r="N18" s="11">
        <f t="shared" si="14"/>
        <v>0.86677705928537152</v>
      </c>
      <c r="O18" s="11">
        <f t="shared" si="14"/>
        <v>1.0112648679784031</v>
      </c>
      <c r="P18" s="11">
        <f t="shared" si="14"/>
        <v>0.87307073948978409</v>
      </c>
    </row>
    <row r="19" spans="2:16" x14ac:dyDescent="0.3">
      <c r="J19" s="13" t="s">
        <v>175</v>
      </c>
      <c r="K19" s="14">
        <f>1-K18</f>
        <v>-1.5029590585998065E-2</v>
      </c>
      <c r="L19" s="14">
        <f t="shared" ref="L19:P19" si="15">1-L18</f>
        <v>7.6485901335120454E-2</v>
      </c>
      <c r="M19" s="14">
        <f t="shared" si="15"/>
        <v>-0.17719065047535576</v>
      </c>
      <c r="N19" s="14">
        <f t="shared" si="15"/>
        <v>0.13322294071462848</v>
      </c>
      <c r="O19" s="14">
        <f t="shared" si="15"/>
        <v>-1.1264867978403093E-2</v>
      </c>
      <c r="P19" s="14">
        <f t="shared" si="15"/>
        <v>0.12692926051021591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0B41-D32C-449E-94DA-72DB2FD9FF30}">
  <dimension ref="A1:P17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71</v>
      </c>
      <c r="B2" s="10">
        <v>1.2481681114781788E-2</v>
      </c>
      <c r="C2" s="10">
        <v>0</v>
      </c>
      <c r="D2" s="10">
        <v>1.0638297872340425E-2</v>
      </c>
      <c r="E2" s="10">
        <v>0</v>
      </c>
      <c r="F2" s="10">
        <v>9.6463022508038593E-3</v>
      </c>
      <c r="G2" s="10">
        <v>1.9607843137254902E-2</v>
      </c>
      <c r="H2" s="10">
        <v>9.3896713615023476E-3</v>
      </c>
      <c r="I2" s="10">
        <v>1.2481681114781788E-2</v>
      </c>
      <c r="J2" s="10">
        <v>1.2481681114781788E-2</v>
      </c>
      <c r="K2" s="10">
        <v>0</v>
      </c>
      <c r="L2" s="10">
        <v>1.0638297872340425E-2</v>
      </c>
      <c r="M2" s="10">
        <v>0</v>
      </c>
      <c r="N2" s="10">
        <v>9.6463022508038593E-3</v>
      </c>
      <c r="O2" s="10">
        <v>1.9607843137254902E-2</v>
      </c>
      <c r="P2" s="10">
        <v>9.3896713615023476E-3</v>
      </c>
    </row>
    <row r="3" spans="1:16" x14ac:dyDescent="0.3">
      <c r="A3" s="10" t="s">
        <v>74</v>
      </c>
      <c r="B3" s="10">
        <v>1.4477094148720369E-2</v>
      </c>
      <c r="C3" s="10">
        <v>8.1632653061224497E-3</v>
      </c>
      <c r="D3" s="10">
        <v>1.0638297872340425E-2</v>
      </c>
      <c r="E3" s="10">
        <v>0</v>
      </c>
      <c r="F3" s="10">
        <v>3.2154340836012861E-3</v>
      </c>
      <c r="G3" s="10">
        <v>1.9607843137254902E-2</v>
      </c>
      <c r="H3" s="10">
        <v>4.2253521126760563E-2</v>
      </c>
      <c r="I3" s="10">
        <v>2.6958775263502155E-2</v>
      </c>
      <c r="J3" s="10">
        <f>J2+B3</f>
        <v>2.6958775263502155E-2</v>
      </c>
      <c r="K3" s="10">
        <f t="shared" ref="K3:P7" si="0">K2+C3</f>
        <v>8.1632653061224497E-3</v>
      </c>
      <c r="L3" s="10">
        <f t="shared" si="0"/>
        <v>2.1276595744680851E-2</v>
      </c>
      <c r="M3" s="10">
        <f t="shared" si="0"/>
        <v>0</v>
      </c>
      <c r="N3" s="10">
        <f t="shared" si="0"/>
        <v>1.2861736334405145E-2</v>
      </c>
      <c r="O3" s="10">
        <f t="shared" si="0"/>
        <v>3.9215686274509803E-2</v>
      </c>
      <c r="P3" s="10">
        <f t="shared" si="0"/>
        <v>5.1643192488262907E-2</v>
      </c>
    </row>
    <row r="4" spans="1:16" x14ac:dyDescent="0.3">
      <c r="A4" s="10" t="s">
        <v>75</v>
      </c>
      <c r="B4" s="10">
        <v>3.6844763489737281E-2</v>
      </c>
      <c r="C4" s="10">
        <v>8.1632653061224497E-3</v>
      </c>
      <c r="D4" s="10">
        <v>2.1276595744680851E-2</v>
      </c>
      <c r="E4" s="10">
        <v>0.04</v>
      </c>
      <c r="F4" s="10">
        <v>0</v>
      </c>
      <c r="G4" s="10">
        <v>3.2679738562091505E-2</v>
      </c>
      <c r="H4" s="10">
        <v>1.4084507042253521E-2</v>
      </c>
      <c r="I4" s="10">
        <v>6.3803538753239436E-2</v>
      </c>
      <c r="J4" s="10">
        <f t="shared" ref="J4:J7" si="1">J3+B4</f>
        <v>6.3803538753239436E-2</v>
      </c>
      <c r="K4" s="10">
        <f t="shared" si="0"/>
        <v>1.6326530612244899E-2</v>
      </c>
      <c r="L4" s="10">
        <f t="shared" si="0"/>
        <v>4.2553191489361701E-2</v>
      </c>
      <c r="M4" s="10">
        <f t="shared" si="0"/>
        <v>0.04</v>
      </c>
      <c r="N4" s="10">
        <f t="shared" si="0"/>
        <v>1.2861736334405145E-2</v>
      </c>
      <c r="O4" s="10">
        <f t="shared" si="0"/>
        <v>7.1895424836601302E-2</v>
      </c>
      <c r="P4" s="10">
        <f t="shared" si="0"/>
        <v>6.5727699530516423E-2</v>
      </c>
    </row>
    <row r="5" spans="1:16" x14ac:dyDescent="0.3">
      <c r="A5" s="10" t="s">
        <v>73</v>
      </c>
      <c r="B5" s="10">
        <v>6.0441971567434194E-2</v>
      </c>
      <c r="C5" s="10">
        <v>3.2653061224489799E-2</v>
      </c>
      <c r="D5" s="10">
        <v>3.1914893617021274E-2</v>
      </c>
      <c r="E5" s="10">
        <v>0.04</v>
      </c>
      <c r="F5" s="10">
        <v>1.2861736334405145E-2</v>
      </c>
      <c r="G5" s="10">
        <v>5.2287581699346407E-2</v>
      </c>
      <c r="H5" s="10">
        <v>6.1032863849765258E-2</v>
      </c>
      <c r="I5" s="10">
        <v>0.12424551032067363</v>
      </c>
      <c r="J5" s="10">
        <f t="shared" si="1"/>
        <v>0.12424551032067363</v>
      </c>
      <c r="K5" s="10">
        <f t="shared" si="0"/>
        <v>4.8979591836734698E-2</v>
      </c>
      <c r="L5" s="10">
        <f t="shared" si="0"/>
        <v>7.4468085106382975E-2</v>
      </c>
      <c r="M5" s="10">
        <f t="shared" si="0"/>
        <v>0.08</v>
      </c>
      <c r="N5" s="10">
        <f t="shared" si="0"/>
        <v>2.5723472668810289E-2</v>
      </c>
      <c r="O5" s="10">
        <f t="shared" si="0"/>
        <v>0.12418300653594772</v>
      </c>
      <c r="P5" s="10">
        <f t="shared" si="0"/>
        <v>0.12676056338028169</v>
      </c>
    </row>
    <row r="6" spans="1:16" x14ac:dyDescent="0.3">
      <c r="A6" s="10" t="s">
        <v>72</v>
      </c>
      <c r="B6" s="10">
        <v>0.17264876590741615</v>
      </c>
      <c r="C6" s="10">
        <v>0.10204081632653061</v>
      </c>
      <c r="D6" s="10">
        <v>0.10638297872340426</v>
      </c>
      <c r="E6" s="10">
        <v>0.14000000000000001</v>
      </c>
      <c r="F6" s="10">
        <v>8.0385852090032156E-2</v>
      </c>
      <c r="G6" s="10">
        <v>6.2091503267973858E-2</v>
      </c>
      <c r="H6" s="10">
        <v>0.107981220657277</v>
      </c>
      <c r="I6" s="10">
        <v>0.29689427622808978</v>
      </c>
      <c r="J6" s="10">
        <f t="shared" si="1"/>
        <v>0.29689427622808978</v>
      </c>
      <c r="K6" s="10">
        <f t="shared" si="0"/>
        <v>0.15102040816326531</v>
      </c>
      <c r="L6" s="10">
        <f t="shared" si="0"/>
        <v>0.18085106382978722</v>
      </c>
      <c r="M6" s="10">
        <f t="shared" si="0"/>
        <v>0.22000000000000003</v>
      </c>
      <c r="N6" s="10">
        <f t="shared" si="0"/>
        <v>0.10610932475884244</v>
      </c>
      <c r="O6" s="10">
        <f t="shared" si="0"/>
        <v>0.18627450980392157</v>
      </c>
      <c r="P6" s="10">
        <f t="shared" si="0"/>
        <v>0.23474178403755869</v>
      </c>
    </row>
    <row r="7" spans="1:16" x14ac:dyDescent="0.3">
      <c r="A7" s="10" t="s">
        <v>70</v>
      </c>
      <c r="B7" s="10">
        <v>0.70310572377191016</v>
      </c>
      <c r="C7" s="10">
        <v>0.84897959183673466</v>
      </c>
      <c r="D7" s="10">
        <v>0.81914893617021278</v>
      </c>
      <c r="E7" s="10">
        <v>0.78</v>
      </c>
      <c r="F7" s="10">
        <v>0.89389067524115751</v>
      </c>
      <c r="G7" s="10">
        <v>0.81372549019607843</v>
      </c>
      <c r="H7" s="10">
        <v>0.76525821596244137</v>
      </c>
      <c r="I7" s="10">
        <v>1</v>
      </c>
      <c r="J7" s="10">
        <f t="shared" si="1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154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167</v>
      </c>
      <c r="J9" s="8"/>
      <c r="K9" s="11" t="s">
        <v>168</v>
      </c>
      <c r="L9" s="11" t="s">
        <v>169</v>
      </c>
      <c r="M9" s="11" t="s">
        <v>170</v>
      </c>
      <c r="N9" s="11" t="s">
        <v>171</v>
      </c>
      <c r="O9" s="11" t="s">
        <v>172</v>
      </c>
      <c r="P9" s="11" t="s">
        <v>173</v>
      </c>
    </row>
    <row r="10" spans="1:16" x14ac:dyDescent="0.3">
      <c r="B10" s="10" t="s">
        <v>71</v>
      </c>
      <c r="C10" s="10">
        <f>C2-B2</f>
        <v>-1.2481681114781788E-2</v>
      </c>
      <c r="D10" s="10">
        <f>D2-B2</f>
        <v>-1.8433832424413626E-3</v>
      </c>
      <c r="E10" s="10">
        <f>E2-B2</f>
        <v>-1.2481681114781788E-2</v>
      </c>
      <c r="F10" s="10">
        <f>F2-B2</f>
        <v>-2.8353788639779286E-3</v>
      </c>
      <c r="G10" s="10">
        <f>G2-B2</f>
        <v>7.1261620224731138E-3</v>
      </c>
      <c r="H10" s="10">
        <f>H2-B2</f>
        <v>-3.0920097532794403E-3</v>
      </c>
      <c r="J10" s="10" t="s">
        <v>71</v>
      </c>
      <c r="K10" s="8">
        <f>(J2-0) * ((K2+0))</f>
        <v>0</v>
      </c>
      <c r="L10" s="8">
        <f>(J2-0) * ((L2+0))</f>
        <v>1.3278384164661477E-4</v>
      </c>
      <c r="M10" s="8">
        <f>(J2-0) * ((M2+0))</f>
        <v>0</v>
      </c>
      <c r="N10" s="8">
        <f>(J2-0) * ((N2+0))</f>
        <v>1.2040206863133559E-4</v>
      </c>
      <c r="O10" s="8">
        <f>(J2-0) * ((O2+0))</f>
        <v>2.4473884538787818E-4</v>
      </c>
      <c r="P10" s="8">
        <f>(J2-0) * ((P2+0))</f>
        <v>1.1719888370687126E-4</v>
      </c>
    </row>
    <row r="11" spans="1:16" x14ac:dyDescent="0.3">
      <c r="B11" s="10" t="s">
        <v>74</v>
      </c>
      <c r="C11" s="10">
        <f t="shared" ref="C11:C15" si="2">C3-B3</f>
        <v>-6.313828842597919E-3</v>
      </c>
      <c r="D11" s="10">
        <f t="shared" ref="D11:D15" si="3">D3-B3</f>
        <v>-3.8387962763799435E-3</v>
      </c>
      <c r="E11" s="10">
        <f t="shared" ref="E11:E15" si="4">E3-B3</f>
        <v>-1.4477094148720369E-2</v>
      </c>
      <c r="F11" s="10">
        <f t="shared" ref="F11:F15" si="5">F3-B3</f>
        <v>-1.1261660065119083E-2</v>
      </c>
      <c r="G11" s="10">
        <f t="shared" ref="G11:G15" si="6">G3-B3</f>
        <v>5.130748988534533E-3</v>
      </c>
      <c r="H11" s="10">
        <f t="shared" ref="H11:H15" si="7">H3-B3</f>
        <v>2.7776426978040194E-2</v>
      </c>
      <c r="J11" s="10" t="s">
        <v>74</v>
      </c>
      <c r="K11" s="8">
        <f>(J3-J2) * ((K3+K2))</f>
        <v>1.181803603977173E-4</v>
      </c>
      <c r="L11" s="8">
        <f>(J3-J2) * ((L3+L2))</f>
        <v>4.6203491964001166E-4</v>
      </c>
      <c r="M11" s="8">
        <f>(J3-J2) * ((M3+M2))</f>
        <v>0</v>
      </c>
      <c r="N11" s="8">
        <f>(J3-J2) * ((N3+N2))</f>
        <v>3.2585099370110153E-4</v>
      </c>
      <c r="O11" s="8">
        <f>(J3-J2) * ((O3+O2))</f>
        <v>8.5159377345413927E-4</v>
      </c>
      <c r="P11" s="8">
        <f>(J3-J2) * ((P3+P2))</f>
        <v>8.8357851611908333E-4</v>
      </c>
    </row>
    <row r="12" spans="1:16" x14ac:dyDescent="0.3">
      <c r="B12" s="10" t="s">
        <v>75</v>
      </c>
      <c r="C12" s="10">
        <f t="shared" si="2"/>
        <v>-2.8681498183614831E-2</v>
      </c>
      <c r="D12" s="10">
        <f t="shared" si="3"/>
        <v>-1.5568167745056431E-2</v>
      </c>
      <c r="E12" s="10">
        <f t="shared" si="4"/>
        <v>3.1552365102627197E-3</v>
      </c>
      <c r="F12" s="10">
        <f t="shared" si="5"/>
        <v>-3.6844763489737281E-2</v>
      </c>
      <c r="G12" s="10">
        <f t="shared" si="6"/>
        <v>-4.165024927645776E-3</v>
      </c>
      <c r="H12" s="10">
        <f t="shared" si="7"/>
        <v>-2.2760256447483758E-2</v>
      </c>
      <c r="J12" s="10" t="s">
        <v>75</v>
      </c>
      <c r="K12" s="8">
        <f t="shared" ref="K12:K15" si="8">(J4-J3) * ((K4+K3))</f>
        <v>9.0232073852417841E-4</v>
      </c>
      <c r="L12" s="8">
        <f t="shared" ref="L12:L15" si="9">(J4-J3) * ((L4+L3))</f>
        <v>2.3517934142385497E-3</v>
      </c>
      <c r="M12" s="8">
        <f t="shared" ref="M12:M15" si="10">(J4-J3) * ((M4+M3))</f>
        <v>1.4737905395894914E-3</v>
      </c>
      <c r="N12" s="8">
        <f t="shared" ref="N12:N15" si="11">(J4-J3) * ((N4+N3))</f>
        <v>9.4777526661703616E-4</v>
      </c>
      <c r="O12" s="8">
        <f t="shared" ref="O12:O15" si="12">(J4-J3) * ((O4+O3))</f>
        <v>4.0938626099708084E-3</v>
      </c>
      <c r="P12" s="8">
        <f t="shared" ref="P12:P15" si="13">(J4-J3) * ((P4+P3))</f>
        <v>4.3245027570114171E-3</v>
      </c>
    </row>
    <row r="13" spans="1:16" x14ac:dyDescent="0.3">
      <c r="B13" s="10" t="s">
        <v>73</v>
      </c>
      <c r="C13" s="10">
        <f t="shared" si="2"/>
        <v>-2.7788910342944395E-2</v>
      </c>
      <c r="D13" s="10">
        <f t="shared" si="3"/>
        <v>-2.852707795041292E-2</v>
      </c>
      <c r="E13" s="10">
        <f t="shared" si="4"/>
        <v>-2.0441971567434193E-2</v>
      </c>
      <c r="F13" s="10">
        <f t="shared" si="5"/>
        <v>-4.7580235233029053E-2</v>
      </c>
      <c r="G13" s="10">
        <f t="shared" si="6"/>
        <v>-8.1543898680877872E-3</v>
      </c>
      <c r="H13" s="10">
        <f t="shared" si="7"/>
        <v>5.9089228233106389E-4</v>
      </c>
      <c r="J13" s="10" t="s">
        <v>73</v>
      </c>
      <c r="K13" s="8">
        <f t="shared" si="8"/>
        <v>3.9472307962406007E-3</v>
      </c>
      <c r="L13" s="8">
        <f t="shared" si="9"/>
        <v>7.0729966727848528E-3</v>
      </c>
      <c r="M13" s="8">
        <f t="shared" si="10"/>
        <v>7.2530365880921028E-3</v>
      </c>
      <c r="N13" s="8">
        <f t="shared" si="11"/>
        <v>2.3321661054958535E-3</v>
      </c>
      <c r="O13" s="8">
        <f t="shared" si="12"/>
        <v>1.1851366974006704E-2</v>
      </c>
      <c r="P13" s="8">
        <f t="shared" si="13"/>
        <v>1.1634370113919257E-2</v>
      </c>
    </row>
    <row r="14" spans="1:16" x14ac:dyDescent="0.3">
      <c r="B14" s="10" t="s">
        <v>72</v>
      </c>
      <c r="C14" s="10">
        <f t="shared" si="2"/>
        <v>-7.0607949580885537E-2</v>
      </c>
      <c r="D14" s="10">
        <f t="shared" si="3"/>
        <v>-6.6265787184011896E-2</v>
      </c>
      <c r="E14" s="10">
        <f t="shared" si="4"/>
        <v>-3.2648765907416138E-2</v>
      </c>
      <c r="F14" s="10">
        <f t="shared" si="5"/>
        <v>-9.2262913817383996E-2</v>
      </c>
      <c r="G14" s="10">
        <f t="shared" si="6"/>
        <v>-0.11055726263944229</v>
      </c>
      <c r="H14" s="10">
        <f t="shared" si="7"/>
        <v>-6.4667545250139152E-2</v>
      </c>
      <c r="J14" s="10" t="s">
        <v>72</v>
      </c>
      <c r="K14" s="8">
        <f t="shared" si="8"/>
        <v>3.4529753181483235E-2</v>
      </c>
      <c r="L14" s="8">
        <f t="shared" si="9"/>
        <v>4.4080535976361565E-2</v>
      </c>
      <c r="M14" s="8">
        <f t="shared" si="10"/>
        <v>5.1794629772224855E-2</v>
      </c>
      <c r="N14" s="8">
        <f t="shared" si="11"/>
        <v>2.276076978200663E-2</v>
      </c>
      <c r="O14" s="8">
        <f t="shared" si="12"/>
        <v>5.3600107062759916E-2</v>
      </c>
      <c r="P14" s="8">
        <f t="shared" si="13"/>
        <v>6.2412934154324147E-2</v>
      </c>
    </row>
    <row r="15" spans="1:16" x14ac:dyDescent="0.3">
      <c r="B15" s="10" t="s">
        <v>70</v>
      </c>
      <c r="C15" s="10">
        <f t="shared" si="2"/>
        <v>0.1458738680648245</v>
      </c>
      <c r="D15" s="10">
        <f t="shared" si="3"/>
        <v>0.11604321239830262</v>
      </c>
      <c r="E15" s="10">
        <f t="shared" si="4"/>
        <v>7.6894276228089864E-2</v>
      </c>
      <c r="F15" s="10">
        <f t="shared" si="5"/>
        <v>0.19078495146924734</v>
      </c>
      <c r="G15" s="10">
        <f t="shared" si="6"/>
        <v>0.11061976642416826</v>
      </c>
      <c r="H15" s="10">
        <f t="shared" si="7"/>
        <v>6.2152492190531206E-2</v>
      </c>
      <c r="J15" s="10" t="s">
        <v>70</v>
      </c>
      <c r="K15" s="8">
        <f t="shared" si="8"/>
        <v>0.80928903715787226</v>
      </c>
      <c r="L15" s="8">
        <f t="shared" si="9"/>
        <v>0.8302631419008728</v>
      </c>
      <c r="M15" s="8">
        <f t="shared" si="10"/>
        <v>0.85778898300173057</v>
      </c>
      <c r="N15" s="8">
        <f t="shared" si="11"/>
        <v>0.77771179735542495</v>
      </c>
      <c r="O15" s="8">
        <f t="shared" si="12"/>
        <v>0.83407639780785436</v>
      </c>
      <c r="P15" s="8">
        <f t="shared" si="13"/>
        <v>0.86815401573714746</v>
      </c>
    </row>
    <row r="16" spans="1:16" x14ac:dyDescent="0.3">
      <c r="J16" s="12" t="s">
        <v>174</v>
      </c>
      <c r="K16" s="11">
        <f t="shared" ref="K16:P16" si="14">SUM(K10:K15)</f>
        <v>0.848786522234518</v>
      </c>
      <c r="L16" s="11">
        <f t="shared" si="14"/>
        <v>0.88436328672554443</v>
      </c>
      <c r="M16" s="11">
        <f t="shared" si="14"/>
        <v>0.91831043990163697</v>
      </c>
      <c r="N16" s="11">
        <f t="shared" si="14"/>
        <v>0.80419876157187686</v>
      </c>
      <c r="O16" s="11">
        <f t="shared" si="14"/>
        <v>0.90471806707343383</v>
      </c>
      <c r="P16" s="11">
        <f t="shared" si="14"/>
        <v>0.94752660016222823</v>
      </c>
    </row>
    <row r="17" spans="10:16" x14ac:dyDescent="0.3">
      <c r="J17" s="13" t="s">
        <v>175</v>
      </c>
      <c r="K17" s="14">
        <f>1-K16</f>
        <v>0.151213477765482</v>
      </c>
      <c r="L17" s="14">
        <f t="shared" ref="L17:P17" si="15">1-L16</f>
        <v>0.11563671327445557</v>
      </c>
      <c r="M17" s="14">
        <f t="shared" si="15"/>
        <v>8.1689560098363034E-2</v>
      </c>
      <c r="N17" s="14">
        <f t="shared" si="15"/>
        <v>0.19580123842812314</v>
      </c>
      <c r="O17" s="14">
        <f t="shared" si="15"/>
        <v>9.5281932926566171E-2</v>
      </c>
      <c r="P17" s="14">
        <f t="shared" si="15"/>
        <v>5.2473399837771773E-2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94A7-A479-4808-9940-DD0818B6178B}">
  <dimension ref="A1:P69"/>
  <sheetViews>
    <sheetView zoomScale="87" workbookViewId="0">
      <selection activeCell="J2" sqref="J2:P2"/>
    </sheetView>
  </sheetViews>
  <sheetFormatPr defaultRowHeight="14.4" x14ac:dyDescent="0.3"/>
  <cols>
    <col min="11" max="16" width="12" bestFit="1" customWidth="1"/>
  </cols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103</v>
      </c>
      <c r="B2" s="10">
        <v>2.5474740236474383E-3</v>
      </c>
      <c r="C2" s="10">
        <v>6.2305295950155761E-3</v>
      </c>
      <c r="D2" s="10">
        <v>8.4745762711864406E-3</v>
      </c>
      <c r="E2" s="10">
        <v>0</v>
      </c>
      <c r="F2" s="10">
        <v>5.6022408963585435E-3</v>
      </c>
      <c r="G2" s="10">
        <v>1.976284584980237E-3</v>
      </c>
      <c r="H2" s="10">
        <v>1.3114754098360656E-2</v>
      </c>
      <c r="I2" s="10">
        <v>2.5474740236474383E-3</v>
      </c>
      <c r="J2" s="10">
        <v>2.5474740236474383E-3</v>
      </c>
      <c r="K2" s="10">
        <v>6.2305295950155761E-3</v>
      </c>
      <c r="L2" s="10">
        <v>8.4745762711864406E-3</v>
      </c>
      <c r="M2" s="10">
        <v>0</v>
      </c>
      <c r="N2" s="10">
        <v>5.6022408963585435E-3</v>
      </c>
      <c r="O2" s="10">
        <v>1.976284584980237E-3</v>
      </c>
      <c r="P2" s="10">
        <v>1.3114754098360656E-2</v>
      </c>
    </row>
    <row r="3" spans="1:16" x14ac:dyDescent="0.3">
      <c r="A3" s="10" t="s">
        <v>100</v>
      </c>
      <c r="B3" s="10">
        <v>4.9140093156574702E-3</v>
      </c>
      <c r="C3" s="10">
        <v>2.8037383177570093E-2</v>
      </c>
      <c r="D3" s="10">
        <v>1.6949152542372881E-2</v>
      </c>
      <c r="E3" s="10">
        <v>0</v>
      </c>
      <c r="F3" s="10">
        <v>1.9607843137254902E-2</v>
      </c>
      <c r="G3" s="10">
        <v>1.383399209486166E-2</v>
      </c>
      <c r="H3" s="10">
        <v>6.5573770491803279E-3</v>
      </c>
      <c r="I3" s="10">
        <v>7.4614833393049085E-3</v>
      </c>
      <c r="J3" s="10">
        <f>J2+B3</f>
        <v>7.4614833393049085E-3</v>
      </c>
      <c r="K3" s="10">
        <f t="shared" ref="K3:P7" si="0">K2+C3</f>
        <v>3.4267912772585667E-2</v>
      </c>
      <c r="L3" s="10">
        <f t="shared" si="0"/>
        <v>2.5423728813559324E-2</v>
      </c>
      <c r="M3" s="10">
        <f t="shared" si="0"/>
        <v>0</v>
      </c>
      <c r="N3" s="10">
        <f t="shared" si="0"/>
        <v>2.5210084033613446E-2</v>
      </c>
      <c r="O3" s="10">
        <f t="shared" si="0"/>
        <v>1.5810276679841896E-2</v>
      </c>
      <c r="P3" s="10">
        <f t="shared" si="0"/>
        <v>1.9672131147540982E-2</v>
      </c>
    </row>
    <row r="4" spans="1:16" x14ac:dyDescent="0.3">
      <c r="A4" s="10" t="s">
        <v>86</v>
      </c>
      <c r="B4" s="10">
        <v>6.601576495879613E-3</v>
      </c>
      <c r="C4" s="10">
        <v>1.2461059190031152E-2</v>
      </c>
      <c r="D4" s="10">
        <v>1.6949152542372881E-2</v>
      </c>
      <c r="E4" s="10">
        <v>0</v>
      </c>
      <c r="F4" s="10">
        <v>2.8011204481792717E-3</v>
      </c>
      <c r="G4" s="10">
        <v>9.881422924901186E-3</v>
      </c>
      <c r="H4" s="10">
        <v>6.5573770491803279E-3</v>
      </c>
      <c r="I4" s="10">
        <v>1.4063059835184522E-2</v>
      </c>
      <c r="J4" s="10">
        <f t="shared" ref="J4:J7" si="1">J3+B4</f>
        <v>1.4063059835184522E-2</v>
      </c>
      <c r="K4" s="10">
        <f t="shared" si="0"/>
        <v>4.6728971962616821E-2</v>
      </c>
      <c r="L4" s="10">
        <f t="shared" si="0"/>
        <v>4.2372881355932202E-2</v>
      </c>
      <c r="M4" s="10">
        <f t="shared" si="0"/>
        <v>0</v>
      </c>
      <c r="N4" s="10">
        <f t="shared" si="0"/>
        <v>2.8011204481792718E-2</v>
      </c>
      <c r="O4" s="10">
        <f t="shared" si="0"/>
        <v>2.569169960474308E-2</v>
      </c>
      <c r="P4" s="10">
        <f t="shared" si="0"/>
        <v>2.6229508196721311E-2</v>
      </c>
    </row>
    <row r="5" spans="1:16" x14ac:dyDescent="0.3">
      <c r="A5" s="10" t="s">
        <v>105</v>
      </c>
      <c r="B5" s="10">
        <v>7.3754926549623795E-3</v>
      </c>
      <c r="C5" s="10">
        <v>1.5576323987538941E-2</v>
      </c>
      <c r="D5" s="10">
        <v>1.6949152542372881E-2</v>
      </c>
      <c r="E5" s="10">
        <v>0</v>
      </c>
      <c r="F5" s="10">
        <v>8.4033613445378148E-3</v>
      </c>
      <c r="G5" s="10">
        <v>9.881422924901186E-3</v>
      </c>
      <c r="H5" s="10">
        <v>0</v>
      </c>
      <c r="I5" s="10">
        <v>2.1438552490146902E-2</v>
      </c>
      <c r="J5" s="10">
        <f t="shared" si="1"/>
        <v>2.1438552490146902E-2</v>
      </c>
      <c r="K5" s="10">
        <f t="shared" si="0"/>
        <v>6.2305295950155763E-2</v>
      </c>
      <c r="L5" s="10">
        <f t="shared" si="0"/>
        <v>5.9322033898305079E-2</v>
      </c>
      <c r="M5" s="10">
        <f t="shared" si="0"/>
        <v>0</v>
      </c>
      <c r="N5" s="10">
        <f t="shared" si="0"/>
        <v>3.6414565826330535E-2</v>
      </c>
      <c r="O5" s="10">
        <f t="shared" si="0"/>
        <v>3.5573122529644265E-2</v>
      </c>
      <c r="P5" s="10">
        <f t="shared" si="0"/>
        <v>2.6229508196721311E-2</v>
      </c>
    </row>
    <row r="6" spans="1:16" x14ac:dyDescent="0.3">
      <c r="A6" s="10" t="s">
        <v>97</v>
      </c>
      <c r="B6" s="10">
        <v>8.4682909351486927E-3</v>
      </c>
      <c r="C6" s="10">
        <v>6.2305295950155761E-3</v>
      </c>
      <c r="D6" s="10">
        <v>8.4745762711864406E-3</v>
      </c>
      <c r="E6" s="10">
        <v>0</v>
      </c>
      <c r="F6" s="10">
        <v>5.6022408963585435E-3</v>
      </c>
      <c r="G6" s="10">
        <v>1.1857707509881422E-2</v>
      </c>
      <c r="H6" s="10">
        <v>6.5573770491803279E-3</v>
      </c>
      <c r="I6" s="10">
        <v>2.9906843425295593E-2</v>
      </c>
      <c r="J6" s="10">
        <f t="shared" si="1"/>
        <v>2.9906843425295593E-2</v>
      </c>
      <c r="K6" s="10">
        <f t="shared" si="0"/>
        <v>6.8535825545171333E-2</v>
      </c>
      <c r="L6" s="10">
        <f t="shared" si="0"/>
        <v>6.7796610169491525E-2</v>
      </c>
      <c r="M6" s="10">
        <f t="shared" si="0"/>
        <v>0</v>
      </c>
      <c r="N6" s="10">
        <f t="shared" si="0"/>
        <v>4.2016806722689079E-2</v>
      </c>
      <c r="O6" s="10">
        <f t="shared" si="0"/>
        <v>4.7430830039525688E-2</v>
      </c>
      <c r="P6" s="10">
        <f t="shared" si="0"/>
        <v>3.2786885245901641E-2</v>
      </c>
    </row>
    <row r="7" spans="1:16" x14ac:dyDescent="0.3">
      <c r="A7" s="10" t="s">
        <v>87</v>
      </c>
      <c r="B7" s="10">
        <v>8.4700824077391622E-3</v>
      </c>
      <c r="C7" s="10">
        <v>9.3457943925233638E-3</v>
      </c>
      <c r="D7" s="10">
        <v>8.4745762711864406E-3</v>
      </c>
      <c r="E7" s="10">
        <v>1.1235955056179775E-2</v>
      </c>
      <c r="F7" s="10">
        <v>5.6022408963585435E-3</v>
      </c>
      <c r="G7" s="10">
        <v>9.881422924901186E-3</v>
      </c>
      <c r="H7" s="10">
        <v>3.2786885245901639E-3</v>
      </c>
      <c r="I7" s="10">
        <v>3.8376925833034758E-2</v>
      </c>
      <c r="J7" s="10">
        <f t="shared" si="1"/>
        <v>3.8376925833034758E-2</v>
      </c>
      <c r="K7" s="10">
        <f t="shared" si="0"/>
        <v>7.7881619937694699E-2</v>
      </c>
      <c r="L7" s="10">
        <f t="shared" si="0"/>
        <v>7.6271186440677971E-2</v>
      </c>
      <c r="M7" s="10">
        <f t="shared" si="0"/>
        <v>1.1235955056179775E-2</v>
      </c>
      <c r="N7" s="10">
        <f t="shared" si="0"/>
        <v>4.7619047619047623E-2</v>
      </c>
      <c r="O7" s="10">
        <f t="shared" si="0"/>
        <v>5.7312252964426873E-2</v>
      </c>
      <c r="P7" s="10">
        <f t="shared" si="0"/>
        <v>3.6065573770491806E-2</v>
      </c>
    </row>
    <row r="8" spans="1:16" x14ac:dyDescent="0.3">
      <c r="A8" s="10" t="s">
        <v>107</v>
      </c>
      <c r="B8" s="10">
        <v>9.1347187388032963E-3</v>
      </c>
      <c r="C8" s="10">
        <v>3.1152647975077881E-3</v>
      </c>
      <c r="D8" s="10">
        <v>0</v>
      </c>
      <c r="E8" s="10">
        <v>2.247191011235955E-2</v>
      </c>
      <c r="F8" s="10">
        <v>5.0420168067226892E-2</v>
      </c>
      <c r="G8" s="10">
        <v>1.383399209486166E-2</v>
      </c>
      <c r="H8" s="10">
        <v>1.6393442622950821E-2</v>
      </c>
      <c r="I8" s="10">
        <v>4.7511644571838055E-2</v>
      </c>
      <c r="J8" s="10">
        <f t="shared" ref="J8:J33" si="2">J7+B8</f>
        <v>4.7511644571838055E-2</v>
      </c>
      <c r="K8" s="10">
        <f t="shared" ref="K8:K33" si="3">K7+C8</f>
        <v>8.0996884735202487E-2</v>
      </c>
      <c r="L8" s="10">
        <f t="shared" ref="L8:L33" si="4">L7+D8</f>
        <v>7.6271186440677971E-2</v>
      </c>
      <c r="M8" s="10">
        <f t="shared" ref="M8:M33" si="5">M7+E8</f>
        <v>3.3707865168539325E-2</v>
      </c>
      <c r="N8" s="10">
        <f t="shared" ref="N8:N33" si="6">N7+F8</f>
        <v>9.8039215686274522E-2</v>
      </c>
      <c r="O8" s="10">
        <f t="shared" ref="O8:O33" si="7">O7+G8</f>
        <v>7.1146245059288529E-2</v>
      </c>
      <c r="P8" s="10">
        <f t="shared" ref="P8:P33" si="8">P7+H8</f>
        <v>5.2459016393442623E-2</v>
      </c>
    </row>
    <row r="9" spans="1:16" x14ac:dyDescent="0.3">
      <c r="A9" s="10" t="s">
        <v>102</v>
      </c>
      <c r="B9" s="10">
        <v>9.6112504478681471E-3</v>
      </c>
      <c r="C9" s="10">
        <v>6.2305295950155761E-3</v>
      </c>
      <c r="D9" s="10">
        <v>8.4745762711864406E-3</v>
      </c>
      <c r="E9" s="10">
        <v>0</v>
      </c>
      <c r="F9" s="10">
        <v>2.2408963585434174E-2</v>
      </c>
      <c r="G9" s="10">
        <v>1.9762845849802372E-2</v>
      </c>
      <c r="H9" s="10">
        <v>6.5573770491803279E-3</v>
      </c>
      <c r="I9" s="10">
        <v>5.7122895019706202E-2</v>
      </c>
      <c r="J9" s="10">
        <f t="shared" si="2"/>
        <v>5.7122895019706202E-2</v>
      </c>
      <c r="K9" s="10">
        <f t="shared" si="3"/>
        <v>8.7227414330218064E-2</v>
      </c>
      <c r="L9" s="10">
        <f t="shared" si="4"/>
        <v>8.4745762711864417E-2</v>
      </c>
      <c r="M9" s="10">
        <f t="shared" si="5"/>
        <v>3.3707865168539325E-2</v>
      </c>
      <c r="N9" s="10">
        <f t="shared" si="6"/>
        <v>0.1204481792717087</v>
      </c>
      <c r="O9" s="10">
        <f t="shared" si="7"/>
        <v>9.0909090909090898E-2</v>
      </c>
      <c r="P9" s="10">
        <f t="shared" si="8"/>
        <v>5.9016393442622953E-2</v>
      </c>
    </row>
    <row r="10" spans="1:16" x14ac:dyDescent="0.3">
      <c r="A10" s="10" t="s">
        <v>101</v>
      </c>
      <c r="B10" s="10">
        <v>1.002866356144751E-2</v>
      </c>
      <c r="C10" s="10">
        <v>2.1806853582554516E-2</v>
      </c>
      <c r="D10" s="10">
        <v>0</v>
      </c>
      <c r="E10" s="10">
        <v>1.1235955056179775E-2</v>
      </c>
      <c r="F10" s="10">
        <v>1.1204481792717087E-2</v>
      </c>
      <c r="G10" s="10">
        <v>3.952569169960474E-3</v>
      </c>
      <c r="H10" s="10">
        <v>6.5573770491803279E-3</v>
      </c>
      <c r="I10" s="10">
        <v>6.7151558581153709E-2</v>
      </c>
      <c r="J10" s="10">
        <f t="shared" si="2"/>
        <v>6.7151558581153709E-2</v>
      </c>
      <c r="K10" s="10">
        <f t="shared" si="3"/>
        <v>0.10903426791277258</v>
      </c>
      <c r="L10" s="10">
        <f t="shared" si="4"/>
        <v>8.4745762711864417E-2</v>
      </c>
      <c r="M10" s="10">
        <f t="shared" si="5"/>
        <v>4.49438202247191E-2</v>
      </c>
      <c r="N10" s="10">
        <f t="shared" si="6"/>
        <v>0.13165266106442577</v>
      </c>
      <c r="O10" s="10">
        <f t="shared" si="7"/>
        <v>9.4861660079051377E-2</v>
      </c>
      <c r="P10" s="10">
        <f t="shared" si="8"/>
        <v>6.5573770491803282E-2</v>
      </c>
    </row>
    <row r="11" spans="1:16" x14ac:dyDescent="0.3">
      <c r="A11" s="10" t="s">
        <v>96</v>
      </c>
      <c r="B11" s="10">
        <v>1.0677176639197421E-2</v>
      </c>
      <c r="C11" s="10">
        <v>0</v>
      </c>
      <c r="D11" s="10">
        <v>3.3898305084745763E-2</v>
      </c>
      <c r="E11" s="10">
        <v>0</v>
      </c>
      <c r="F11" s="10">
        <v>2.8011204481792717E-3</v>
      </c>
      <c r="G11" s="10">
        <v>1.976284584980237E-3</v>
      </c>
      <c r="H11" s="10">
        <v>0</v>
      </c>
      <c r="I11" s="10">
        <v>7.7828735220351136E-2</v>
      </c>
      <c r="J11" s="10">
        <f t="shared" si="2"/>
        <v>7.7828735220351136E-2</v>
      </c>
      <c r="K11" s="10">
        <f t="shared" si="3"/>
        <v>0.10903426791277258</v>
      </c>
      <c r="L11" s="10">
        <f t="shared" si="4"/>
        <v>0.11864406779661019</v>
      </c>
      <c r="M11" s="10">
        <f t="shared" si="5"/>
        <v>4.49438202247191E-2</v>
      </c>
      <c r="N11" s="10">
        <f t="shared" si="6"/>
        <v>0.13445378151260504</v>
      </c>
      <c r="O11" s="10">
        <f t="shared" si="7"/>
        <v>9.6837944664031617E-2</v>
      </c>
      <c r="P11" s="10">
        <f t="shared" si="8"/>
        <v>6.5573770491803282E-2</v>
      </c>
    </row>
    <row r="12" spans="1:16" x14ac:dyDescent="0.3">
      <c r="A12" s="10" t="s">
        <v>104</v>
      </c>
      <c r="B12" s="10">
        <v>1.1211035471157291E-2</v>
      </c>
      <c r="C12" s="10">
        <v>6.2305295950155761E-3</v>
      </c>
      <c r="D12" s="10">
        <v>0</v>
      </c>
      <c r="E12" s="10">
        <v>0</v>
      </c>
      <c r="F12" s="10">
        <v>5.6022408963585435E-3</v>
      </c>
      <c r="G12" s="10">
        <v>1.7786561264822136E-2</v>
      </c>
      <c r="H12" s="10">
        <v>1.6393442622950821E-2</v>
      </c>
      <c r="I12" s="10">
        <v>8.9039770691508424E-2</v>
      </c>
      <c r="J12" s="10">
        <f t="shared" si="2"/>
        <v>8.9039770691508424E-2</v>
      </c>
      <c r="K12" s="10">
        <f t="shared" si="3"/>
        <v>0.11526479750778816</v>
      </c>
      <c r="L12" s="10">
        <f t="shared" si="4"/>
        <v>0.11864406779661019</v>
      </c>
      <c r="M12" s="10">
        <f t="shared" si="5"/>
        <v>4.49438202247191E-2</v>
      </c>
      <c r="N12" s="10">
        <f t="shared" si="6"/>
        <v>0.14005602240896359</v>
      </c>
      <c r="O12" s="10">
        <f t="shared" si="7"/>
        <v>0.11462450592885376</v>
      </c>
      <c r="P12" s="10">
        <f t="shared" si="8"/>
        <v>8.1967213114754106E-2</v>
      </c>
    </row>
    <row r="13" spans="1:16" x14ac:dyDescent="0.3">
      <c r="A13" s="10" t="s">
        <v>106</v>
      </c>
      <c r="B13" s="10">
        <v>1.1350770333213902E-2</v>
      </c>
      <c r="C13" s="10">
        <v>9.3457943925233638E-3</v>
      </c>
      <c r="D13" s="10">
        <v>0</v>
      </c>
      <c r="E13" s="10">
        <v>0</v>
      </c>
      <c r="F13" s="10">
        <v>5.6022408963585435E-3</v>
      </c>
      <c r="G13" s="10">
        <v>3.952569169960474E-3</v>
      </c>
      <c r="H13" s="10">
        <v>0</v>
      </c>
      <c r="I13" s="10">
        <v>0.10039054102472232</v>
      </c>
      <c r="J13" s="10">
        <f t="shared" si="2"/>
        <v>0.10039054102472232</v>
      </c>
      <c r="K13" s="10">
        <f t="shared" si="3"/>
        <v>0.12461059190031153</v>
      </c>
      <c r="L13" s="10">
        <f t="shared" si="4"/>
        <v>0.11864406779661019</v>
      </c>
      <c r="M13" s="10">
        <f t="shared" si="5"/>
        <v>4.49438202247191E-2</v>
      </c>
      <c r="N13" s="10">
        <f t="shared" si="6"/>
        <v>0.14565826330532214</v>
      </c>
      <c r="O13" s="10">
        <f t="shared" si="7"/>
        <v>0.11857707509881424</v>
      </c>
      <c r="P13" s="10">
        <f t="shared" si="8"/>
        <v>8.1967213114754106E-2</v>
      </c>
    </row>
    <row r="14" spans="1:16" x14ac:dyDescent="0.3">
      <c r="A14" s="10" t="s">
        <v>90</v>
      </c>
      <c r="B14" s="10">
        <v>1.186492296667861E-2</v>
      </c>
      <c r="C14" s="10">
        <v>3.4267912772585667E-2</v>
      </c>
      <c r="D14" s="10">
        <v>8.4745762711864406E-3</v>
      </c>
      <c r="E14" s="10">
        <v>1.1235955056179775E-2</v>
      </c>
      <c r="F14" s="10">
        <v>1.680672268907563E-2</v>
      </c>
      <c r="G14" s="10">
        <v>5.9288537549407111E-3</v>
      </c>
      <c r="H14" s="10">
        <v>1.3114754098360656E-2</v>
      </c>
      <c r="I14" s="10">
        <v>0.11225546399140093</v>
      </c>
      <c r="J14" s="10">
        <f t="shared" si="2"/>
        <v>0.11225546399140093</v>
      </c>
      <c r="K14" s="10">
        <f t="shared" si="3"/>
        <v>0.15887850467289719</v>
      </c>
      <c r="L14" s="10">
        <f t="shared" si="4"/>
        <v>0.12711864406779663</v>
      </c>
      <c r="M14" s="10">
        <f t="shared" si="5"/>
        <v>5.6179775280898875E-2</v>
      </c>
      <c r="N14" s="10">
        <f t="shared" si="6"/>
        <v>0.16246498599439776</v>
      </c>
      <c r="O14" s="10">
        <f t="shared" si="7"/>
        <v>0.12450592885375494</v>
      </c>
      <c r="P14" s="10">
        <f t="shared" si="8"/>
        <v>9.5081967213114765E-2</v>
      </c>
    </row>
    <row r="15" spans="1:16" x14ac:dyDescent="0.3">
      <c r="A15" s="10" t="s">
        <v>83</v>
      </c>
      <c r="B15" s="10">
        <v>1.2228591902543891E-2</v>
      </c>
      <c r="C15" s="10">
        <v>1.2461059190031152E-2</v>
      </c>
      <c r="D15" s="10">
        <v>1.6949152542372881E-2</v>
      </c>
      <c r="E15" s="10">
        <v>1.1235955056179775E-2</v>
      </c>
      <c r="F15" s="10">
        <v>1.1204481792717087E-2</v>
      </c>
      <c r="G15" s="10">
        <v>1.7786561264822136E-2</v>
      </c>
      <c r="H15" s="10">
        <v>1.6393442622950821E-2</v>
      </c>
      <c r="I15" s="10">
        <v>0.12448405589394482</v>
      </c>
      <c r="J15" s="10">
        <f t="shared" si="2"/>
        <v>0.12448405589394482</v>
      </c>
      <c r="K15" s="10">
        <f t="shared" si="3"/>
        <v>0.17133956386292834</v>
      </c>
      <c r="L15" s="10">
        <f t="shared" si="4"/>
        <v>0.14406779661016952</v>
      </c>
      <c r="M15" s="10">
        <f t="shared" si="5"/>
        <v>6.741573033707865E-2</v>
      </c>
      <c r="N15" s="10">
        <f t="shared" si="6"/>
        <v>0.17366946778711484</v>
      </c>
      <c r="O15" s="10">
        <f t="shared" si="7"/>
        <v>0.14229249011857709</v>
      </c>
      <c r="P15" s="10">
        <f t="shared" si="8"/>
        <v>0.11147540983606559</v>
      </c>
    </row>
    <row r="16" spans="1:16" x14ac:dyDescent="0.3">
      <c r="A16" s="10" t="s">
        <v>91</v>
      </c>
      <c r="B16" s="10">
        <v>1.3233608025797206E-2</v>
      </c>
      <c r="C16" s="10">
        <v>9.3457943925233638E-3</v>
      </c>
      <c r="D16" s="10">
        <v>8.4745762711864406E-3</v>
      </c>
      <c r="E16" s="10">
        <v>4.49438202247191E-2</v>
      </c>
      <c r="F16" s="10">
        <v>8.4033613445378148E-3</v>
      </c>
      <c r="G16" s="10">
        <v>3.7549407114624504E-2</v>
      </c>
      <c r="H16" s="10">
        <v>4.9180327868852458E-2</v>
      </c>
      <c r="I16" s="10">
        <v>0.13771766391974202</v>
      </c>
      <c r="J16" s="10">
        <f t="shared" si="2"/>
        <v>0.13771766391974202</v>
      </c>
      <c r="K16" s="10">
        <f t="shared" si="3"/>
        <v>0.18068535825545171</v>
      </c>
      <c r="L16" s="10">
        <f t="shared" si="4"/>
        <v>0.15254237288135597</v>
      </c>
      <c r="M16" s="10">
        <f t="shared" si="5"/>
        <v>0.11235955056179775</v>
      </c>
      <c r="N16" s="10">
        <f t="shared" si="6"/>
        <v>0.18207282913165265</v>
      </c>
      <c r="O16" s="10">
        <f t="shared" si="7"/>
        <v>0.1798418972332016</v>
      </c>
      <c r="P16" s="10">
        <f t="shared" si="8"/>
        <v>0.16065573770491803</v>
      </c>
    </row>
    <row r="17" spans="1:16" x14ac:dyDescent="0.3">
      <c r="A17" s="10" t="s">
        <v>93</v>
      </c>
      <c r="B17" s="10">
        <v>1.7871730562522392E-2</v>
      </c>
      <c r="C17" s="10">
        <v>1.8691588785046728E-2</v>
      </c>
      <c r="D17" s="10">
        <v>8.4745762711864406E-3</v>
      </c>
      <c r="E17" s="10">
        <v>1.1235955056179775E-2</v>
      </c>
      <c r="F17" s="10">
        <v>8.4033613445378148E-3</v>
      </c>
      <c r="G17" s="10">
        <v>9.881422924901186E-3</v>
      </c>
      <c r="H17" s="10">
        <v>0</v>
      </c>
      <c r="I17" s="10">
        <v>0.15558939448226441</v>
      </c>
      <c r="J17" s="10">
        <f t="shared" si="2"/>
        <v>0.15558939448226441</v>
      </c>
      <c r="K17" s="10">
        <f t="shared" si="3"/>
        <v>0.19937694704049844</v>
      </c>
      <c r="L17" s="10">
        <f t="shared" si="4"/>
        <v>0.16101694915254242</v>
      </c>
      <c r="M17" s="10">
        <f t="shared" si="5"/>
        <v>0.12359550561797752</v>
      </c>
      <c r="N17" s="10">
        <f t="shared" si="6"/>
        <v>0.19047619047619047</v>
      </c>
      <c r="O17" s="10">
        <f t="shared" si="7"/>
        <v>0.18972332015810278</v>
      </c>
      <c r="P17" s="10">
        <f t="shared" si="8"/>
        <v>0.16065573770491803</v>
      </c>
    </row>
    <row r="18" spans="1:16" x14ac:dyDescent="0.3">
      <c r="A18" s="10" t="s">
        <v>92</v>
      </c>
      <c r="B18" s="10">
        <v>1.8194195628806878E-2</v>
      </c>
      <c r="C18" s="10">
        <v>1.5576323987538941E-2</v>
      </c>
      <c r="D18" s="10">
        <v>8.4745762711864406E-3</v>
      </c>
      <c r="E18" s="10">
        <v>2.247191011235955E-2</v>
      </c>
      <c r="F18" s="10">
        <v>1.4005602240896359E-2</v>
      </c>
      <c r="G18" s="10">
        <v>1.5810276679841896E-2</v>
      </c>
      <c r="H18" s="10">
        <v>3.2786885245901641E-2</v>
      </c>
      <c r="I18" s="10">
        <v>0.17378359011107131</v>
      </c>
      <c r="J18" s="10">
        <f t="shared" si="2"/>
        <v>0.17378359011107131</v>
      </c>
      <c r="K18" s="10">
        <f t="shared" si="3"/>
        <v>0.21495327102803738</v>
      </c>
      <c r="L18" s="10">
        <f t="shared" si="4"/>
        <v>0.16949152542372886</v>
      </c>
      <c r="M18" s="10">
        <f t="shared" si="5"/>
        <v>0.14606741573033707</v>
      </c>
      <c r="N18" s="10">
        <f t="shared" si="6"/>
        <v>0.20448179271708683</v>
      </c>
      <c r="O18" s="10">
        <f t="shared" si="7"/>
        <v>0.20553359683794467</v>
      </c>
      <c r="P18" s="10">
        <f t="shared" si="8"/>
        <v>0.19344262295081968</v>
      </c>
    </row>
    <row r="19" spans="1:16" x14ac:dyDescent="0.3">
      <c r="A19" s="10" t="s">
        <v>77</v>
      </c>
      <c r="B19" s="10">
        <v>1.8858831959871016E-2</v>
      </c>
      <c r="C19" s="10">
        <v>2.8037383177570093E-2</v>
      </c>
      <c r="D19" s="10">
        <v>2.5423728813559324E-2</v>
      </c>
      <c r="E19" s="10">
        <v>0</v>
      </c>
      <c r="F19" s="10">
        <v>1.1204481792717087E-2</v>
      </c>
      <c r="G19" s="10">
        <v>5.9288537549407111E-3</v>
      </c>
      <c r="H19" s="10">
        <v>1.3114754098360656E-2</v>
      </c>
      <c r="I19" s="10">
        <v>0.19264242207094232</v>
      </c>
      <c r="J19" s="10">
        <f t="shared" si="2"/>
        <v>0.19264242207094232</v>
      </c>
      <c r="K19" s="10">
        <f t="shared" si="3"/>
        <v>0.24299065420560748</v>
      </c>
      <c r="L19" s="10">
        <f t="shared" si="4"/>
        <v>0.19491525423728817</v>
      </c>
      <c r="M19" s="10">
        <f t="shared" si="5"/>
        <v>0.14606741573033707</v>
      </c>
      <c r="N19" s="10">
        <f t="shared" si="6"/>
        <v>0.2156862745098039</v>
      </c>
      <c r="O19" s="10">
        <f t="shared" si="7"/>
        <v>0.21146245059288538</v>
      </c>
      <c r="P19" s="10">
        <f t="shared" si="8"/>
        <v>0.20655737704918034</v>
      </c>
    </row>
    <row r="20" spans="1:16" x14ac:dyDescent="0.3">
      <c r="A20" s="10" t="s">
        <v>79</v>
      </c>
      <c r="B20" s="10">
        <v>1.9673951988534576E-2</v>
      </c>
      <c r="C20" s="10">
        <v>9.3457943925233638E-3</v>
      </c>
      <c r="D20" s="10">
        <v>1.6949152542372881E-2</v>
      </c>
      <c r="E20" s="10">
        <v>2.247191011235955E-2</v>
      </c>
      <c r="F20" s="10">
        <v>2.8011204481792717E-3</v>
      </c>
      <c r="G20" s="10">
        <v>4.9407114624505928E-2</v>
      </c>
      <c r="H20" s="10">
        <v>4.9180327868852458E-2</v>
      </c>
      <c r="I20" s="10">
        <v>0.2123163740594769</v>
      </c>
      <c r="J20" s="10">
        <f t="shared" si="2"/>
        <v>0.2123163740594769</v>
      </c>
      <c r="K20" s="10">
        <f t="shared" si="3"/>
        <v>0.25233644859813081</v>
      </c>
      <c r="L20" s="10">
        <f t="shared" si="4"/>
        <v>0.21186440677966106</v>
      </c>
      <c r="M20" s="10">
        <f t="shared" si="5"/>
        <v>0.16853932584269662</v>
      </c>
      <c r="N20" s="10">
        <f t="shared" si="6"/>
        <v>0.21848739495798317</v>
      </c>
      <c r="O20" s="10">
        <f t="shared" si="7"/>
        <v>0.2608695652173913</v>
      </c>
      <c r="P20" s="10">
        <f t="shared" si="8"/>
        <v>0.25573770491803283</v>
      </c>
    </row>
    <row r="21" spans="1:16" x14ac:dyDescent="0.3">
      <c r="A21" s="10" t="s">
        <v>88</v>
      </c>
      <c r="B21" s="10">
        <v>2.0451451092798282E-2</v>
      </c>
      <c r="C21" s="10">
        <v>1.5576323987538941E-2</v>
      </c>
      <c r="D21" s="10">
        <v>1.6949152542372881E-2</v>
      </c>
      <c r="E21" s="10">
        <v>1.1235955056179775E-2</v>
      </c>
      <c r="F21" s="10">
        <v>8.4033613445378148E-3</v>
      </c>
      <c r="G21" s="10">
        <v>1.5810276679841896E-2</v>
      </c>
      <c r="H21" s="10">
        <v>1.6393442622950821E-2</v>
      </c>
      <c r="I21" s="10">
        <v>0.23276782515227518</v>
      </c>
      <c r="J21" s="10">
        <f t="shared" si="2"/>
        <v>0.23276782515227518</v>
      </c>
      <c r="K21" s="10">
        <f t="shared" si="3"/>
        <v>0.26791277258566976</v>
      </c>
      <c r="L21" s="10">
        <f t="shared" si="4"/>
        <v>0.22881355932203395</v>
      </c>
      <c r="M21" s="10">
        <f t="shared" si="5"/>
        <v>0.1797752808988764</v>
      </c>
      <c r="N21" s="10">
        <f t="shared" si="6"/>
        <v>0.22689075630252098</v>
      </c>
      <c r="O21" s="10">
        <f t="shared" si="7"/>
        <v>0.27667984189723321</v>
      </c>
      <c r="P21" s="10">
        <f t="shared" si="8"/>
        <v>0.27213114754098366</v>
      </c>
    </row>
    <row r="22" spans="1:16" x14ac:dyDescent="0.3">
      <c r="A22" s="10" t="s">
        <v>80</v>
      </c>
      <c r="B22" s="10">
        <v>2.0797205302758869E-2</v>
      </c>
      <c r="C22" s="10">
        <v>1.2461059190031152E-2</v>
      </c>
      <c r="D22" s="10">
        <v>8.4745762711864406E-3</v>
      </c>
      <c r="E22" s="10">
        <v>0</v>
      </c>
      <c r="F22" s="10">
        <v>1.4005602240896359E-2</v>
      </c>
      <c r="G22" s="10">
        <v>2.1739130434782608E-2</v>
      </c>
      <c r="H22" s="10">
        <v>4.2622950819672129E-2</v>
      </c>
      <c r="I22" s="10">
        <v>0.25356503045503404</v>
      </c>
      <c r="J22" s="10">
        <f t="shared" si="2"/>
        <v>0.25356503045503404</v>
      </c>
      <c r="K22" s="10">
        <f t="shared" si="3"/>
        <v>0.28037383177570091</v>
      </c>
      <c r="L22" s="10">
        <f t="shared" si="4"/>
        <v>0.2372881355932204</v>
      </c>
      <c r="M22" s="10">
        <f t="shared" si="5"/>
        <v>0.1797752808988764</v>
      </c>
      <c r="N22" s="10">
        <f t="shared" si="6"/>
        <v>0.24089635854341734</v>
      </c>
      <c r="O22" s="10">
        <f t="shared" si="7"/>
        <v>0.29841897233201581</v>
      </c>
      <c r="P22" s="10">
        <f t="shared" si="8"/>
        <v>0.31475409836065582</v>
      </c>
    </row>
    <row r="23" spans="1:16" x14ac:dyDescent="0.3">
      <c r="A23" s="10" t="s">
        <v>84</v>
      </c>
      <c r="B23" s="10">
        <v>2.1232533142242924E-2</v>
      </c>
      <c r="C23" s="10">
        <v>1.5576323987538941E-2</v>
      </c>
      <c r="D23" s="10">
        <v>0</v>
      </c>
      <c r="E23" s="10">
        <v>1.1235955056179775E-2</v>
      </c>
      <c r="F23" s="10">
        <v>0</v>
      </c>
      <c r="G23" s="10">
        <v>5.9288537549407111E-3</v>
      </c>
      <c r="H23" s="10">
        <v>9.8360655737704927E-3</v>
      </c>
      <c r="I23" s="10">
        <v>0.27479756359727697</v>
      </c>
      <c r="J23" s="10">
        <f t="shared" si="2"/>
        <v>0.27479756359727697</v>
      </c>
      <c r="K23" s="10">
        <f t="shared" si="3"/>
        <v>0.29595015576323985</v>
      </c>
      <c r="L23" s="10">
        <f t="shared" si="4"/>
        <v>0.2372881355932204</v>
      </c>
      <c r="M23" s="10">
        <f t="shared" si="5"/>
        <v>0.19101123595505617</v>
      </c>
      <c r="N23" s="10">
        <f t="shared" si="6"/>
        <v>0.24089635854341734</v>
      </c>
      <c r="O23" s="10">
        <f t="shared" si="7"/>
        <v>0.30434782608695654</v>
      </c>
      <c r="P23" s="10">
        <f t="shared" si="8"/>
        <v>0.3245901639344263</v>
      </c>
    </row>
    <row r="24" spans="1:16" x14ac:dyDescent="0.3">
      <c r="A24" s="10" t="s">
        <v>85</v>
      </c>
      <c r="B24" s="10">
        <v>2.1872088857040489E-2</v>
      </c>
      <c r="C24" s="10">
        <v>1.5576323987538941E-2</v>
      </c>
      <c r="D24" s="10">
        <v>2.5423728813559324E-2</v>
      </c>
      <c r="E24" s="10">
        <v>0</v>
      </c>
      <c r="F24" s="10">
        <v>1.4005602240896359E-2</v>
      </c>
      <c r="G24" s="10">
        <v>9.881422924901186E-3</v>
      </c>
      <c r="H24" s="10">
        <v>1.3114754098360656E-2</v>
      </c>
      <c r="I24" s="10">
        <v>0.29666965245431748</v>
      </c>
      <c r="J24" s="10">
        <f t="shared" si="2"/>
        <v>0.29666965245431748</v>
      </c>
      <c r="K24" s="10">
        <f t="shared" si="3"/>
        <v>0.3115264797507788</v>
      </c>
      <c r="L24" s="10">
        <f t="shared" si="4"/>
        <v>0.26271186440677974</v>
      </c>
      <c r="M24" s="10">
        <f t="shared" si="5"/>
        <v>0.19101123595505617</v>
      </c>
      <c r="N24" s="10">
        <f t="shared" si="6"/>
        <v>0.25490196078431371</v>
      </c>
      <c r="O24" s="10">
        <f t="shared" si="7"/>
        <v>0.31422924901185773</v>
      </c>
      <c r="P24" s="10">
        <f t="shared" si="8"/>
        <v>0.33770491803278696</v>
      </c>
    </row>
    <row r="25" spans="1:16" x14ac:dyDescent="0.3">
      <c r="A25" s="10" t="s">
        <v>78</v>
      </c>
      <c r="B25" s="10">
        <v>3.5487280544607668E-2</v>
      </c>
      <c r="C25" s="10">
        <v>3.4267912772585667E-2</v>
      </c>
      <c r="D25" s="10">
        <v>4.2372881355932202E-2</v>
      </c>
      <c r="E25" s="10">
        <v>1.1235955056179775E-2</v>
      </c>
      <c r="F25" s="10">
        <v>1.4005602240896359E-2</v>
      </c>
      <c r="G25" s="10">
        <v>4.9407114624505928E-2</v>
      </c>
      <c r="H25" s="10">
        <v>1.3114754098360656E-2</v>
      </c>
      <c r="I25" s="10">
        <v>0.33215693299892513</v>
      </c>
      <c r="J25" s="10">
        <f t="shared" si="2"/>
        <v>0.33215693299892513</v>
      </c>
      <c r="K25" s="10">
        <f t="shared" si="3"/>
        <v>0.34579439252336447</v>
      </c>
      <c r="L25" s="10">
        <f t="shared" si="4"/>
        <v>0.30508474576271194</v>
      </c>
      <c r="M25" s="10">
        <f t="shared" si="5"/>
        <v>0.20224719101123595</v>
      </c>
      <c r="N25" s="10">
        <f t="shared" si="6"/>
        <v>0.26890756302521007</v>
      </c>
      <c r="O25" s="10">
        <f t="shared" si="7"/>
        <v>0.36363636363636365</v>
      </c>
      <c r="P25" s="10">
        <f t="shared" si="8"/>
        <v>0.35081967213114762</v>
      </c>
    </row>
    <row r="26" spans="1:16" x14ac:dyDescent="0.3">
      <c r="A26" s="10" t="s">
        <v>81</v>
      </c>
      <c r="B26" s="10">
        <v>3.9109638122536726E-2</v>
      </c>
      <c r="C26" s="10">
        <v>2.4922118380062305E-2</v>
      </c>
      <c r="D26" s="10">
        <v>8.4745762711864406E-3</v>
      </c>
      <c r="E26" s="10">
        <v>2.247191011235955E-2</v>
      </c>
      <c r="F26" s="10">
        <v>2.5210084033613446E-2</v>
      </c>
      <c r="G26" s="10">
        <v>2.9644268774703556E-2</v>
      </c>
      <c r="H26" s="10">
        <v>3.9344262295081971E-2</v>
      </c>
      <c r="I26" s="10">
        <v>0.37126657112146183</v>
      </c>
      <c r="J26" s="10">
        <f t="shared" si="2"/>
        <v>0.37126657112146183</v>
      </c>
      <c r="K26" s="10">
        <f t="shared" si="3"/>
        <v>0.37071651090342678</v>
      </c>
      <c r="L26" s="10">
        <f t="shared" si="4"/>
        <v>0.31355932203389836</v>
      </c>
      <c r="M26" s="10">
        <f t="shared" si="5"/>
        <v>0.2247191011235955</v>
      </c>
      <c r="N26" s="10">
        <f t="shared" si="6"/>
        <v>0.29411764705882354</v>
      </c>
      <c r="O26" s="10">
        <f t="shared" si="7"/>
        <v>0.3932806324110672</v>
      </c>
      <c r="P26" s="10">
        <f t="shared" si="8"/>
        <v>0.3901639344262296</v>
      </c>
    </row>
    <row r="27" spans="1:16" x14ac:dyDescent="0.3">
      <c r="A27" s="10" t="s">
        <v>95</v>
      </c>
      <c r="B27" s="10">
        <v>4.3437835901110715E-2</v>
      </c>
      <c r="C27" s="10">
        <v>6.2305295950155763E-2</v>
      </c>
      <c r="D27" s="10">
        <v>8.4745762711864403E-2</v>
      </c>
      <c r="E27" s="10">
        <v>3.3707865168539325E-2</v>
      </c>
      <c r="F27" s="10">
        <v>3.9215686274509803E-2</v>
      </c>
      <c r="G27" s="10">
        <v>7.7075098814229248E-2</v>
      </c>
      <c r="H27" s="10">
        <v>7.5409836065573776E-2</v>
      </c>
      <c r="I27" s="10">
        <v>0.41470440702257255</v>
      </c>
      <c r="J27" s="10">
        <f t="shared" si="2"/>
        <v>0.41470440702257255</v>
      </c>
      <c r="K27" s="10">
        <f t="shared" si="3"/>
        <v>0.43302180685358255</v>
      </c>
      <c r="L27" s="10">
        <f t="shared" si="4"/>
        <v>0.39830508474576276</v>
      </c>
      <c r="M27" s="10">
        <f t="shared" si="5"/>
        <v>0.2584269662921348</v>
      </c>
      <c r="N27" s="10">
        <f t="shared" si="6"/>
        <v>0.33333333333333337</v>
      </c>
      <c r="O27" s="10">
        <f t="shared" si="7"/>
        <v>0.47035573122529645</v>
      </c>
      <c r="P27" s="10">
        <f t="shared" si="8"/>
        <v>0.46557377049180337</v>
      </c>
    </row>
    <row r="28" spans="1:16" x14ac:dyDescent="0.3">
      <c r="A28" s="10" t="s">
        <v>94</v>
      </c>
      <c r="B28" s="10">
        <v>4.7542099605876027E-2</v>
      </c>
      <c r="C28" s="10">
        <v>1.2461059190031152E-2</v>
      </c>
      <c r="D28" s="10">
        <v>1.6949152542372881E-2</v>
      </c>
      <c r="E28" s="10">
        <v>2.247191011235955E-2</v>
      </c>
      <c r="F28" s="10">
        <v>2.2408963585434174E-2</v>
      </c>
      <c r="G28" s="10">
        <v>2.1739130434782608E-2</v>
      </c>
      <c r="H28" s="10">
        <v>3.2786885245901639E-3</v>
      </c>
      <c r="I28" s="10">
        <v>0.46224650662844857</v>
      </c>
      <c r="J28" s="10">
        <f t="shared" si="2"/>
        <v>0.46224650662844857</v>
      </c>
      <c r="K28" s="10">
        <f t="shared" si="3"/>
        <v>0.4454828660436137</v>
      </c>
      <c r="L28" s="10">
        <f t="shared" si="4"/>
        <v>0.41525423728813565</v>
      </c>
      <c r="M28" s="10">
        <f t="shared" si="5"/>
        <v>0.28089887640449435</v>
      </c>
      <c r="N28" s="10">
        <f t="shared" si="6"/>
        <v>0.35574229691876752</v>
      </c>
      <c r="O28" s="10">
        <f t="shared" si="7"/>
        <v>0.49209486166007904</v>
      </c>
      <c r="P28" s="10">
        <f t="shared" si="8"/>
        <v>0.46885245901639355</v>
      </c>
    </row>
    <row r="29" spans="1:16" x14ac:dyDescent="0.3">
      <c r="A29" s="10" t="s">
        <v>82</v>
      </c>
      <c r="B29" s="10">
        <v>5.386599785023289E-2</v>
      </c>
      <c r="C29" s="10">
        <v>5.6074766355140186E-2</v>
      </c>
      <c r="D29" s="10">
        <v>4.2372881355932202E-2</v>
      </c>
      <c r="E29" s="10">
        <v>6.741573033707865E-2</v>
      </c>
      <c r="F29" s="10">
        <v>1.4005602240896359E-2</v>
      </c>
      <c r="G29" s="10">
        <v>2.1739130434782608E-2</v>
      </c>
      <c r="H29" s="10">
        <v>2.9508196721311476E-2</v>
      </c>
      <c r="I29" s="10">
        <v>0.51611250447868151</v>
      </c>
      <c r="J29" s="10">
        <f t="shared" si="2"/>
        <v>0.51611250447868151</v>
      </c>
      <c r="K29" s="10">
        <f t="shared" si="3"/>
        <v>0.50155763239875384</v>
      </c>
      <c r="L29" s="10">
        <f t="shared" si="4"/>
        <v>0.45762711864406785</v>
      </c>
      <c r="M29" s="10">
        <f t="shared" si="5"/>
        <v>0.348314606741573</v>
      </c>
      <c r="N29" s="10">
        <f t="shared" si="6"/>
        <v>0.36974789915966388</v>
      </c>
      <c r="O29" s="10">
        <f t="shared" si="7"/>
        <v>0.51383399209486169</v>
      </c>
      <c r="P29" s="10">
        <f t="shared" si="8"/>
        <v>0.49836065573770505</v>
      </c>
    </row>
    <row r="30" spans="1:16" x14ac:dyDescent="0.3">
      <c r="A30" s="10" t="s">
        <v>98</v>
      </c>
      <c r="B30" s="10">
        <v>6.0798996775349334E-2</v>
      </c>
      <c r="C30" s="10">
        <v>4.6728971962616821E-2</v>
      </c>
      <c r="D30" s="10">
        <v>5.9322033898305086E-2</v>
      </c>
      <c r="E30" s="10">
        <v>0.1797752808988764</v>
      </c>
      <c r="F30" s="10">
        <v>8.683473389355742E-2</v>
      </c>
      <c r="G30" s="10">
        <v>3.5573122529644272E-2</v>
      </c>
      <c r="H30" s="10">
        <v>4.9180327868852458E-2</v>
      </c>
      <c r="I30" s="10">
        <v>0.5769115012540309</v>
      </c>
      <c r="J30" s="10">
        <f t="shared" si="2"/>
        <v>0.5769115012540309</v>
      </c>
      <c r="K30" s="10">
        <f t="shared" si="3"/>
        <v>0.54828660436137067</v>
      </c>
      <c r="L30" s="10">
        <f t="shared" si="4"/>
        <v>0.51694915254237295</v>
      </c>
      <c r="M30" s="10">
        <f t="shared" si="5"/>
        <v>0.5280898876404494</v>
      </c>
      <c r="N30" s="10">
        <f t="shared" si="6"/>
        <v>0.45658263305322133</v>
      </c>
      <c r="O30" s="10">
        <f t="shared" si="7"/>
        <v>0.54940711462450598</v>
      </c>
      <c r="P30" s="10">
        <f t="shared" si="8"/>
        <v>0.54754098360655745</v>
      </c>
    </row>
    <row r="31" spans="1:16" x14ac:dyDescent="0.3">
      <c r="A31" s="10" t="s">
        <v>89</v>
      </c>
      <c r="B31" s="10">
        <v>6.744715155858115E-2</v>
      </c>
      <c r="C31" s="10">
        <v>1.2461059190031152E-2</v>
      </c>
      <c r="D31" s="10">
        <v>4.2372881355932202E-2</v>
      </c>
      <c r="E31" s="10">
        <v>0</v>
      </c>
      <c r="F31" s="10">
        <v>1.1204481792717087E-2</v>
      </c>
      <c r="G31" s="10">
        <v>7.9051383399209481E-3</v>
      </c>
      <c r="H31" s="10">
        <v>6.5573770491803279E-3</v>
      </c>
      <c r="I31" s="10">
        <v>0.64435865281261206</v>
      </c>
      <c r="J31" s="10">
        <f t="shared" si="2"/>
        <v>0.64435865281261206</v>
      </c>
      <c r="K31" s="10">
        <f t="shared" si="3"/>
        <v>0.56074766355140182</v>
      </c>
      <c r="L31" s="10">
        <f t="shared" si="4"/>
        <v>0.55932203389830515</v>
      </c>
      <c r="M31" s="10">
        <f t="shared" si="5"/>
        <v>0.5280898876404494</v>
      </c>
      <c r="N31" s="10">
        <f t="shared" si="6"/>
        <v>0.46778711484593843</v>
      </c>
      <c r="O31" s="10">
        <f t="shared" si="7"/>
        <v>0.55731225296442688</v>
      </c>
      <c r="P31" s="10">
        <f t="shared" si="8"/>
        <v>0.55409836065573781</v>
      </c>
    </row>
    <row r="32" spans="1:16" x14ac:dyDescent="0.3">
      <c r="A32" s="10" t="s">
        <v>99</v>
      </c>
      <c r="B32" s="10">
        <v>7.9229666786098177E-2</v>
      </c>
      <c r="C32" s="10">
        <v>0.15887850467289719</v>
      </c>
      <c r="D32" s="10">
        <v>0.27966101694915252</v>
      </c>
      <c r="E32" s="10">
        <v>7.8651685393258425E-2</v>
      </c>
      <c r="F32" s="10">
        <v>0.15126050420168066</v>
      </c>
      <c r="G32" s="10">
        <v>0.15019762845849802</v>
      </c>
      <c r="H32" s="10">
        <v>0.18360655737704917</v>
      </c>
      <c r="I32" s="10">
        <v>0.72358831959871028</v>
      </c>
      <c r="J32" s="10">
        <f t="shared" si="2"/>
        <v>0.72358831959871028</v>
      </c>
      <c r="K32" s="10">
        <f t="shared" si="3"/>
        <v>0.71962616822429903</v>
      </c>
      <c r="L32" s="10">
        <f t="shared" si="4"/>
        <v>0.83898305084745761</v>
      </c>
      <c r="M32" s="10">
        <f t="shared" si="5"/>
        <v>0.60674157303370779</v>
      </c>
      <c r="N32" s="10">
        <f t="shared" si="6"/>
        <v>0.61904761904761907</v>
      </c>
      <c r="O32" s="10">
        <f t="shared" si="7"/>
        <v>0.70750988142292492</v>
      </c>
      <c r="P32" s="10">
        <f t="shared" si="8"/>
        <v>0.73770491803278704</v>
      </c>
    </row>
    <row r="33" spans="1:16" x14ac:dyDescent="0.3">
      <c r="A33" s="10" t="s">
        <v>76</v>
      </c>
      <c r="B33" s="10">
        <v>0.27641168040128988</v>
      </c>
      <c r="C33" s="10">
        <v>0.28037383177570091</v>
      </c>
      <c r="D33" s="10">
        <v>0.16101694915254236</v>
      </c>
      <c r="E33" s="10">
        <v>0.39325842696629215</v>
      </c>
      <c r="F33" s="10">
        <v>0.38095238095238093</v>
      </c>
      <c r="G33" s="10">
        <v>0.29249011857707508</v>
      </c>
      <c r="H33" s="10">
        <v>0.26229508196721313</v>
      </c>
      <c r="I33" s="10">
        <v>1.0000000000000002</v>
      </c>
      <c r="J33" s="10">
        <f t="shared" si="2"/>
        <v>1.0000000000000002</v>
      </c>
      <c r="K33" s="10">
        <f t="shared" si="3"/>
        <v>1</v>
      </c>
      <c r="L33" s="10">
        <f t="shared" si="4"/>
        <v>1</v>
      </c>
      <c r="M33" s="10">
        <f t="shared" si="5"/>
        <v>1</v>
      </c>
      <c r="N33" s="10">
        <f t="shared" si="6"/>
        <v>1</v>
      </c>
      <c r="O33" s="10">
        <f t="shared" si="7"/>
        <v>1</v>
      </c>
      <c r="P33" s="10">
        <f t="shared" si="8"/>
        <v>1.0000000000000002</v>
      </c>
    </row>
    <row r="34" spans="1:16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8.8" x14ac:dyDescent="0.3">
      <c r="B35" s="1" t="s">
        <v>154</v>
      </c>
      <c r="C35" s="3" t="s">
        <v>162</v>
      </c>
      <c r="D35" s="3" t="s">
        <v>163</v>
      </c>
      <c r="E35" s="3" t="s">
        <v>164</v>
      </c>
      <c r="F35" s="3" t="s">
        <v>165</v>
      </c>
      <c r="G35" s="3" t="s">
        <v>166</v>
      </c>
      <c r="H35" s="3" t="s">
        <v>167</v>
      </c>
      <c r="J35" s="8"/>
      <c r="K35" s="11" t="s">
        <v>168</v>
      </c>
      <c r="L35" s="11" t="s">
        <v>169</v>
      </c>
      <c r="M35" s="11" t="s">
        <v>170</v>
      </c>
      <c r="N35" s="11" t="s">
        <v>171</v>
      </c>
      <c r="O35" s="11" t="s">
        <v>172</v>
      </c>
      <c r="P35" s="11" t="s">
        <v>173</v>
      </c>
    </row>
    <row r="36" spans="1:16" x14ac:dyDescent="0.3">
      <c r="B36" s="10" t="s">
        <v>103</v>
      </c>
      <c r="C36" s="10">
        <f>C2-B2</f>
        <v>3.6830555713681379E-3</v>
      </c>
      <c r="D36" s="10">
        <f>D2-B2</f>
        <v>5.9271022475390024E-3</v>
      </c>
      <c r="E36" s="10">
        <f>E2-B2</f>
        <v>-2.5474740236474383E-3</v>
      </c>
      <c r="F36" s="10">
        <f>F2-B2</f>
        <v>3.0547668727111052E-3</v>
      </c>
      <c r="G36" s="10">
        <f>G2-B2</f>
        <v>-5.7118943866720125E-4</v>
      </c>
      <c r="H36" s="10">
        <f>H2-B2</f>
        <v>1.0567280074713217E-2</v>
      </c>
      <c r="J36" s="10" t="s">
        <v>103</v>
      </c>
      <c r="K36" s="8">
        <f>(J2-0) * ((K2+0))</f>
        <v>1.5872112296868774E-5</v>
      </c>
      <c r="L36" s="8">
        <f>(J2-0) * ((L2+0))</f>
        <v>2.1588762912266426E-5</v>
      </c>
      <c r="M36" s="8">
        <f>(J2-0) * ((M2+0))</f>
        <v>0</v>
      </c>
      <c r="N36" s="8">
        <f>(J2-0) * ((N2+0))</f>
        <v>1.427156315768873E-5</v>
      </c>
      <c r="O36" s="8">
        <f>(J2-0) * ((O2+0))</f>
        <v>5.0345336435720124E-6</v>
      </c>
      <c r="P36" s="8">
        <f>(J2-0) * ((P2+0))</f>
        <v>3.3409495392097554E-5</v>
      </c>
    </row>
    <row r="37" spans="1:16" x14ac:dyDescent="0.3">
      <c r="B37" s="10" t="s">
        <v>100</v>
      </c>
      <c r="C37" s="10">
        <f t="shared" ref="C37:C67" si="9">C3-B3</f>
        <v>2.3123373861912624E-2</v>
      </c>
      <c r="D37" s="10">
        <f t="shared" ref="D37:D67" si="10">D3-B3</f>
        <v>1.2035143226715412E-2</v>
      </c>
      <c r="E37" s="10">
        <f t="shared" ref="E37:E67" si="11">E3-B3</f>
        <v>-4.9140093156574702E-3</v>
      </c>
      <c r="F37" s="10">
        <f t="shared" ref="F37:F67" si="12">F3-B3</f>
        <v>1.4693833821597432E-2</v>
      </c>
      <c r="G37" s="10">
        <f t="shared" ref="G37:G67" si="13">G3-B3</f>
        <v>8.9199827792041907E-3</v>
      </c>
      <c r="H37" s="10">
        <f t="shared" ref="H37:H67" si="14">H3-B3</f>
        <v>1.6433677335228577E-3</v>
      </c>
      <c r="J37" s="10" t="s">
        <v>100</v>
      </c>
      <c r="K37" s="8">
        <f>(J3-J2) * ((K3+K2))</f>
        <v>1.9900972306400967E-4</v>
      </c>
      <c r="L37" s="8">
        <f>(J3-J2) * ((L3+L2))</f>
        <v>1.6657658697143967E-4</v>
      </c>
      <c r="M37" s="8">
        <f>(J3-J2) * ((M3+M2))</f>
        <v>0</v>
      </c>
      <c r="N37" s="8">
        <f>(J3-J2) * ((N3+N2))</f>
        <v>1.5141205174294727E-4</v>
      </c>
      <c r="O37" s="8">
        <f>(J3-J2) * ((O3+O2))</f>
        <v>8.7403327748848274E-5</v>
      </c>
      <c r="P37" s="8">
        <f>(J3-J2) * ((P3+P2))</f>
        <v>1.6111505952975309E-4</v>
      </c>
    </row>
    <row r="38" spans="1:16" x14ac:dyDescent="0.3">
      <c r="B38" s="10" t="s">
        <v>86</v>
      </c>
      <c r="C38" s="10">
        <f t="shared" si="9"/>
        <v>5.8594826941515393E-3</v>
      </c>
      <c r="D38" s="10">
        <f t="shared" si="10"/>
        <v>1.0347576046493268E-2</v>
      </c>
      <c r="E38" s="10">
        <f t="shared" si="11"/>
        <v>-6.601576495879613E-3</v>
      </c>
      <c r="F38" s="10">
        <f t="shared" si="12"/>
        <v>-3.8004560477003413E-3</v>
      </c>
      <c r="G38" s="10">
        <f t="shared" si="13"/>
        <v>3.2798464290215729E-3</v>
      </c>
      <c r="H38" s="10">
        <f t="shared" si="14"/>
        <v>-4.4199446699285175E-5</v>
      </c>
      <c r="J38" s="10" t="s">
        <v>86</v>
      </c>
      <c r="K38" s="8">
        <f t="shared" ref="K38:K67" si="15">(J4-J3) * ((K4+K3))</f>
        <v>5.3470713050738294E-4</v>
      </c>
      <c r="L38" s="8">
        <f t="shared" ref="L38:L67" si="16">(J4-J3) * ((L4+L3))</f>
        <v>4.4756450819522799E-4</v>
      </c>
      <c r="M38" s="8">
        <f t="shared" ref="M38:M67" si="17">(J4-J3) * ((M4+M3))</f>
        <v>0</v>
      </c>
      <c r="N38" s="8">
        <f t="shared" ref="N38:N67" si="18">(J4-J3) * ((N4+N3))</f>
        <v>3.5134440734373293E-4</v>
      </c>
      <c r="O38" s="8">
        <f t="shared" ref="O38:O67" si="19">(J4-J3) * ((O4+O3))</f>
        <v>2.739784711728693E-4</v>
      </c>
      <c r="P38" s="8">
        <f t="shared" ref="P38:P67" si="20">(J4-J3) * ((P4+P3))</f>
        <v>3.0302318341742483E-4</v>
      </c>
    </row>
    <row r="39" spans="1:16" x14ac:dyDescent="0.3">
      <c r="B39" s="10" t="s">
        <v>105</v>
      </c>
      <c r="C39" s="10">
        <f t="shared" si="9"/>
        <v>8.2008313325765622E-3</v>
      </c>
      <c r="D39" s="10">
        <f t="shared" si="10"/>
        <v>9.573659887410501E-3</v>
      </c>
      <c r="E39" s="10">
        <f t="shared" si="11"/>
        <v>-7.3754926549623795E-3</v>
      </c>
      <c r="F39" s="10">
        <f t="shared" si="12"/>
        <v>1.0278686895754353E-3</v>
      </c>
      <c r="G39" s="10">
        <f t="shared" si="13"/>
        <v>2.5059302699388065E-3</v>
      </c>
      <c r="H39" s="10">
        <f t="shared" si="14"/>
        <v>-7.3754926549623795E-3</v>
      </c>
      <c r="J39" s="10" t="s">
        <v>105</v>
      </c>
      <c r="K39" s="8">
        <f t="shared" si="15"/>
        <v>8.0418144212985449E-4</v>
      </c>
      <c r="L39" s="8">
        <f t="shared" si="16"/>
        <v>7.5005010050464881E-4</v>
      </c>
      <c r="M39" s="8">
        <f t="shared" si="17"/>
        <v>0</v>
      </c>
      <c r="N39" s="8">
        <f t="shared" si="18"/>
        <v>4.7517179569785649E-4</v>
      </c>
      <c r="O39" s="8">
        <f t="shared" si="19"/>
        <v>4.5185824565975054E-4</v>
      </c>
      <c r="P39" s="8">
        <f t="shared" si="20"/>
        <v>3.8691109009638715E-4</v>
      </c>
    </row>
    <row r="40" spans="1:16" x14ac:dyDescent="0.3">
      <c r="B40" s="10" t="s">
        <v>97</v>
      </c>
      <c r="C40" s="10">
        <f t="shared" si="9"/>
        <v>-2.2377613401331166E-3</v>
      </c>
      <c r="D40" s="10">
        <f t="shared" si="10"/>
        <v>6.2853360377479461E-6</v>
      </c>
      <c r="E40" s="10">
        <f t="shared" si="11"/>
        <v>-8.4682909351486927E-3</v>
      </c>
      <c r="F40" s="10">
        <f t="shared" si="12"/>
        <v>-2.8660500387901492E-3</v>
      </c>
      <c r="G40" s="10">
        <f t="shared" si="13"/>
        <v>3.3894165747327294E-3</v>
      </c>
      <c r="H40" s="10">
        <f t="shared" si="14"/>
        <v>-1.9109138859683648E-3</v>
      </c>
      <c r="J40" s="10" t="s">
        <v>97</v>
      </c>
      <c r="K40" s="8">
        <f t="shared" si="15"/>
        <v>1.108000683103567E-3</v>
      </c>
      <c r="L40" s="8">
        <f t="shared" si="16"/>
        <v>1.0764776612477149E-3</v>
      </c>
      <c r="M40" s="8">
        <f t="shared" si="17"/>
        <v>0</v>
      </c>
      <c r="N40" s="8">
        <f t="shared" si="18"/>
        <v>6.6417968118813258E-4</v>
      </c>
      <c r="O40" s="8">
        <f t="shared" si="19"/>
        <v>7.0290161912301384E-4</v>
      </c>
      <c r="P40" s="8">
        <f t="shared" si="20"/>
        <v>4.9976798961533263E-4</v>
      </c>
    </row>
    <row r="41" spans="1:16" x14ac:dyDescent="0.3">
      <c r="B41" s="10" t="s">
        <v>87</v>
      </c>
      <c r="C41" s="10">
        <f t="shared" si="9"/>
        <v>8.7571198478420161E-4</v>
      </c>
      <c r="D41" s="10">
        <f t="shared" si="10"/>
        <v>4.493863447278465E-6</v>
      </c>
      <c r="E41" s="10">
        <f t="shared" si="11"/>
        <v>2.7658726484406128E-3</v>
      </c>
      <c r="F41" s="10">
        <f t="shared" si="12"/>
        <v>-2.8678415113806187E-3</v>
      </c>
      <c r="G41" s="10">
        <f t="shared" si="13"/>
        <v>1.4113405171620238E-3</v>
      </c>
      <c r="H41" s="10">
        <f t="shared" si="14"/>
        <v>-5.1913938831489983E-3</v>
      </c>
      <c r="J41" s="10" t="s">
        <v>87</v>
      </c>
      <c r="K41" s="8">
        <f t="shared" si="15"/>
        <v>1.2401678291705319E-3</v>
      </c>
      <c r="L41" s="8">
        <f t="shared" si="16"/>
        <v>1.2202661095895408E-3</v>
      </c>
      <c r="M41" s="8">
        <f t="shared" si="17"/>
        <v>9.5169465255496235E-5</v>
      </c>
      <c r="N41" s="8">
        <f t="shared" si="18"/>
        <v>7.5922307296261442E-4</v>
      </c>
      <c r="O41" s="8">
        <f t="shared" si="19"/>
        <v>8.8718254468414179E-4</v>
      </c>
      <c r="P41" s="8">
        <f t="shared" si="20"/>
        <v>5.8318600184433607E-4</v>
      </c>
    </row>
    <row r="42" spans="1:16" x14ac:dyDescent="0.3">
      <c r="B42" s="10" t="s">
        <v>107</v>
      </c>
      <c r="C42" s="10">
        <f t="shared" si="9"/>
        <v>-6.0194539412955078E-3</v>
      </c>
      <c r="D42" s="10">
        <f t="shared" si="10"/>
        <v>-9.1347187388032963E-3</v>
      </c>
      <c r="E42" s="10">
        <f t="shared" si="11"/>
        <v>1.3337191373556254E-2</v>
      </c>
      <c r="F42" s="10">
        <f t="shared" si="12"/>
        <v>4.1285449328423596E-2</v>
      </c>
      <c r="G42" s="10">
        <f t="shared" si="13"/>
        <v>4.6992733560583637E-3</v>
      </c>
      <c r="H42" s="10">
        <f t="shared" si="14"/>
        <v>7.2587238841475242E-3</v>
      </c>
      <c r="J42" s="10" t="s">
        <v>107</v>
      </c>
      <c r="K42" s="8">
        <f t="shared" si="15"/>
        <v>1.451310453828561E-3</v>
      </c>
      <c r="L42" s="8">
        <f t="shared" si="16"/>
        <v>1.3934316720208418E-3</v>
      </c>
      <c r="M42" s="8">
        <f t="shared" si="17"/>
        <v>4.1054915680014813E-4</v>
      </c>
      <c r="N42" s="8">
        <f t="shared" si="18"/>
        <v>1.3305472672766707E-3</v>
      </c>
      <c r="O42" s="8">
        <f t="shared" si="19"/>
        <v>1.1734322490557592E-3</v>
      </c>
      <c r="P42" s="8">
        <f t="shared" si="20"/>
        <v>8.0864723261537381E-4</v>
      </c>
    </row>
    <row r="43" spans="1:16" x14ac:dyDescent="0.3">
      <c r="B43" s="10" t="s">
        <v>102</v>
      </c>
      <c r="C43" s="10">
        <f t="shared" si="9"/>
        <v>-3.3807208528525709E-3</v>
      </c>
      <c r="D43" s="10">
        <f t="shared" si="10"/>
        <v>-1.1366741766817064E-3</v>
      </c>
      <c r="E43" s="10">
        <f t="shared" si="11"/>
        <v>-9.6112504478681471E-3</v>
      </c>
      <c r="F43" s="10">
        <f t="shared" si="12"/>
        <v>1.2797713137566027E-2</v>
      </c>
      <c r="G43" s="10">
        <f t="shared" si="13"/>
        <v>1.0151595401934225E-2</v>
      </c>
      <c r="H43" s="10">
        <f t="shared" si="14"/>
        <v>-3.0538733986878192E-3</v>
      </c>
      <c r="J43" s="10" t="s">
        <v>102</v>
      </c>
      <c r="K43" s="8">
        <f t="shared" si="15"/>
        <v>1.6168458697348284E-3</v>
      </c>
      <c r="L43" s="8">
        <f t="shared" si="16"/>
        <v>1.5475742246567356E-3</v>
      </c>
      <c r="M43" s="8">
        <f t="shared" si="17"/>
        <v>6.4794946839560538E-4</v>
      </c>
      <c r="N43" s="8">
        <f t="shared" si="18"/>
        <v>2.0999370726434612E-3</v>
      </c>
      <c r="O43" s="8">
        <f t="shared" si="19"/>
        <v>1.5575544204055097E-3</v>
      </c>
      <c r="P43" s="8">
        <f t="shared" si="20"/>
        <v>1.0714180827131705E-3</v>
      </c>
    </row>
    <row r="44" spans="1:16" x14ac:dyDescent="0.3">
      <c r="B44" s="10" t="s">
        <v>101</v>
      </c>
      <c r="C44" s="10">
        <f t="shared" si="9"/>
        <v>1.1778190021107006E-2</v>
      </c>
      <c r="D44" s="10">
        <f t="shared" si="10"/>
        <v>-1.002866356144751E-2</v>
      </c>
      <c r="E44" s="10">
        <f t="shared" si="11"/>
        <v>1.2072914947322648E-3</v>
      </c>
      <c r="F44" s="10">
        <f t="shared" si="12"/>
        <v>1.1758182312695768E-3</v>
      </c>
      <c r="G44" s="10">
        <f t="shared" si="13"/>
        <v>-6.0760943914870361E-3</v>
      </c>
      <c r="H44" s="10">
        <f t="shared" si="14"/>
        <v>-3.4712865122671823E-3</v>
      </c>
      <c r="J44" s="10" t="s">
        <v>101</v>
      </c>
      <c r="K44" s="8">
        <f t="shared" si="15"/>
        <v>1.9682423812186693E-3</v>
      </c>
      <c r="L44" s="8">
        <f t="shared" si="16"/>
        <v>1.699773484991103E-3</v>
      </c>
      <c r="M44" s="8">
        <f t="shared" si="17"/>
        <v>7.8877129134980383E-4</v>
      </c>
      <c r="N44" s="8">
        <f t="shared" si="18"/>
        <v>2.5282345112892872E-3</v>
      </c>
      <c r="O44" s="8">
        <f t="shared" si="19"/>
        <v>1.8630323612175209E-3</v>
      </c>
      <c r="P44" s="8">
        <f t="shared" si="20"/>
        <v>1.2494728371639516E-3</v>
      </c>
    </row>
    <row r="45" spans="1:16" x14ac:dyDescent="0.3">
      <c r="B45" s="10" t="s">
        <v>96</v>
      </c>
      <c r="C45" s="10">
        <f t="shared" si="9"/>
        <v>-1.0677176639197421E-2</v>
      </c>
      <c r="D45" s="10">
        <f t="shared" si="10"/>
        <v>2.3221128445548342E-2</v>
      </c>
      <c r="E45" s="10">
        <f t="shared" si="11"/>
        <v>-1.0677176639197421E-2</v>
      </c>
      <c r="F45" s="10">
        <f t="shared" si="12"/>
        <v>-7.8760561910181486E-3</v>
      </c>
      <c r="G45" s="10">
        <f t="shared" si="13"/>
        <v>-8.7008920542171846E-3</v>
      </c>
      <c r="H45" s="10">
        <f t="shared" si="14"/>
        <v>-1.0677176639197421E-2</v>
      </c>
      <c r="J45" s="10" t="s">
        <v>96</v>
      </c>
      <c r="K45" s="8">
        <f t="shared" si="15"/>
        <v>2.3283562764604983E-3</v>
      </c>
      <c r="L45" s="8">
        <f t="shared" si="16"/>
        <v>2.1716291469554092E-3</v>
      </c>
      <c r="M45" s="8">
        <f t="shared" si="17"/>
        <v>9.5974621475931931E-4</v>
      </c>
      <c r="N45" s="8">
        <f t="shared" si="18"/>
        <v>2.8412654922234052E-3</v>
      </c>
      <c r="O45" s="8">
        <f t="shared" si="19"/>
        <v>2.0468105415062262E-3</v>
      </c>
      <c r="P45" s="8">
        <f t="shared" si="20"/>
        <v>1.4002854608783511E-3</v>
      </c>
    </row>
    <row r="46" spans="1:16" x14ac:dyDescent="0.3">
      <c r="B46" s="10" t="s">
        <v>104</v>
      </c>
      <c r="C46" s="10">
        <f t="shared" si="9"/>
        <v>-4.9805058761417153E-3</v>
      </c>
      <c r="D46" s="10">
        <f t="shared" si="10"/>
        <v>-1.1211035471157291E-2</v>
      </c>
      <c r="E46" s="10">
        <f t="shared" si="11"/>
        <v>-1.1211035471157291E-2</v>
      </c>
      <c r="F46" s="10">
        <f t="shared" si="12"/>
        <v>-5.6087945747987479E-3</v>
      </c>
      <c r="G46" s="10">
        <f t="shared" si="13"/>
        <v>6.5755257936648444E-3</v>
      </c>
      <c r="H46" s="10">
        <f t="shared" si="14"/>
        <v>5.1824071517935291E-3</v>
      </c>
      <c r="J46" s="10" t="s">
        <v>104</v>
      </c>
      <c r="K46" s="8">
        <f t="shared" si="15"/>
        <v>2.5146247785773354E-3</v>
      </c>
      <c r="L46" s="8">
        <f t="shared" si="16"/>
        <v>2.660245705020374E-3</v>
      </c>
      <c r="M46" s="8">
        <f t="shared" si="17"/>
        <v>1.0077335254972844E-3</v>
      </c>
      <c r="N46" s="8">
        <f t="shared" si="18"/>
        <v>3.0775391489451381E-3</v>
      </c>
      <c r="O46" s="8">
        <f t="shared" si="19"/>
        <v>2.3707130344146833E-3</v>
      </c>
      <c r="P46" s="8">
        <f t="shared" si="20"/>
        <v>1.6540872006625506E-3</v>
      </c>
    </row>
    <row r="47" spans="1:16" x14ac:dyDescent="0.3">
      <c r="B47" s="10" t="s">
        <v>106</v>
      </c>
      <c r="C47" s="10">
        <f t="shared" si="9"/>
        <v>-2.0049759406905385E-3</v>
      </c>
      <c r="D47" s="10">
        <f t="shared" si="10"/>
        <v>-1.1350770333213902E-2</v>
      </c>
      <c r="E47" s="10">
        <f t="shared" si="11"/>
        <v>-1.1350770333213902E-2</v>
      </c>
      <c r="F47" s="10">
        <f t="shared" si="12"/>
        <v>-5.7485294368553588E-3</v>
      </c>
      <c r="G47" s="10">
        <f t="shared" si="13"/>
        <v>-7.3982011632534282E-3</v>
      </c>
      <c r="H47" s="10">
        <f t="shared" si="14"/>
        <v>-1.1350770333213902E-2</v>
      </c>
      <c r="J47" s="10" t="s">
        <v>106</v>
      </c>
      <c r="K47" s="8">
        <f t="shared" si="15"/>
        <v>2.7227704537615889E-3</v>
      </c>
      <c r="L47" s="8">
        <f t="shared" si="16"/>
        <v>2.6934031299151624E-3</v>
      </c>
      <c r="M47" s="8">
        <f t="shared" si="17"/>
        <v>1.0202939625360806E-3</v>
      </c>
      <c r="N47" s="8">
        <f t="shared" si="18"/>
        <v>3.2430772380611134E-3</v>
      </c>
      <c r="O47" s="8">
        <f t="shared" si="19"/>
        <v>2.6470175875874307E-3</v>
      </c>
      <c r="P47" s="8">
        <f t="shared" si="20"/>
        <v>1.8607820218383439E-3</v>
      </c>
    </row>
    <row r="48" spans="1:16" x14ac:dyDescent="0.3">
      <c r="B48" s="10" t="s">
        <v>90</v>
      </c>
      <c r="C48" s="10">
        <f t="shared" si="9"/>
        <v>2.2402989805907055E-2</v>
      </c>
      <c r="D48" s="10">
        <f t="shared" si="10"/>
        <v>-3.3903466954921697E-3</v>
      </c>
      <c r="E48" s="10">
        <f t="shared" si="11"/>
        <v>-6.2896791049883542E-4</v>
      </c>
      <c r="F48" s="10">
        <f t="shared" si="12"/>
        <v>4.9417997223970191E-3</v>
      </c>
      <c r="G48" s="10">
        <f t="shared" si="13"/>
        <v>-5.9360692117378993E-3</v>
      </c>
      <c r="H48" s="10">
        <f t="shared" si="14"/>
        <v>1.2498311316820453E-3</v>
      </c>
      <c r="J48" s="10" t="s">
        <v>90</v>
      </c>
      <c r="K48" s="8">
        <f t="shared" si="15"/>
        <v>3.3635762927344348E-3</v>
      </c>
      <c r="L48" s="8">
        <f t="shared" si="16"/>
        <v>2.9159556443532188E-3</v>
      </c>
      <c r="M48" s="8">
        <f t="shared" si="17"/>
        <v>1.1998236707877249E-3</v>
      </c>
      <c r="N48" s="8">
        <f t="shared" si="18"/>
        <v>3.6558586171838861E-3</v>
      </c>
      <c r="O48" s="8">
        <f t="shared" si="19"/>
        <v>2.8841611164060659E-3</v>
      </c>
      <c r="P48" s="8">
        <f t="shared" si="20"/>
        <v>2.1006748859037543E-3</v>
      </c>
    </row>
    <row r="49" spans="2:16" x14ac:dyDescent="0.3">
      <c r="B49" s="10" t="s">
        <v>83</v>
      </c>
      <c r="C49" s="10">
        <f t="shared" si="9"/>
        <v>2.3246728748726152E-4</v>
      </c>
      <c r="D49" s="10">
        <f t="shared" si="10"/>
        <v>4.7205606398289905E-3</v>
      </c>
      <c r="E49" s="10">
        <f t="shared" si="11"/>
        <v>-9.9263684636411581E-4</v>
      </c>
      <c r="F49" s="10">
        <f t="shared" si="12"/>
        <v>-1.0241101098268039E-3</v>
      </c>
      <c r="G49" s="10">
        <f t="shared" si="13"/>
        <v>5.557969362278245E-3</v>
      </c>
      <c r="H49" s="10">
        <f t="shared" si="14"/>
        <v>4.1648507204069297E-3</v>
      </c>
      <c r="J49" s="10" t="s">
        <v>83</v>
      </c>
      <c r="K49" s="8">
        <f t="shared" si="15"/>
        <v>4.038101998970877E-3</v>
      </c>
      <c r="L49" s="8">
        <f t="shared" si="16"/>
        <v>3.3162283125542742E-3</v>
      </c>
      <c r="M49" s="8">
        <f t="shared" si="17"/>
        <v>1.5113989991908171E-3</v>
      </c>
      <c r="N49" s="8">
        <f t="shared" si="18"/>
        <v>4.1104510596786164E-3</v>
      </c>
      <c r="O49" s="8">
        <f t="shared" si="19"/>
        <v>3.26256898585657E-3</v>
      </c>
      <c r="P49" s="8">
        <f t="shared" si="20"/>
        <v>2.5259058683943111E-3</v>
      </c>
    </row>
    <row r="50" spans="2:16" x14ac:dyDescent="0.3">
      <c r="B50" s="10" t="s">
        <v>91</v>
      </c>
      <c r="C50" s="10">
        <f t="shared" si="9"/>
        <v>-3.8878136332738417E-3</v>
      </c>
      <c r="D50" s="10">
        <f t="shared" si="10"/>
        <v>-4.7590317546107649E-3</v>
      </c>
      <c r="E50" s="10">
        <f t="shared" si="11"/>
        <v>3.1710212198921894E-2</v>
      </c>
      <c r="F50" s="10">
        <f t="shared" si="12"/>
        <v>-4.8302466812593908E-3</v>
      </c>
      <c r="G50" s="10">
        <f t="shared" si="13"/>
        <v>2.4315799088827299E-2</v>
      </c>
      <c r="H50" s="10">
        <f t="shared" si="14"/>
        <v>3.5946719843055253E-2</v>
      </c>
      <c r="J50" s="10" t="s">
        <v>91</v>
      </c>
      <c r="K50" s="8">
        <f t="shared" si="15"/>
        <v>4.6585598346264301E-3</v>
      </c>
      <c r="L50" s="8">
        <f t="shared" si="16"/>
        <v>3.9252227195161219E-3</v>
      </c>
      <c r="M50" s="8">
        <f t="shared" si="17"/>
        <v>2.3790756001433179E-3</v>
      </c>
      <c r="N50" s="8">
        <f t="shared" si="18"/>
        <v>4.707754115619734E-3</v>
      </c>
      <c r="O50" s="8">
        <f t="shared" si="19"/>
        <v>4.2630002138437642E-3</v>
      </c>
      <c r="P50" s="8">
        <f t="shared" si="20"/>
        <v>3.601276938167764E-3</v>
      </c>
    </row>
    <row r="51" spans="2:16" x14ac:dyDescent="0.3">
      <c r="B51" s="10" t="s">
        <v>93</v>
      </c>
      <c r="C51" s="10">
        <f t="shared" si="9"/>
        <v>8.1985822252433546E-4</v>
      </c>
      <c r="D51" s="10">
        <f t="shared" si="10"/>
        <v>-9.3971542913359515E-3</v>
      </c>
      <c r="E51" s="10">
        <f t="shared" si="11"/>
        <v>-6.6357755063426171E-3</v>
      </c>
      <c r="F51" s="10">
        <f t="shared" si="12"/>
        <v>-9.4683692179845774E-3</v>
      </c>
      <c r="G51" s="10">
        <f t="shared" si="13"/>
        <v>-7.9903076376212061E-3</v>
      </c>
      <c r="H51" s="10">
        <f t="shared" si="14"/>
        <v>-1.7871730562522392E-2</v>
      </c>
      <c r="J51" s="10" t="s">
        <v>93</v>
      </c>
      <c r="K51" s="8">
        <f t="shared" si="15"/>
        <v>6.7923711172203482E-3</v>
      </c>
      <c r="L51" s="8">
        <f t="shared" si="16"/>
        <v>5.6038477187570221E-3</v>
      </c>
      <c r="M51" s="8">
        <f t="shared" si="17"/>
        <v>4.2169251889097774E-3</v>
      </c>
      <c r="N51" s="8">
        <f t="shared" si="18"/>
        <v>6.658095699763244E-3</v>
      </c>
      <c r="O51" s="8">
        <f t="shared" si="19"/>
        <v>6.6047699904974062E-3</v>
      </c>
      <c r="P51" s="8">
        <f t="shared" si="20"/>
        <v>5.7423921151711294E-3</v>
      </c>
    </row>
    <row r="52" spans="2:16" x14ac:dyDescent="0.3">
      <c r="B52" s="10" t="s">
        <v>92</v>
      </c>
      <c r="C52" s="10">
        <f t="shared" si="9"/>
        <v>-2.6178716412679371E-3</v>
      </c>
      <c r="D52" s="10">
        <f t="shared" si="10"/>
        <v>-9.7196193576204373E-3</v>
      </c>
      <c r="E52" s="10">
        <f t="shared" si="11"/>
        <v>4.277714483552672E-3</v>
      </c>
      <c r="F52" s="10">
        <f t="shared" si="12"/>
        <v>-4.1885933879105188E-3</v>
      </c>
      <c r="G52" s="10">
        <f t="shared" si="13"/>
        <v>-2.3839189489649817E-3</v>
      </c>
      <c r="H52" s="10">
        <f t="shared" si="14"/>
        <v>1.4592689617094763E-2</v>
      </c>
      <c r="J52" s="10" t="s">
        <v>92</v>
      </c>
      <c r="K52" s="8">
        <f t="shared" si="15"/>
        <v>7.5384050424651605E-3</v>
      </c>
      <c r="L52" s="8">
        <f t="shared" si="16"/>
        <v>6.0133358434192293E-3</v>
      </c>
      <c r="M52" s="8">
        <f t="shared" si="17"/>
        <v>4.9062999448468017E-3</v>
      </c>
      <c r="N52" s="8">
        <f t="shared" si="18"/>
        <v>7.1859428113775119E-3</v>
      </c>
      <c r="O52" s="8">
        <f t="shared" si="19"/>
        <v>7.1913816714651753E-3</v>
      </c>
      <c r="P52" s="8">
        <f t="shared" si="20"/>
        <v>6.4425348456103098E-3</v>
      </c>
    </row>
    <row r="53" spans="2:16" x14ac:dyDescent="0.3">
      <c r="B53" s="10" t="s">
        <v>77</v>
      </c>
      <c r="C53" s="10">
        <f t="shared" si="9"/>
        <v>9.1785512176990776E-3</v>
      </c>
      <c r="D53" s="10">
        <f t="shared" si="10"/>
        <v>6.5648968536883082E-3</v>
      </c>
      <c r="E53" s="10">
        <f t="shared" si="11"/>
        <v>-1.8858831959871016E-2</v>
      </c>
      <c r="F53" s="10">
        <f t="shared" si="12"/>
        <v>-7.6543501671539286E-3</v>
      </c>
      <c r="G53" s="10">
        <f t="shared" si="13"/>
        <v>-1.2929978204930304E-2</v>
      </c>
      <c r="H53" s="10">
        <f t="shared" si="14"/>
        <v>-5.7440778615103598E-3</v>
      </c>
      <c r="J53" s="10" t="s">
        <v>77</v>
      </c>
      <c r="K53" s="8">
        <f t="shared" si="15"/>
        <v>8.6362875330250419E-3</v>
      </c>
      <c r="L53" s="8">
        <f t="shared" si="16"/>
        <v>6.8722862226648605E-3</v>
      </c>
      <c r="M53" s="8">
        <f t="shared" si="17"/>
        <v>5.5093216961420921E-3</v>
      </c>
      <c r="N53" s="8">
        <f t="shared" si="18"/>
        <v>7.9238789747357163E-3</v>
      </c>
      <c r="O53" s="8">
        <f t="shared" si="19"/>
        <v>7.8640583864284259E-3</v>
      </c>
      <c r="P53" s="8">
        <f t="shared" si="20"/>
        <v>7.543532783948404E-3</v>
      </c>
    </row>
    <row r="54" spans="2:16" x14ac:dyDescent="0.3">
      <c r="B54" s="10" t="s">
        <v>79</v>
      </c>
      <c r="C54" s="10">
        <f t="shared" si="9"/>
        <v>-1.0328157596011212E-2</v>
      </c>
      <c r="D54" s="10">
        <f t="shared" si="10"/>
        <v>-2.7247994461616944E-3</v>
      </c>
      <c r="E54" s="10">
        <f t="shared" si="11"/>
        <v>2.7979581238249743E-3</v>
      </c>
      <c r="F54" s="10">
        <f t="shared" si="12"/>
        <v>-1.6872831540355303E-2</v>
      </c>
      <c r="G54" s="10">
        <f t="shared" si="13"/>
        <v>2.9733162635971352E-2</v>
      </c>
      <c r="H54" s="10">
        <f t="shared" si="14"/>
        <v>2.9506375880317882E-2</v>
      </c>
      <c r="J54" s="10" t="s">
        <v>79</v>
      </c>
      <c r="K54" s="8">
        <f t="shared" si="15"/>
        <v>9.74504163918068E-3</v>
      </c>
      <c r="L54" s="8">
        <f t="shared" si="16"/>
        <v>8.0029635207598312E-3</v>
      </c>
      <c r="M54" s="8">
        <f t="shared" si="17"/>
        <v>6.1895579289771721E-3</v>
      </c>
      <c r="N54" s="8">
        <f t="shared" si="18"/>
        <v>8.5419119277951264E-3</v>
      </c>
      <c r="O54" s="8">
        <f t="shared" si="19"/>
        <v>9.2926374016991404E-3</v>
      </c>
      <c r="P54" s="8">
        <f t="shared" si="20"/>
        <v>9.0951712471586104E-3</v>
      </c>
    </row>
    <row r="55" spans="2:16" x14ac:dyDescent="0.3">
      <c r="B55" s="10" t="s">
        <v>88</v>
      </c>
      <c r="C55" s="10">
        <f t="shared" si="9"/>
        <v>-4.8751271052593411E-3</v>
      </c>
      <c r="D55" s="10">
        <f t="shared" si="10"/>
        <v>-3.5022985504254006E-3</v>
      </c>
      <c r="E55" s="10">
        <f t="shared" si="11"/>
        <v>-9.2154960366185069E-3</v>
      </c>
      <c r="F55" s="10">
        <f t="shared" si="12"/>
        <v>-1.2048089748260467E-2</v>
      </c>
      <c r="G55" s="10">
        <f t="shared" si="13"/>
        <v>-4.6411744129563857E-3</v>
      </c>
      <c r="H55" s="10">
        <f t="shared" si="14"/>
        <v>-4.0580084698474614E-3</v>
      </c>
      <c r="J55" s="10" t="s">
        <v>88</v>
      </c>
      <c r="K55" s="8">
        <f t="shared" si="15"/>
        <v>1.0639851503106892E-2</v>
      </c>
      <c r="L55" s="8">
        <f t="shared" si="16"/>
        <v>9.0125038714026339E-3</v>
      </c>
      <c r="M55" s="8">
        <f t="shared" si="17"/>
        <v>7.1235391446825454E-3</v>
      </c>
      <c r="N55" s="8">
        <f t="shared" si="18"/>
        <v>9.1086294783051143E-3</v>
      </c>
      <c r="O55" s="8">
        <f t="shared" si="19"/>
        <v>1.0993665409567454E-2</v>
      </c>
      <c r="P55" s="8">
        <f t="shared" si="20"/>
        <v>1.0795684019477126E-2</v>
      </c>
    </row>
    <row r="56" spans="2:16" x14ac:dyDescent="0.3">
      <c r="B56" s="10" t="s">
        <v>80</v>
      </c>
      <c r="C56" s="10">
        <f t="shared" si="9"/>
        <v>-8.3361461127277169E-3</v>
      </c>
      <c r="D56" s="10">
        <f t="shared" si="10"/>
        <v>-1.2322629031572429E-2</v>
      </c>
      <c r="E56" s="10">
        <f t="shared" si="11"/>
        <v>-2.0797205302758869E-2</v>
      </c>
      <c r="F56" s="10">
        <f t="shared" si="12"/>
        <v>-6.7916030618625101E-3</v>
      </c>
      <c r="G56" s="10">
        <f t="shared" si="13"/>
        <v>9.4192513202373887E-4</v>
      </c>
      <c r="H56" s="10">
        <f t="shared" si="14"/>
        <v>2.1825745516913259E-2</v>
      </c>
      <c r="J56" s="10" t="s">
        <v>80</v>
      </c>
      <c r="K56" s="8">
        <f t="shared" si="15"/>
        <v>1.1402829075655947E-2</v>
      </c>
      <c r="L56" s="8">
        <f t="shared" si="16"/>
        <v>9.6936126411164194E-3</v>
      </c>
      <c r="M56" s="8">
        <f t="shared" si="17"/>
        <v>7.4776468504301509E-3</v>
      </c>
      <c r="N56" s="8">
        <f t="shared" si="18"/>
        <v>9.7286646654362163E-3</v>
      </c>
      <c r="O56" s="8">
        <f t="shared" si="19"/>
        <v>1.1960448108898869E-2</v>
      </c>
      <c r="P56" s="8">
        <f t="shared" si="20"/>
        <v>1.2205572948176514E-2</v>
      </c>
    </row>
    <row r="57" spans="2:16" x14ac:dyDescent="0.3">
      <c r="B57" s="10" t="s">
        <v>84</v>
      </c>
      <c r="C57" s="10">
        <f t="shared" si="9"/>
        <v>-5.6562091547039828E-3</v>
      </c>
      <c r="D57" s="10">
        <f t="shared" si="10"/>
        <v>-2.1232533142242924E-2</v>
      </c>
      <c r="E57" s="10">
        <f t="shared" si="11"/>
        <v>-9.9965780860631487E-3</v>
      </c>
      <c r="F57" s="10">
        <f t="shared" si="12"/>
        <v>-2.1232533142242924E-2</v>
      </c>
      <c r="G57" s="10">
        <f t="shared" si="13"/>
        <v>-1.5303679387302212E-2</v>
      </c>
      <c r="H57" s="10">
        <f t="shared" si="14"/>
        <v>-1.1396467568472431E-2</v>
      </c>
      <c r="J57" s="10" t="s">
        <v>84</v>
      </c>
      <c r="K57" s="8">
        <f t="shared" si="15"/>
        <v>1.2236818166090166E-2</v>
      </c>
      <c r="L57" s="8">
        <f t="shared" si="16"/>
        <v>1.0076456406488176E-2</v>
      </c>
      <c r="M57" s="8">
        <f t="shared" si="17"/>
        <v>7.872737007797944E-3</v>
      </c>
      <c r="N57" s="8">
        <f t="shared" si="18"/>
        <v>1.0229679833237493E-2</v>
      </c>
      <c r="O57" s="8">
        <f t="shared" si="19"/>
        <v>1.27982660244745E-2</v>
      </c>
      <c r="P57" s="8">
        <f t="shared" si="20"/>
        <v>1.3574898238483193E-2</v>
      </c>
    </row>
    <row r="58" spans="2:16" x14ac:dyDescent="0.3">
      <c r="B58" s="10" t="s">
        <v>85</v>
      </c>
      <c r="C58" s="10">
        <f t="shared" si="9"/>
        <v>-6.2957648695015477E-3</v>
      </c>
      <c r="D58" s="10">
        <f t="shared" si="10"/>
        <v>3.5516399565188352E-3</v>
      </c>
      <c r="E58" s="10">
        <f t="shared" si="11"/>
        <v>-2.1872088857040489E-2</v>
      </c>
      <c r="F58" s="10">
        <f t="shared" si="12"/>
        <v>-7.8664866161441294E-3</v>
      </c>
      <c r="G58" s="10">
        <f t="shared" si="13"/>
        <v>-1.1990665932139303E-2</v>
      </c>
      <c r="H58" s="10">
        <f t="shared" si="14"/>
        <v>-8.7573347586798328E-3</v>
      </c>
      <c r="J58" s="10" t="s">
        <v>85</v>
      </c>
      <c r="K58" s="8">
        <f t="shared" si="15"/>
        <v>1.3286782950538624E-2</v>
      </c>
      <c r="L58" s="8">
        <f t="shared" si="16"/>
        <v>1.0936044428520255E-2</v>
      </c>
      <c r="M58" s="8">
        <f t="shared" si="17"/>
        <v>8.3556294510042373E-3</v>
      </c>
      <c r="N58" s="8">
        <f t="shared" si="18"/>
        <v>1.0844144895507477E-2</v>
      </c>
      <c r="O58" s="8">
        <f t="shared" si="19"/>
        <v>1.3529572751489482E-2</v>
      </c>
      <c r="P58" s="8">
        <f t="shared" si="20"/>
        <v>1.4485776882367815E-2</v>
      </c>
    </row>
    <row r="59" spans="2:16" x14ac:dyDescent="0.3">
      <c r="B59" s="10" t="s">
        <v>78</v>
      </c>
      <c r="C59" s="10">
        <f t="shared" si="9"/>
        <v>-1.2193677720220009E-3</v>
      </c>
      <c r="D59" s="10">
        <f t="shared" si="10"/>
        <v>6.885600811324534E-3</v>
      </c>
      <c r="E59" s="10">
        <f t="shared" si="11"/>
        <v>-2.4251325488427893E-2</v>
      </c>
      <c r="F59" s="10">
        <f t="shared" si="12"/>
        <v>-2.148167830371131E-2</v>
      </c>
      <c r="G59" s="10">
        <f t="shared" si="13"/>
        <v>1.3919834079898261E-2</v>
      </c>
      <c r="H59" s="10">
        <f t="shared" si="14"/>
        <v>-2.2372526446247012E-2</v>
      </c>
      <c r="J59" s="10" t="s">
        <v>78</v>
      </c>
      <c r="K59" s="8">
        <f t="shared" si="15"/>
        <v>2.3326530202218733E-2</v>
      </c>
      <c r="L59" s="8">
        <f t="shared" si="16"/>
        <v>2.0149557597361974E-2</v>
      </c>
      <c r="M59" s="8">
        <f t="shared" si="17"/>
        <v>1.3955672124283905E-2</v>
      </c>
      <c r="N59" s="8">
        <f t="shared" si="18"/>
        <v>1.8588575523365906E-2</v>
      </c>
      <c r="O59" s="8">
        <f t="shared" si="19"/>
        <v>2.4055607167589772E-2</v>
      </c>
      <c r="P59" s="8">
        <f t="shared" si="20"/>
        <v>2.4433865293008547E-2</v>
      </c>
    </row>
    <row r="60" spans="2:16" x14ac:dyDescent="0.3">
      <c r="B60" s="10" t="s">
        <v>81</v>
      </c>
      <c r="C60" s="10">
        <f t="shared" si="9"/>
        <v>-1.4187519742474421E-2</v>
      </c>
      <c r="D60" s="10">
        <f t="shared" si="10"/>
        <v>-3.0635061851350287E-2</v>
      </c>
      <c r="E60" s="10">
        <f t="shared" si="11"/>
        <v>-1.6637728010177176E-2</v>
      </c>
      <c r="F60" s="10">
        <f t="shared" si="12"/>
        <v>-1.389955408892328E-2</v>
      </c>
      <c r="G60" s="10">
        <f t="shared" si="13"/>
        <v>-9.4653693478331698E-3</v>
      </c>
      <c r="H60" s="10">
        <f t="shared" si="14"/>
        <v>2.346241725452447E-4</v>
      </c>
      <c r="J60" s="10" t="s">
        <v>81</v>
      </c>
      <c r="K60" s="8">
        <f t="shared" si="15"/>
        <v>2.802248214387365E-2</v>
      </c>
      <c r="L60" s="8">
        <f t="shared" si="16"/>
        <v>2.4194945618179493E-2</v>
      </c>
      <c r="M60" s="8">
        <f t="shared" si="17"/>
        <v>1.6698497175914546E-2</v>
      </c>
      <c r="N60" s="8">
        <f t="shared" si="18"/>
        <v>2.2019712220251758E-2</v>
      </c>
      <c r="O60" s="8">
        <f t="shared" si="19"/>
        <v>2.9602749804212569E-2</v>
      </c>
      <c r="P60" s="8">
        <f t="shared" si="20"/>
        <v>2.8979600707191137E-2</v>
      </c>
    </row>
    <row r="61" spans="2:16" x14ac:dyDescent="0.3">
      <c r="B61" s="10" t="s">
        <v>95</v>
      </c>
      <c r="C61" s="10">
        <f t="shared" si="9"/>
        <v>1.8867460049045048E-2</v>
      </c>
      <c r="D61" s="10">
        <f t="shared" si="10"/>
        <v>4.1307926810753688E-2</v>
      </c>
      <c r="E61" s="10">
        <f t="shared" si="11"/>
        <v>-9.7299707325713899E-3</v>
      </c>
      <c r="F61" s="10">
        <f t="shared" si="12"/>
        <v>-4.2221496266009115E-3</v>
      </c>
      <c r="G61" s="10">
        <f t="shared" si="13"/>
        <v>3.3637262913118533E-2</v>
      </c>
      <c r="H61" s="10">
        <f t="shared" si="14"/>
        <v>3.1972000164463062E-2</v>
      </c>
      <c r="J61" s="10" t="s">
        <v>95</v>
      </c>
      <c r="K61" s="8">
        <f t="shared" si="15"/>
        <v>3.491265315416376E-2</v>
      </c>
      <c r="L61" s="8">
        <f t="shared" si="16"/>
        <v>3.092184928553645E-2</v>
      </c>
      <c r="M61" s="8">
        <f t="shared" si="17"/>
        <v>2.0986819592671471E-2</v>
      </c>
      <c r="N61" s="8">
        <f t="shared" si="18"/>
        <v>2.7255112722265551E-2</v>
      </c>
      <c r="O61" s="8">
        <f t="shared" si="19"/>
        <v>3.7514494641868353E-2</v>
      </c>
      <c r="P61" s="8">
        <f t="shared" si="20"/>
        <v>3.717139400062263E-2</v>
      </c>
    </row>
    <row r="62" spans="2:16" x14ac:dyDescent="0.3">
      <c r="B62" s="10" t="s">
        <v>94</v>
      </c>
      <c r="C62" s="10">
        <f t="shared" si="9"/>
        <v>-3.5081040415844873E-2</v>
      </c>
      <c r="D62" s="10">
        <f t="shared" si="10"/>
        <v>-3.0592947063503146E-2</v>
      </c>
      <c r="E62" s="10">
        <f t="shared" si="11"/>
        <v>-2.5070189493516477E-2</v>
      </c>
      <c r="F62" s="10">
        <f t="shared" si="12"/>
        <v>-2.5133136020441853E-2</v>
      </c>
      <c r="G62" s="10">
        <f t="shared" si="13"/>
        <v>-2.5802969171093419E-2</v>
      </c>
      <c r="H62" s="10">
        <f t="shared" si="14"/>
        <v>-4.4263411081285862E-2</v>
      </c>
      <c r="J62" s="10" t="s">
        <v>94</v>
      </c>
      <c r="K62" s="8">
        <f t="shared" si="15"/>
        <v>4.1765956663106035E-2</v>
      </c>
      <c r="L62" s="8">
        <f t="shared" si="16"/>
        <v>3.8678318323424561E-2</v>
      </c>
      <c r="M62" s="8">
        <f t="shared" si="17"/>
        <v>2.5640682933506166E-2</v>
      </c>
      <c r="N62" s="8">
        <f t="shared" si="18"/>
        <v>3.2760102249427173E-2</v>
      </c>
      <c r="O62" s="8">
        <f t="shared" si="19"/>
        <v>4.5756921952690953E-2</v>
      </c>
      <c r="P62" s="8">
        <f t="shared" si="20"/>
        <v>4.442458487762186E-2</v>
      </c>
    </row>
    <row r="63" spans="2:16" x14ac:dyDescent="0.3">
      <c r="B63" s="10" t="s">
        <v>82</v>
      </c>
      <c r="C63" s="10">
        <f t="shared" si="9"/>
        <v>2.2087685049072964E-3</v>
      </c>
      <c r="D63" s="10">
        <f t="shared" si="10"/>
        <v>-1.1493116494300688E-2</v>
      </c>
      <c r="E63" s="10">
        <f t="shared" si="11"/>
        <v>1.354973248684576E-2</v>
      </c>
      <c r="F63" s="10">
        <f t="shared" si="12"/>
        <v>-3.9860395609336532E-2</v>
      </c>
      <c r="G63" s="10">
        <f t="shared" si="13"/>
        <v>-3.2126867415450282E-2</v>
      </c>
      <c r="H63" s="10">
        <f t="shared" si="14"/>
        <v>-2.4357801128921414E-2</v>
      </c>
      <c r="J63" s="10" t="s">
        <v>82</v>
      </c>
      <c r="K63" s="8">
        <f t="shared" si="15"/>
        <v>5.1013281453180098E-2</v>
      </c>
      <c r="L63" s="8">
        <f t="shared" si="16"/>
        <v>4.7018625242152487E-2</v>
      </c>
      <c r="M63" s="8">
        <f t="shared" si="17"/>
        <v>3.3893212130483644E-2</v>
      </c>
      <c r="N63" s="8">
        <f t="shared" si="18"/>
        <v>3.9079253342325863E-2</v>
      </c>
      <c r="O63" s="8">
        <f t="shared" si="19"/>
        <v>5.4185361473850918E-2</v>
      </c>
      <c r="P63" s="8">
        <f t="shared" si="20"/>
        <v>5.2099899560061377E-2</v>
      </c>
    </row>
    <row r="64" spans="2:16" x14ac:dyDescent="0.3">
      <c r="B64" s="10" t="s">
        <v>98</v>
      </c>
      <c r="C64" s="10">
        <f t="shared" si="9"/>
        <v>-1.4070024812732514E-2</v>
      </c>
      <c r="D64" s="10">
        <f t="shared" si="10"/>
        <v>-1.4769628770442481E-3</v>
      </c>
      <c r="E64" s="10">
        <f t="shared" si="11"/>
        <v>0.11897628412352707</v>
      </c>
      <c r="F64" s="10">
        <f t="shared" si="12"/>
        <v>2.6035737118208085E-2</v>
      </c>
      <c r="G64" s="10">
        <f t="shared" si="13"/>
        <v>-2.5225874245705063E-2</v>
      </c>
      <c r="H64" s="10">
        <f t="shared" si="14"/>
        <v>-1.1618668906496876E-2</v>
      </c>
      <c r="J64" s="10" t="s">
        <v>98</v>
      </c>
      <c r="K64" s="8">
        <f t="shared" si="15"/>
        <v>6.3829476365397958E-2</v>
      </c>
      <c r="L64" s="8">
        <f t="shared" si="16"/>
        <v>5.9253259569196443E-2</v>
      </c>
      <c r="M64" s="8">
        <f t="shared" si="17"/>
        <v>5.3284514027834289E-2</v>
      </c>
      <c r="N64" s="8">
        <f t="shared" si="18"/>
        <v>5.0240067363383954E-2</v>
      </c>
      <c r="O64" s="8">
        <f t="shared" si="19"/>
        <v>6.4643992618849747E-2</v>
      </c>
      <c r="P64" s="8">
        <f t="shared" si="20"/>
        <v>6.3589770397824458E-2</v>
      </c>
    </row>
    <row r="65" spans="2:16" x14ac:dyDescent="0.3">
      <c r="B65" s="10" t="s">
        <v>89</v>
      </c>
      <c r="C65" s="10">
        <f t="shared" si="9"/>
        <v>-5.4986092368549996E-2</v>
      </c>
      <c r="D65" s="10">
        <f t="shared" si="10"/>
        <v>-2.5074270202648949E-2</v>
      </c>
      <c r="E65" s="10">
        <f t="shared" si="11"/>
        <v>-6.744715155858115E-2</v>
      </c>
      <c r="F65" s="10">
        <f t="shared" si="12"/>
        <v>-5.6242669765864062E-2</v>
      </c>
      <c r="G65" s="10">
        <f t="shared" si="13"/>
        <v>-5.9542013218660206E-2</v>
      </c>
      <c r="H65" s="10">
        <f t="shared" si="14"/>
        <v>-6.0889774509400821E-2</v>
      </c>
      <c r="J65" s="10" t="s">
        <v>89</v>
      </c>
      <c r="K65" s="8">
        <f t="shared" si="15"/>
        <v>7.4801202351572879E-2</v>
      </c>
      <c r="L65" s="8">
        <f t="shared" si="16"/>
        <v>7.2591425829998391E-2</v>
      </c>
      <c r="M65" s="8">
        <f t="shared" si="17"/>
        <v>7.123631737647898E-2</v>
      </c>
      <c r="N65" s="8">
        <f t="shared" si="18"/>
        <v>6.234610648272209E-2</v>
      </c>
      <c r="O65" s="8">
        <f t="shared" si="19"/>
        <v>7.4645068918587854E-2</v>
      </c>
      <c r="P65" s="8">
        <f t="shared" si="20"/>
        <v>7.4302435815354992E-2</v>
      </c>
    </row>
    <row r="66" spans="2:16" x14ac:dyDescent="0.3">
      <c r="B66" s="10" t="s">
        <v>99</v>
      </c>
      <c r="C66" s="10">
        <f t="shared" si="9"/>
        <v>7.9648837886799009E-2</v>
      </c>
      <c r="D66" s="10">
        <f t="shared" si="10"/>
        <v>0.20043135016305436</v>
      </c>
      <c r="E66" s="10">
        <f t="shared" si="11"/>
        <v>-5.7798139283975203E-4</v>
      </c>
      <c r="F66" s="10">
        <f t="shared" si="12"/>
        <v>7.2030837415582485E-2</v>
      </c>
      <c r="G66" s="10">
        <f t="shared" si="13"/>
        <v>7.096796167239984E-2</v>
      </c>
      <c r="H66" s="10">
        <f t="shared" si="14"/>
        <v>0.104376890590951</v>
      </c>
      <c r="J66" s="10" t="s">
        <v>99</v>
      </c>
      <c r="K66" s="8">
        <f t="shared" si="15"/>
        <v>0.10144359205322855</v>
      </c>
      <c r="L66" s="8">
        <f t="shared" si="16"/>
        <v>0.11078724592971362</v>
      </c>
      <c r="M66" s="8">
        <f t="shared" si="17"/>
        <v>8.9912318487594595E-2</v>
      </c>
      <c r="N66" s="8">
        <f t="shared" si="18"/>
        <v>8.6109553817944287E-2</v>
      </c>
      <c r="O66" s="8">
        <f t="shared" si="19"/>
        <v>0.10021143625119143</v>
      </c>
      <c r="P66" s="8">
        <f t="shared" si="20"/>
        <v>0.102349143323681</v>
      </c>
    </row>
    <row r="67" spans="2:16" x14ac:dyDescent="0.3">
      <c r="B67" s="10" t="s">
        <v>76</v>
      </c>
      <c r="C67" s="10">
        <f t="shared" si="9"/>
        <v>3.962151374411027E-3</v>
      </c>
      <c r="D67" s="10">
        <f t="shared" si="10"/>
        <v>-0.11539473124874752</v>
      </c>
      <c r="E67" s="10">
        <f t="shared" si="11"/>
        <v>0.11684674656500227</v>
      </c>
      <c r="F67" s="10">
        <f t="shared" si="12"/>
        <v>0.10454070055109105</v>
      </c>
      <c r="G67" s="10">
        <f t="shared" si="13"/>
        <v>1.6078438175785192E-2</v>
      </c>
      <c r="H67" s="10">
        <f t="shared" si="14"/>
        <v>-1.4116598434076755E-2</v>
      </c>
      <c r="J67" s="10" t="s">
        <v>76</v>
      </c>
      <c r="K67" s="8">
        <f t="shared" si="15"/>
        <v>0.4753247588209098</v>
      </c>
      <c r="L67" s="8">
        <f t="shared" si="16"/>
        <v>0.50831639531423656</v>
      </c>
      <c r="M67" s="8">
        <f t="shared" si="17"/>
        <v>0.44412213817285912</v>
      </c>
      <c r="N67" s="8">
        <f t="shared" si="18"/>
        <v>0.44752367303065993</v>
      </c>
      <c r="O67" s="8">
        <f t="shared" si="19"/>
        <v>0.47197567562591797</v>
      </c>
      <c r="P67" s="8">
        <f t="shared" si="20"/>
        <v>0.48032193643502852</v>
      </c>
    </row>
    <row r="68" spans="2:16" x14ac:dyDescent="0.3">
      <c r="J68" s="12" t="s">
        <v>174</v>
      </c>
      <c r="K68" s="11">
        <f>SUM(K36:K67)</f>
        <v>1.0032826474951198</v>
      </c>
      <c r="L68" s="11">
        <f t="shared" ref="L68:P68" si="21">SUM(L36:L67)</f>
        <v>1.0041286611323326</v>
      </c>
      <c r="M68" s="11">
        <f t="shared" si="21"/>
        <v>0.83140234058913309</v>
      </c>
      <c r="N68" s="11">
        <f t="shared" si="21"/>
        <v>0.88615337213351864</v>
      </c>
      <c r="O68" s="11">
        <f t="shared" si="21"/>
        <v>1.0073027574516058</v>
      </c>
      <c r="P68" s="11">
        <f t="shared" si="21"/>
        <v>1.0057981568390204</v>
      </c>
    </row>
    <row r="69" spans="2:16" x14ac:dyDescent="0.3">
      <c r="J69" s="13" t="s">
        <v>175</v>
      </c>
      <c r="K69" s="14">
        <f>1-K68</f>
        <v>-3.2826474951197504E-3</v>
      </c>
      <c r="L69" s="14">
        <f t="shared" ref="L69:P69" si="22">1-L68</f>
        <v>-4.1286611323325673E-3</v>
      </c>
      <c r="M69" s="14">
        <f t="shared" si="22"/>
        <v>0.16859765941086691</v>
      </c>
      <c r="N69" s="14">
        <f t="shared" si="22"/>
        <v>0.11384662786648136</v>
      </c>
      <c r="O69" s="14">
        <f t="shared" si="22"/>
        <v>-7.3027574516058014E-3</v>
      </c>
      <c r="P69" s="14">
        <f t="shared" si="22"/>
        <v>-5.7981568390204075E-3</v>
      </c>
    </row>
  </sheetData>
  <sortState xmlns:xlrd2="http://schemas.microsoft.com/office/spreadsheetml/2017/richdata2" ref="A2:P34">
    <sortCondition ref="B1:B34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0834-98C2-4FDF-83AF-C54AF94F0FE3}">
  <dimension ref="A1:P53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5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128</v>
      </c>
      <c r="B2" s="10">
        <v>7.007943845878069E-3</v>
      </c>
      <c r="C2" s="10">
        <v>1.7985611510791366E-2</v>
      </c>
      <c r="D2" s="10">
        <v>1.2422360248447204E-2</v>
      </c>
      <c r="E2" s="10">
        <v>1.3422818791946308E-2</v>
      </c>
      <c r="F2" s="10">
        <v>1.7977528089887642E-2</v>
      </c>
      <c r="G2" s="10">
        <v>1.6366612111292963E-3</v>
      </c>
      <c r="H2" s="10">
        <v>2.0050125313283207E-2</v>
      </c>
      <c r="I2" s="9">
        <v>7.007943845878069E-3</v>
      </c>
      <c r="J2" s="10">
        <v>7.007943845878069E-3</v>
      </c>
      <c r="K2" s="10">
        <v>1.7985611510791366E-2</v>
      </c>
      <c r="L2" s="10">
        <v>1.2422360248447204E-2</v>
      </c>
      <c r="M2" s="10">
        <v>1.3422818791946308E-2</v>
      </c>
      <c r="N2" s="10">
        <v>1.7977528089887642E-2</v>
      </c>
      <c r="O2" s="10">
        <v>1.6366612111292963E-3</v>
      </c>
      <c r="P2" s="10">
        <v>2.0050125313283207E-2</v>
      </c>
    </row>
    <row r="3" spans="1:16" x14ac:dyDescent="0.3">
      <c r="A3" s="10" t="s">
        <v>129</v>
      </c>
      <c r="B3" s="10">
        <v>7.3551333094326096E-3</v>
      </c>
      <c r="C3" s="10">
        <v>3.5971223021582736E-3</v>
      </c>
      <c r="D3" s="10">
        <v>6.2111801242236021E-3</v>
      </c>
      <c r="E3" s="10">
        <v>6.7114093959731542E-3</v>
      </c>
      <c r="F3" s="10">
        <v>2.2471910112359553E-3</v>
      </c>
      <c r="G3" s="10">
        <v>6.5466448445171853E-3</v>
      </c>
      <c r="H3" s="10">
        <v>0</v>
      </c>
      <c r="I3" s="10">
        <v>1.4363077155310679E-2</v>
      </c>
      <c r="J3" s="10">
        <f>J2+B3</f>
        <v>1.4363077155310679E-2</v>
      </c>
      <c r="K3" s="10">
        <f t="shared" ref="K3:P18" si="0">K2+C3</f>
        <v>2.1582733812949638E-2</v>
      </c>
      <c r="L3" s="10">
        <f t="shared" si="0"/>
        <v>1.8633540372670808E-2</v>
      </c>
      <c r="M3" s="10">
        <f t="shared" si="0"/>
        <v>2.0134228187919462E-2</v>
      </c>
      <c r="N3" s="10">
        <f t="shared" si="0"/>
        <v>2.0224719101123598E-2</v>
      </c>
      <c r="O3" s="10">
        <f t="shared" si="0"/>
        <v>8.1833060556464818E-3</v>
      </c>
      <c r="P3" s="10">
        <f t="shared" si="0"/>
        <v>2.0050125313283207E-2</v>
      </c>
    </row>
    <row r="4" spans="1:16" x14ac:dyDescent="0.3">
      <c r="A4" s="10" t="s">
        <v>127</v>
      </c>
      <c r="B4" s="10">
        <v>8.5250108496707361E-3</v>
      </c>
      <c r="C4" s="10">
        <v>7.1942446043165471E-3</v>
      </c>
      <c r="D4" s="10">
        <v>0</v>
      </c>
      <c r="E4" s="10">
        <v>6.7114093959731542E-3</v>
      </c>
      <c r="F4" s="10">
        <v>8.988764044943821E-3</v>
      </c>
      <c r="G4" s="10">
        <v>3.2733224222585926E-3</v>
      </c>
      <c r="H4" s="10">
        <v>2.5062656641604009E-3</v>
      </c>
      <c r="I4" s="10">
        <v>2.2888088004981415E-2</v>
      </c>
      <c r="J4" s="10">
        <f t="shared" ref="J4:P19" si="1">J3+B4</f>
        <v>2.2888088004981415E-2</v>
      </c>
      <c r="K4" s="10">
        <f t="shared" si="0"/>
        <v>2.8776978417266185E-2</v>
      </c>
      <c r="L4" s="10">
        <f t="shared" si="0"/>
        <v>1.8633540372670808E-2</v>
      </c>
      <c r="M4" s="10">
        <f t="shared" si="0"/>
        <v>2.6845637583892617E-2</v>
      </c>
      <c r="N4" s="10">
        <f t="shared" si="0"/>
        <v>2.921348314606742E-2</v>
      </c>
      <c r="O4" s="10">
        <f t="shared" si="0"/>
        <v>1.1456628477905075E-2</v>
      </c>
      <c r="P4" s="10">
        <f t="shared" si="0"/>
        <v>2.2556390977443608E-2</v>
      </c>
    </row>
    <row r="5" spans="1:16" x14ac:dyDescent="0.3">
      <c r="A5" s="10" t="s">
        <v>110</v>
      </c>
      <c r="B5" s="10">
        <v>1.0026982659395814E-2</v>
      </c>
      <c r="C5" s="10">
        <v>0</v>
      </c>
      <c r="D5" s="10">
        <v>6.2111801242236021E-3</v>
      </c>
      <c r="E5" s="10">
        <v>6.7114093959731542E-3</v>
      </c>
      <c r="F5" s="10">
        <v>2.2471910112359553E-3</v>
      </c>
      <c r="G5" s="10">
        <v>1.6366612111292963E-3</v>
      </c>
      <c r="H5" s="10">
        <v>1.5037593984962405E-2</v>
      </c>
      <c r="I5" s="10">
        <v>3.2915070664377231E-2</v>
      </c>
      <c r="J5" s="10">
        <f t="shared" si="1"/>
        <v>3.2915070664377231E-2</v>
      </c>
      <c r="K5" s="10">
        <f t="shared" si="0"/>
        <v>2.8776978417266185E-2</v>
      </c>
      <c r="L5" s="10">
        <f t="shared" si="0"/>
        <v>2.4844720496894408E-2</v>
      </c>
      <c r="M5" s="10">
        <f t="shared" si="0"/>
        <v>3.3557046979865772E-2</v>
      </c>
      <c r="N5" s="10">
        <f t="shared" si="0"/>
        <v>3.1460674157303373E-2</v>
      </c>
      <c r="O5" s="10">
        <f t="shared" si="0"/>
        <v>1.3093289689034371E-2</v>
      </c>
      <c r="P5" s="10">
        <f t="shared" si="0"/>
        <v>3.7593984962406013E-2</v>
      </c>
    </row>
    <row r="6" spans="1:16" x14ac:dyDescent="0.3">
      <c r="A6" s="10" t="s">
        <v>124</v>
      </c>
      <c r="B6" s="10">
        <v>1.0676076004302129E-2</v>
      </c>
      <c r="C6" s="10">
        <v>3.5971223021582736E-3</v>
      </c>
      <c r="D6" s="10">
        <v>2.4844720496894408E-2</v>
      </c>
      <c r="E6" s="10">
        <v>0</v>
      </c>
      <c r="F6" s="10">
        <v>1.7977528089887642E-2</v>
      </c>
      <c r="G6" s="10">
        <v>2.6186579378068741E-2</v>
      </c>
      <c r="H6" s="10">
        <v>1.5037593984962405E-2</v>
      </c>
      <c r="I6" s="10">
        <v>4.3591146668679359E-2</v>
      </c>
      <c r="J6" s="10">
        <f t="shared" si="1"/>
        <v>4.3591146668679359E-2</v>
      </c>
      <c r="K6" s="10">
        <f t="shared" si="0"/>
        <v>3.237410071942446E-2</v>
      </c>
      <c r="L6" s="10">
        <f t="shared" si="0"/>
        <v>4.9689440993788817E-2</v>
      </c>
      <c r="M6" s="10">
        <f t="shared" si="0"/>
        <v>3.3557046979865772E-2</v>
      </c>
      <c r="N6" s="10">
        <f t="shared" si="0"/>
        <v>4.9438202247191018E-2</v>
      </c>
      <c r="O6" s="10">
        <f t="shared" si="0"/>
        <v>3.927986906710311E-2</v>
      </c>
      <c r="P6" s="10">
        <f t="shared" si="0"/>
        <v>5.2631578947368418E-2</v>
      </c>
    </row>
    <row r="7" spans="1:16" x14ac:dyDescent="0.3">
      <c r="A7" s="10" t="s">
        <v>118</v>
      </c>
      <c r="B7" s="10">
        <v>1.1291205162556371E-2</v>
      </c>
      <c r="C7" s="10">
        <v>1.4388489208633094E-2</v>
      </c>
      <c r="D7" s="10">
        <v>0</v>
      </c>
      <c r="E7" s="10">
        <v>0</v>
      </c>
      <c r="F7" s="10">
        <v>8.988764044943821E-3</v>
      </c>
      <c r="G7" s="10">
        <v>2.6186579378068741E-2</v>
      </c>
      <c r="H7" s="10">
        <v>2.5062656641604009E-3</v>
      </c>
      <c r="I7" s="10">
        <v>5.4882351831235729E-2</v>
      </c>
      <c r="J7" s="10">
        <f t="shared" si="1"/>
        <v>5.4882351831235729E-2</v>
      </c>
      <c r="K7" s="10">
        <f t="shared" si="0"/>
        <v>4.6762589928057555E-2</v>
      </c>
      <c r="L7" s="10">
        <f t="shared" si="0"/>
        <v>4.9689440993788817E-2</v>
      </c>
      <c r="M7" s="10">
        <f t="shared" si="0"/>
        <v>3.3557046979865772E-2</v>
      </c>
      <c r="N7" s="10">
        <f t="shared" si="0"/>
        <v>5.8426966292134841E-2</v>
      </c>
      <c r="O7" s="10">
        <f t="shared" si="0"/>
        <v>6.5466448445171854E-2</v>
      </c>
      <c r="P7" s="10">
        <f t="shared" si="0"/>
        <v>5.5137844611528819E-2</v>
      </c>
    </row>
    <row r="8" spans="1:16" x14ac:dyDescent="0.3">
      <c r="A8" s="10" t="s">
        <v>123</v>
      </c>
      <c r="B8" s="10">
        <v>1.4683850029246938E-2</v>
      </c>
      <c r="C8" s="10">
        <v>2.1582733812949641E-2</v>
      </c>
      <c r="D8" s="10">
        <v>1.8633540372670808E-2</v>
      </c>
      <c r="E8" s="10">
        <v>1.3422818791946308E-2</v>
      </c>
      <c r="F8" s="10">
        <v>1.5730337078651686E-2</v>
      </c>
      <c r="G8" s="10">
        <v>1.8003273322422259E-2</v>
      </c>
      <c r="H8" s="10">
        <v>1.5037593984962405E-2</v>
      </c>
      <c r="I8" s="10">
        <v>6.9566201860482665E-2</v>
      </c>
      <c r="J8" s="10">
        <f t="shared" si="1"/>
        <v>6.9566201860482665E-2</v>
      </c>
      <c r="K8" s="10">
        <f t="shared" si="0"/>
        <v>6.83453237410072E-2</v>
      </c>
      <c r="L8" s="10">
        <f t="shared" si="0"/>
        <v>6.8322981366459618E-2</v>
      </c>
      <c r="M8" s="10">
        <f t="shared" si="0"/>
        <v>4.6979865771812082E-2</v>
      </c>
      <c r="N8" s="10">
        <f t="shared" si="0"/>
        <v>7.415730337078652E-2</v>
      </c>
      <c r="O8" s="10">
        <f t="shared" si="0"/>
        <v>8.346972176759411E-2</v>
      </c>
      <c r="P8" s="10">
        <f t="shared" si="0"/>
        <v>7.0175438596491224E-2</v>
      </c>
    </row>
    <row r="9" spans="1:16" x14ac:dyDescent="0.3">
      <c r="A9" s="10" t="s">
        <v>113</v>
      </c>
      <c r="B9" s="10">
        <v>1.6774534407607979E-2</v>
      </c>
      <c r="C9" s="10">
        <v>2.8776978417266189E-2</v>
      </c>
      <c r="D9" s="10">
        <v>3.1055900621118012E-2</v>
      </c>
      <c r="E9" s="10">
        <v>1.3422818791946308E-2</v>
      </c>
      <c r="F9" s="10">
        <v>1.1235955056179775E-2</v>
      </c>
      <c r="G9" s="10">
        <v>1.8003273322422259E-2</v>
      </c>
      <c r="H9" s="10">
        <v>1.2531328320802004E-2</v>
      </c>
      <c r="I9" s="10">
        <v>8.6340736268090648E-2</v>
      </c>
      <c r="J9" s="10">
        <f t="shared" si="1"/>
        <v>8.6340736268090648E-2</v>
      </c>
      <c r="K9" s="10">
        <f t="shared" si="0"/>
        <v>9.7122302158273388E-2</v>
      </c>
      <c r="L9" s="10">
        <f t="shared" si="0"/>
        <v>9.9378881987577633E-2</v>
      </c>
      <c r="M9" s="10">
        <f t="shared" si="0"/>
        <v>6.0402684563758392E-2</v>
      </c>
      <c r="N9" s="10">
        <f t="shared" si="0"/>
        <v>8.5393258426966295E-2</v>
      </c>
      <c r="O9" s="10">
        <f t="shared" si="0"/>
        <v>0.10147299509001637</v>
      </c>
      <c r="P9" s="10">
        <f t="shared" si="0"/>
        <v>8.2706766917293228E-2</v>
      </c>
    </row>
    <row r="10" spans="1:16" x14ac:dyDescent="0.3">
      <c r="A10" s="10" t="s">
        <v>121</v>
      </c>
      <c r="B10" s="10">
        <v>1.8016114119667151E-2</v>
      </c>
      <c r="C10" s="10">
        <v>1.4388489208633094E-2</v>
      </c>
      <c r="D10" s="10">
        <v>6.2111801242236021E-3</v>
      </c>
      <c r="E10" s="10">
        <v>6.7114093959731542E-3</v>
      </c>
      <c r="F10" s="10">
        <v>2.4719101123595506E-2</v>
      </c>
      <c r="G10" s="10">
        <v>1.8003273322422259E-2</v>
      </c>
      <c r="H10" s="10">
        <v>1.2531328320802004E-2</v>
      </c>
      <c r="I10" s="10">
        <v>0.1043568503877578</v>
      </c>
      <c r="J10" s="10">
        <f t="shared" si="1"/>
        <v>0.1043568503877578</v>
      </c>
      <c r="K10" s="10">
        <f t="shared" si="0"/>
        <v>0.11151079136690648</v>
      </c>
      <c r="L10" s="10">
        <f t="shared" si="0"/>
        <v>0.10559006211180123</v>
      </c>
      <c r="M10" s="10">
        <f t="shared" si="0"/>
        <v>6.7114093959731544E-2</v>
      </c>
      <c r="N10" s="10">
        <f t="shared" si="0"/>
        <v>0.1101123595505618</v>
      </c>
      <c r="O10" s="10">
        <f t="shared" si="0"/>
        <v>0.11947626841243862</v>
      </c>
      <c r="P10" s="10">
        <f t="shared" si="0"/>
        <v>9.5238095238095233E-2</v>
      </c>
    </row>
    <row r="11" spans="1:16" x14ac:dyDescent="0.3">
      <c r="A11" s="10" t="s">
        <v>126</v>
      </c>
      <c r="B11" s="10">
        <v>2.2122006906051286E-2</v>
      </c>
      <c r="C11" s="10">
        <v>1.7985611510791366E-2</v>
      </c>
      <c r="D11" s="10">
        <v>0</v>
      </c>
      <c r="E11" s="10">
        <v>2.0134228187919462E-2</v>
      </c>
      <c r="F11" s="10">
        <v>1.3483146067415731E-2</v>
      </c>
      <c r="G11" s="10">
        <v>1.1456628477905073E-2</v>
      </c>
      <c r="H11" s="10">
        <v>1.0025062656641603E-2</v>
      </c>
      <c r="I11" s="10">
        <v>0.12647885729380909</v>
      </c>
      <c r="J11" s="10">
        <f t="shared" si="1"/>
        <v>0.12647885729380909</v>
      </c>
      <c r="K11" s="10">
        <f t="shared" si="0"/>
        <v>0.12949640287769784</v>
      </c>
      <c r="L11" s="10">
        <f t="shared" si="0"/>
        <v>0.10559006211180123</v>
      </c>
      <c r="M11" s="10">
        <f t="shared" si="0"/>
        <v>8.7248322147651006E-2</v>
      </c>
      <c r="N11" s="10">
        <f t="shared" si="0"/>
        <v>0.12359550561797752</v>
      </c>
      <c r="O11" s="10">
        <f t="shared" si="0"/>
        <v>0.13093289689034371</v>
      </c>
      <c r="P11" s="10">
        <f t="shared" si="0"/>
        <v>0.10526315789473684</v>
      </c>
    </row>
    <row r="12" spans="1:16" x14ac:dyDescent="0.3">
      <c r="A12" s="10" t="s">
        <v>109</v>
      </c>
      <c r="B12" s="10">
        <v>2.245032737702134E-2</v>
      </c>
      <c r="C12" s="10">
        <v>2.1582733812949641E-2</v>
      </c>
      <c r="D12" s="10">
        <v>5.5900621118012424E-2</v>
      </c>
      <c r="E12" s="10">
        <v>2.6845637583892617E-2</v>
      </c>
      <c r="F12" s="10">
        <v>3.1460674157303373E-2</v>
      </c>
      <c r="G12" s="10">
        <v>1.8003273322422259E-2</v>
      </c>
      <c r="H12" s="10">
        <v>1.5037593984962405E-2</v>
      </c>
      <c r="I12" s="10">
        <v>0.14892918467083044</v>
      </c>
      <c r="J12" s="10">
        <f t="shared" si="1"/>
        <v>0.14892918467083044</v>
      </c>
      <c r="K12" s="10">
        <f t="shared" si="0"/>
        <v>0.15107913669064749</v>
      </c>
      <c r="L12" s="10">
        <f t="shared" si="0"/>
        <v>0.16149068322981366</v>
      </c>
      <c r="M12" s="10">
        <f t="shared" si="0"/>
        <v>0.11409395973154363</v>
      </c>
      <c r="N12" s="10">
        <f t="shared" si="0"/>
        <v>0.15505617977528091</v>
      </c>
      <c r="O12" s="10">
        <f t="shared" si="0"/>
        <v>0.14893617021276598</v>
      </c>
      <c r="P12" s="10">
        <f t="shared" si="0"/>
        <v>0.12030075187969924</v>
      </c>
    </row>
    <row r="13" spans="1:16" x14ac:dyDescent="0.3">
      <c r="A13" s="10" t="s">
        <v>130</v>
      </c>
      <c r="B13" s="10">
        <v>2.349566956620186E-2</v>
      </c>
      <c r="C13" s="10">
        <v>3.237410071942446E-2</v>
      </c>
      <c r="D13" s="10">
        <v>1.8633540372670808E-2</v>
      </c>
      <c r="E13" s="10">
        <v>0</v>
      </c>
      <c r="F13" s="10">
        <v>1.7977528089887642E-2</v>
      </c>
      <c r="G13" s="10">
        <v>2.2913256955810146E-2</v>
      </c>
      <c r="H13" s="10">
        <v>1.2531328320802004E-2</v>
      </c>
      <c r="I13" s="10">
        <v>0.1724248542370323</v>
      </c>
      <c r="J13" s="10">
        <f t="shared" si="1"/>
        <v>0.1724248542370323</v>
      </c>
      <c r="K13" s="10">
        <f t="shared" si="0"/>
        <v>0.18345323741007194</v>
      </c>
      <c r="L13" s="10">
        <f t="shared" si="0"/>
        <v>0.18012422360248448</v>
      </c>
      <c r="M13" s="10">
        <f t="shared" si="0"/>
        <v>0.11409395973154363</v>
      </c>
      <c r="N13" s="10">
        <f t="shared" si="0"/>
        <v>0.17303370786516856</v>
      </c>
      <c r="O13" s="10">
        <f t="shared" si="0"/>
        <v>0.17184942716857612</v>
      </c>
      <c r="P13" s="10">
        <f t="shared" si="0"/>
        <v>0.13283208020050125</v>
      </c>
    </row>
    <row r="14" spans="1:16" x14ac:dyDescent="0.3">
      <c r="A14" s="10" t="s">
        <v>131</v>
      </c>
      <c r="B14" s="10">
        <v>3.2650904768194426E-2</v>
      </c>
      <c r="C14" s="10">
        <v>1.7985611510791366E-2</v>
      </c>
      <c r="D14" s="10">
        <v>1.2422360248447204E-2</v>
      </c>
      <c r="E14" s="10">
        <v>2.6845637583892617E-2</v>
      </c>
      <c r="F14" s="10">
        <v>3.3707865168539325E-2</v>
      </c>
      <c r="G14" s="10">
        <v>5.4009819967266774E-2</v>
      </c>
      <c r="H14" s="10">
        <v>3.2581453634085211E-2</v>
      </c>
      <c r="I14" s="10">
        <v>0.20507575900522673</v>
      </c>
      <c r="J14" s="10">
        <f t="shared" si="1"/>
        <v>0.20507575900522673</v>
      </c>
      <c r="K14" s="10">
        <f t="shared" si="0"/>
        <v>0.20143884892086331</v>
      </c>
      <c r="L14" s="10">
        <f t="shared" si="0"/>
        <v>0.19254658385093168</v>
      </c>
      <c r="M14" s="10">
        <f t="shared" si="0"/>
        <v>0.14093959731543623</v>
      </c>
      <c r="N14" s="10">
        <f t="shared" si="0"/>
        <v>0.20674157303370788</v>
      </c>
      <c r="O14" s="10">
        <f t="shared" si="0"/>
        <v>0.22585924713584291</v>
      </c>
      <c r="P14" s="10">
        <f t="shared" si="0"/>
        <v>0.16541353383458646</v>
      </c>
    </row>
    <row r="15" spans="1:16" x14ac:dyDescent="0.3">
      <c r="A15" s="10" t="s">
        <v>116</v>
      </c>
      <c r="B15" s="10">
        <v>3.8534256656037137E-2</v>
      </c>
      <c r="C15" s="10">
        <v>3.237410071942446E-2</v>
      </c>
      <c r="D15" s="10">
        <v>0</v>
      </c>
      <c r="E15" s="10">
        <v>2.0134228187919462E-2</v>
      </c>
      <c r="F15" s="10">
        <v>1.1235955056179775E-2</v>
      </c>
      <c r="G15" s="10">
        <v>3.2733224222585927E-2</v>
      </c>
      <c r="H15" s="10">
        <v>0.12280701754385964</v>
      </c>
      <c r="I15" s="10">
        <v>0.24361001566126386</v>
      </c>
      <c r="J15" s="10">
        <f t="shared" si="1"/>
        <v>0.24361001566126386</v>
      </c>
      <c r="K15" s="10">
        <f t="shared" si="0"/>
        <v>0.23381294964028776</v>
      </c>
      <c r="L15" s="10">
        <f t="shared" si="0"/>
        <v>0.19254658385093168</v>
      </c>
      <c r="M15" s="10">
        <f t="shared" si="0"/>
        <v>0.16107382550335569</v>
      </c>
      <c r="N15" s="10">
        <f t="shared" si="0"/>
        <v>0.21797752808988766</v>
      </c>
      <c r="O15" s="10">
        <f t="shared" si="0"/>
        <v>0.25859247135842883</v>
      </c>
      <c r="P15" s="10">
        <f t="shared" si="0"/>
        <v>0.2882205513784461</v>
      </c>
    </row>
    <row r="16" spans="1:16" x14ac:dyDescent="0.3">
      <c r="A16" s="10" t="s">
        <v>115</v>
      </c>
      <c r="B16" s="10">
        <v>5.1810479838481423E-2</v>
      </c>
      <c r="C16" s="10">
        <v>2.1582733812949641E-2</v>
      </c>
      <c r="D16" s="10">
        <v>2.4844720496894408E-2</v>
      </c>
      <c r="E16" s="10">
        <v>2.6845637583892617E-2</v>
      </c>
      <c r="F16" s="10">
        <v>3.5955056179775284E-2</v>
      </c>
      <c r="G16" s="10">
        <v>7.5286415711947621E-2</v>
      </c>
      <c r="H16" s="10">
        <v>0.10776942355889724</v>
      </c>
      <c r="I16" s="10">
        <v>0.29542049549974531</v>
      </c>
      <c r="J16" s="10">
        <f t="shared" si="1"/>
        <v>0.29542049549974531</v>
      </c>
      <c r="K16" s="10">
        <f t="shared" si="0"/>
        <v>0.25539568345323738</v>
      </c>
      <c r="L16" s="10">
        <f t="shared" si="0"/>
        <v>0.21739130434782608</v>
      </c>
      <c r="M16" s="10">
        <f t="shared" si="0"/>
        <v>0.1879194630872483</v>
      </c>
      <c r="N16" s="10">
        <f t="shared" si="0"/>
        <v>0.25393258426966292</v>
      </c>
      <c r="O16" s="10">
        <f t="shared" si="0"/>
        <v>0.33387888707037644</v>
      </c>
      <c r="P16" s="10">
        <f t="shared" si="0"/>
        <v>0.39598997493734334</v>
      </c>
    </row>
    <row r="17" spans="1:16" x14ac:dyDescent="0.3">
      <c r="A17" s="10" t="s">
        <v>112</v>
      </c>
      <c r="B17" s="10">
        <v>5.6723965507481558E-2</v>
      </c>
      <c r="C17" s="10">
        <v>4.3165467625899283E-2</v>
      </c>
      <c r="D17" s="10">
        <v>1.2422360248447204E-2</v>
      </c>
      <c r="E17" s="10">
        <v>1.3422818791946308E-2</v>
      </c>
      <c r="F17" s="10">
        <v>1.7977528089887642E-2</v>
      </c>
      <c r="G17" s="10">
        <v>5.7283142389525366E-2</v>
      </c>
      <c r="H17" s="10">
        <v>2.2556390977443608E-2</v>
      </c>
      <c r="I17" s="10">
        <v>0.35214446100722685</v>
      </c>
      <c r="J17" s="10">
        <f t="shared" si="1"/>
        <v>0.35214446100722685</v>
      </c>
      <c r="K17" s="10">
        <f t="shared" si="0"/>
        <v>0.29856115107913667</v>
      </c>
      <c r="L17" s="10">
        <f t="shared" si="0"/>
        <v>0.22981366459627328</v>
      </c>
      <c r="M17" s="10">
        <f t="shared" si="0"/>
        <v>0.20134228187919462</v>
      </c>
      <c r="N17" s="10">
        <f t="shared" si="0"/>
        <v>0.27191011235955054</v>
      </c>
      <c r="O17" s="10">
        <f t="shared" si="0"/>
        <v>0.39116202945990181</v>
      </c>
      <c r="P17" s="10">
        <f t="shared" si="0"/>
        <v>0.41854636591478694</v>
      </c>
    </row>
    <row r="18" spans="1:16" x14ac:dyDescent="0.3">
      <c r="A18" s="10" t="s">
        <v>120</v>
      </c>
      <c r="B18" s="10">
        <v>5.8535388795592204E-2</v>
      </c>
      <c r="C18" s="10">
        <v>3.9568345323741004E-2</v>
      </c>
      <c r="D18" s="10">
        <v>3.7267080745341616E-2</v>
      </c>
      <c r="E18" s="10">
        <v>2.0134228187919462E-2</v>
      </c>
      <c r="F18" s="10">
        <v>7.1910112359550568E-2</v>
      </c>
      <c r="G18" s="10">
        <v>8.0196399345335512E-2</v>
      </c>
      <c r="H18" s="10">
        <v>5.2631578947368418E-2</v>
      </c>
      <c r="I18" s="10">
        <v>0.41067984980281907</v>
      </c>
      <c r="J18" s="10">
        <f t="shared" si="1"/>
        <v>0.41067984980281907</v>
      </c>
      <c r="K18" s="10">
        <f t="shared" si="0"/>
        <v>0.33812949640287765</v>
      </c>
      <c r="L18" s="10">
        <f t="shared" si="0"/>
        <v>0.26708074534161491</v>
      </c>
      <c r="M18" s="10">
        <f t="shared" si="0"/>
        <v>0.22147651006711408</v>
      </c>
      <c r="N18" s="10">
        <f t="shared" si="0"/>
        <v>0.34382022471910112</v>
      </c>
      <c r="O18" s="10">
        <f t="shared" si="0"/>
        <v>0.47135842880523732</v>
      </c>
      <c r="P18" s="10">
        <f t="shared" si="0"/>
        <v>0.47117794486215536</v>
      </c>
    </row>
    <row r="19" spans="1:16" x14ac:dyDescent="0.3">
      <c r="A19" s="10" t="s">
        <v>117</v>
      </c>
      <c r="B19" s="10">
        <v>5.860331716889635E-2</v>
      </c>
      <c r="C19" s="10">
        <v>0.14028776978417265</v>
      </c>
      <c r="D19" s="10">
        <v>0.12422360248447205</v>
      </c>
      <c r="E19" s="10">
        <v>0.11409395973154363</v>
      </c>
      <c r="F19" s="10">
        <v>0.11910112359550562</v>
      </c>
      <c r="G19" s="10">
        <v>9.3289689034369891E-2</v>
      </c>
      <c r="H19" s="10">
        <v>6.5162907268170422E-2</v>
      </c>
      <c r="I19" s="10">
        <v>0.4692831669717154</v>
      </c>
      <c r="J19" s="10">
        <f t="shared" si="1"/>
        <v>0.4692831669717154</v>
      </c>
      <c r="K19" s="10">
        <f t="shared" si="1"/>
        <v>0.47841726618705027</v>
      </c>
      <c r="L19" s="10">
        <f t="shared" si="1"/>
        <v>0.39130434782608697</v>
      </c>
      <c r="M19" s="10">
        <f t="shared" si="1"/>
        <v>0.33557046979865768</v>
      </c>
      <c r="N19" s="10">
        <f t="shared" si="1"/>
        <v>0.46292134831460674</v>
      </c>
      <c r="O19" s="10">
        <f t="shared" si="1"/>
        <v>0.56464811783960722</v>
      </c>
      <c r="P19" s="10">
        <f t="shared" si="1"/>
        <v>0.53634085213032578</v>
      </c>
    </row>
    <row r="20" spans="1:16" x14ac:dyDescent="0.3">
      <c r="A20" s="10" t="s">
        <v>119</v>
      </c>
      <c r="B20" s="10">
        <v>5.9792063701718967E-2</v>
      </c>
      <c r="C20" s="10">
        <v>3.5971223021582732E-2</v>
      </c>
      <c r="D20" s="10">
        <v>8.0745341614906832E-2</v>
      </c>
      <c r="E20" s="10">
        <v>3.3557046979865772E-2</v>
      </c>
      <c r="F20" s="10">
        <v>2.4719101123595506E-2</v>
      </c>
      <c r="G20" s="10">
        <v>3.4369885433715219E-2</v>
      </c>
      <c r="H20" s="10">
        <v>4.5112781954887216E-2</v>
      </c>
      <c r="I20" s="10">
        <v>0.52907523067343432</v>
      </c>
      <c r="J20" s="10">
        <f t="shared" ref="J20:P25" si="2">J19+B20</f>
        <v>0.52907523067343432</v>
      </c>
      <c r="K20" s="10">
        <f t="shared" si="2"/>
        <v>0.514388489208633</v>
      </c>
      <c r="L20" s="10">
        <f t="shared" si="2"/>
        <v>0.47204968944099379</v>
      </c>
      <c r="M20" s="10">
        <f t="shared" si="2"/>
        <v>0.36912751677852346</v>
      </c>
      <c r="N20" s="10">
        <f t="shared" si="2"/>
        <v>0.48764044943820223</v>
      </c>
      <c r="O20" s="10">
        <f t="shared" si="2"/>
        <v>0.59901800327332244</v>
      </c>
      <c r="P20" s="10">
        <f t="shared" si="2"/>
        <v>0.581453634085213</v>
      </c>
    </row>
    <row r="21" spans="1:16" x14ac:dyDescent="0.3">
      <c r="A21" s="10" t="s">
        <v>125</v>
      </c>
      <c r="B21" s="10">
        <v>6.2037473819272791E-2</v>
      </c>
      <c r="C21" s="10">
        <v>3.237410071942446E-2</v>
      </c>
      <c r="D21" s="10">
        <v>6.8322981366459631E-2</v>
      </c>
      <c r="E21" s="10">
        <v>4.0268456375838924E-2</v>
      </c>
      <c r="F21" s="10">
        <v>5.6179775280898875E-2</v>
      </c>
      <c r="G21" s="10">
        <v>6.5466448445171854E-2</v>
      </c>
      <c r="H21" s="10">
        <v>8.5213032581453629E-2</v>
      </c>
      <c r="I21" s="10">
        <v>0.59111270449270714</v>
      </c>
      <c r="J21" s="10">
        <f t="shared" si="2"/>
        <v>0.59111270449270714</v>
      </c>
      <c r="K21" s="10">
        <f t="shared" si="2"/>
        <v>0.54676258992805749</v>
      </c>
      <c r="L21" s="10">
        <f t="shared" si="2"/>
        <v>0.54037267080745344</v>
      </c>
      <c r="M21" s="10">
        <f t="shared" si="2"/>
        <v>0.40939597315436238</v>
      </c>
      <c r="N21" s="10">
        <f t="shared" si="2"/>
        <v>0.54382022471910108</v>
      </c>
      <c r="O21" s="10">
        <f t="shared" si="2"/>
        <v>0.66448445171849424</v>
      </c>
      <c r="P21" s="10">
        <f t="shared" si="2"/>
        <v>0.66666666666666663</v>
      </c>
    </row>
    <row r="22" spans="1:16" x14ac:dyDescent="0.3">
      <c r="A22" s="10" t="s">
        <v>111</v>
      </c>
      <c r="B22" s="10">
        <v>7.2641847651753869E-2</v>
      </c>
      <c r="C22" s="10">
        <v>0.19784172661870503</v>
      </c>
      <c r="D22" s="10">
        <v>0.19254658385093168</v>
      </c>
      <c r="E22" s="10">
        <v>0.34899328859060402</v>
      </c>
      <c r="F22" s="10">
        <v>0.17752808988764046</v>
      </c>
      <c r="G22" s="10">
        <v>0.10147299509001637</v>
      </c>
      <c r="H22" s="10">
        <v>0.19047619047619047</v>
      </c>
      <c r="I22" s="10">
        <v>0.663754552144461</v>
      </c>
      <c r="J22" s="10">
        <f t="shared" si="2"/>
        <v>0.663754552144461</v>
      </c>
      <c r="K22" s="10">
        <f t="shared" si="2"/>
        <v>0.74460431654676251</v>
      </c>
      <c r="L22" s="10">
        <f t="shared" si="2"/>
        <v>0.73291925465838514</v>
      </c>
      <c r="M22" s="10">
        <f t="shared" si="2"/>
        <v>0.75838926174496635</v>
      </c>
      <c r="N22" s="10">
        <f t="shared" si="2"/>
        <v>0.72134831460674154</v>
      </c>
      <c r="O22" s="10">
        <f t="shared" si="2"/>
        <v>0.76595744680851063</v>
      </c>
      <c r="P22" s="10">
        <f t="shared" si="2"/>
        <v>0.8571428571428571</v>
      </c>
    </row>
    <row r="23" spans="1:16" x14ac:dyDescent="0.3">
      <c r="A23" s="10" t="s">
        <v>122</v>
      </c>
      <c r="B23" s="10">
        <v>7.9230899862256357E-2</v>
      </c>
      <c r="C23" s="10">
        <v>3.237410071942446E-2</v>
      </c>
      <c r="D23" s="10">
        <v>1.8633540372670808E-2</v>
      </c>
      <c r="E23" s="10">
        <v>5.3691275167785234E-2</v>
      </c>
      <c r="F23" s="10">
        <v>3.1460674157303373E-2</v>
      </c>
      <c r="G23" s="10">
        <v>5.0736497545008183E-2</v>
      </c>
      <c r="H23" s="10">
        <v>4.0100250626566414E-2</v>
      </c>
      <c r="I23" s="10">
        <v>0.7429854520067174</v>
      </c>
      <c r="J23" s="10">
        <f t="shared" si="2"/>
        <v>0.7429854520067174</v>
      </c>
      <c r="K23" s="10">
        <f t="shared" si="2"/>
        <v>0.77697841726618699</v>
      </c>
      <c r="L23" s="10">
        <f t="shared" si="2"/>
        <v>0.75155279503105599</v>
      </c>
      <c r="M23" s="10">
        <f t="shared" si="2"/>
        <v>0.81208053691275162</v>
      </c>
      <c r="N23" s="10">
        <f t="shared" si="2"/>
        <v>0.7528089887640449</v>
      </c>
      <c r="O23" s="10">
        <f t="shared" si="2"/>
        <v>0.81669394435351883</v>
      </c>
      <c r="P23" s="10">
        <f t="shared" si="2"/>
        <v>0.89724310776942351</v>
      </c>
    </row>
    <row r="24" spans="1:16" x14ac:dyDescent="0.3">
      <c r="A24" s="10" t="s">
        <v>114</v>
      </c>
      <c r="B24" s="10">
        <v>8.1385738815404646E-2</v>
      </c>
      <c r="C24" s="10">
        <v>8.6330935251798566E-2</v>
      </c>
      <c r="D24" s="10">
        <v>9.3167701863354033E-2</v>
      </c>
      <c r="E24" s="10">
        <v>7.3825503355704702E-2</v>
      </c>
      <c r="F24" s="10">
        <v>0.12134831460674157</v>
      </c>
      <c r="G24" s="10">
        <v>6.7103109656301146E-2</v>
      </c>
      <c r="H24" s="10">
        <v>5.2631578947368418E-2</v>
      </c>
      <c r="I24" s="16">
        <v>0.82437119082212207</v>
      </c>
      <c r="J24" s="16">
        <f t="shared" si="2"/>
        <v>0.82437119082212207</v>
      </c>
      <c r="K24" s="16">
        <f t="shared" si="2"/>
        <v>0.86330935251798557</v>
      </c>
      <c r="L24" s="16">
        <f t="shared" si="2"/>
        <v>0.84472049689440998</v>
      </c>
      <c r="M24" s="16">
        <f t="shared" si="2"/>
        <v>0.88590604026845632</v>
      </c>
      <c r="N24" s="16">
        <f t="shared" si="2"/>
        <v>0.87415730337078645</v>
      </c>
      <c r="O24" s="16">
        <f t="shared" si="2"/>
        <v>0.88379705400982</v>
      </c>
      <c r="P24" s="16">
        <f t="shared" si="2"/>
        <v>0.94987468671679198</v>
      </c>
    </row>
    <row r="25" spans="1:16" x14ac:dyDescent="0.3">
      <c r="A25" s="10" t="s">
        <v>108</v>
      </c>
      <c r="B25" s="10">
        <v>0.17562880917787799</v>
      </c>
      <c r="C25" s="10">
        <v>0.1366906474820144</v>
      </c>
      <c r="D25" s="10">
        <v>0.15527950310559005</v>
      </c>
      <c r="E25" s="10">
        <v>0.11409395973154363</v>
      </c>
      <c r="F25" s="10">
        <v>0.12584269662921349</v>
      </c>
      <c r="G25" s="10">
        <v>0.11620294599018004</v>
      </c>
      <c r="H25" s="10">
        <v>5.0125313283208017E-2</v>
      </c>
      <c r="I25" s="10">
        <v>1</v>
      </c>
      <c r="J25" s="10">
        <f t="shared" si="2"/>
        <v>1</v>
      </c>
      <c r="K25" s="10">
        <f t="shared" si="2"/>
        <v>1</v>
      </c>
      <c r="L25" s="10">
        <f t="shared" si="2"/>
        <v>1</v>
      </c>
      <c r="M25" s="10">
        <f t="shared" si="2"/>
        <v>1</v>
      </c>
      <c r="N25" s="10">
        <f t="shared" si="2"/>
        <v>1</v>
      </c>
      <c r="O25" s="10">
        <f t="shared" si="2"/>
        <v>1</v>
      </c>
      <c r="P25" s="10">
        <f t="shared" si="2"/>
        <v>1</v>
      </c>
    </row>
    <row r="27" spans="1:16" ht="28.8" x14ac:dyDescent="0.3">
      <c r="B27" s="1" t="s">
        <v>154</v>
      </c>
      <c r="C27" s="3" t="s">
        <v>162</v>
      </c>
      <c r="D27" s="3" t="s">
        <v>163</v>
      </c>
      <c r="E27" s="3" t="s">
        <v>164</v>
      </c>
      <c r="F27" s="3" t="s">
        <v>165</v>
      </c>
      <c r="G27" s="3" t="s">
        <v>166</v>
      </c>
      <c r="H27" s="3" t="s">
        <v>167</v>
      </c>
      <c r="J27" s="8"/>
      <c r="K27" s="11" t="s">
        <v>168</v>
      </c>
      <c r="L27" s="11" t="s">
        <v>169</v>
      </c>
      <c r="M27" s="11" t="s">
        <v>170</v>
      </c>
      <c r="N27" s="11" t="s">
        <v>171</v>
      </c>
      <c r="O27" s="11" t="s">
        <v>172</v>
      </c>
      <c r="P27" s="11" t="s">
        <v>173</v>
      </c>
    </row>
    <row r="28" spans="1:16" x14ac:dyDescent="0.3">
      <c r="B28" s="10" t="s">
        <v>128</v>
      </c>
      <c r="C28" s="10">
        <f>C2-B2</f>
        <v>1.0977667664913298E-2</v>
      </c>
      <c r="D28" s="10">
        <f>D2-B2</f>
        <v>5.4144164025691352E-3</v>
      </c>
      <c r="E28" s="10">
        <f>E2-B2</f>
        <v>6.4148749460682395E-3</v>
      </c>
      <c r="F28" s="10">
        <f>F2-B2</f>
        <v>1.0969584244009574E-2</v>
      </c>
      <c r="G28" s="10">
        <f>G2-B2</f>
        <v>-5.3712826347487724E-3</v>
      </c>
      <c r="H28" s="10">
        <f>H2-B2</f>
        <v>1.3042181467405139E-2</v>
      </c>
      <c r="J28" s="10" t="s">
        <v>128</v>
      </c>
      <c r="K28" s="8">
        <f>(J2-0) * ((K2+0))</f>
        <v>1.2604215550140411E-4</v>
      </c>
      <c r="L28" s="8">
        <f>(J2-0) * ((L2+0))</f>
        <v>8.705520305438594E-5</v>
      </c>
      <c r="M28" s="8">
        <f>(J2-0) * ((M2+0))</f>
        <v>9.4066360347356626E-5</v>
      </c>
      <c r="N28" s="8">
        <f>(J2-0) * ((N2+0))</f>
        <v>1.2598550734162822E-4</v>
      </c>
      <c r="O28" s="8">
        <f>(J2-0) * ((O2+0))</f>
        <v>1.14696298623209E-5</v>
      </c>
      <c r="P28" s="8">
        <f>(J2-0) * ((P2+0))</f>
        <v>1.4051015229830715E-4</v>
      </c>
    </row>
    <row r="29" spans="1:16" x14ac:dyDescent="0.3">
      <c r="B29" s="10" t="s">
        <v>129</v>
      </c>
      <c r="C29" s="10">
        <f t="shared" ref="C29:C51" si="3">C3-B3</f>
        <v>-3.758011007274336E-3</v>
      </c>
      <c r="D29" s="10">
        <f t="shared" ref="D29:D51" si="4">D3-B3</f>
        <v>-1.1439531852090075E-3</v>
      </c>
      <c r="E29" s="10">
        <f t="shared" ref="E29:E51" si="5">E3-B3</f>
        <v>-6.4372391345945534E-4</v>
      </c>
      <c r="F29" s="10">
        <f t="shared" ref="F29:F51" si="6">F3-B3</f>
        <v>-5.1079422981966539E-3</v>
      </c>
      <c r="G29" s="10">
        <f t="shared" ref="G29:G51" si="7">G3-B3</f>
        <v>-8.084884649154243E-4</v>
      </c>
      <c r="H29" s="10">
        <f t="shared" ref="H29:H51" si="8">H3-B3</f>
        <v>-7.3551333094326096E-3</v>
      </c>
      <c r="J29" s="10" t="s">
        <v>129</v>
      </c>
      <c r="K29" s="8">
        <f>(J3-J2) * ((K3+K2))</f>
        <v>2.9103045468977954E-4</v>
      </c>
      <c r="L29" s="8">
        <f>(J3-J2) * ((L3+L2))</f>
        <v>2.28420289112814E-4</v>
      </c>
      <c r="M29" s="8">
        <f>(J3-J2) * ((M3+M2))</f>
        <v>2.4681655400780574E-4</v>
      </c>
      <c r="N29" s="8">
        <f>(J3-J2) * ((N3+N2))</f>
        <v>2.8098262080978519E-4</v>
      </c>
      <c r="O29" s="8">
        <f>(J3-J2) * ((O3+O2))</f>
        <v>7.2227168341400429E-5</v>
      </c>
      <c r="P29" s="8">
        <f>(J3-J2) * ((P3+P2))</f>
        <v>2.9494268910005455E-4</v>
      </c>
    </row>
    <row r="30" spans="1:16" x14ac:dyDescent="0.3">
      <c r="B30" s="10" t="s">
        <v>127</v>
      </c>
      <c r="C30" s="10">
        <f t="shared" si="3"/>
        <v>-1.3307662453541889E-3</v>
      </c>
      <c r="D30" s="10">
        <f t="shared" si="4"/>
        <v>-8.5250108496707361E-3</v>
      </c>
      <c r="E30" s="10">
        <f t="shared" si="5"/>
        <v>-1.8136014536975819E-3</v>
      </c>
      <c r="F30" s="10">
        <f t="shared" si="6"/>
        <v>4.6375319527308494E-4</v>
      </c>
      <c r="G30" s="10">
        <f t="shared" si="7"/>
        <v>-5.251688427412143E-3</v>
      </c>
      <c r="H30" s="10">
        <f t="shared" si="8"/>
        <v>-6.0187451855103352E-3</v>
      </c>
      <c r="J30" s="10" t="s">
        <v>127</v>
      </c>
      <c r="K30" s="8">
        <f t="shared" ref="K30:K51" si="9">(J4-J3) * ((K4+K3))</f>
        <v>4.2931709314888593E-4</v>
      </c>
      <c r="L30" s="8">
        <f t="shared" ref="L30:L51" si="10">(J4-J3) * ((L4+L3))</f>
        <v>3.1770226768959266E-4</v>
      </c>
      <c r="M30" s="8">
        <f t="shared" ref="M30:M51" si="11">(J4-J3) * ((M4+M3))</f>
        <v>4.0050386542077283E-4</v>
      </c>
      <c r="N30" s="8">
        <f t="shared" ref="N30:N51" si="12">(J4-J3) * ((N4+N3))</f>
        <v>4.2146121054551959E-4</v>
      </c>
      <c r="O30" s="8">
        <f t="shared" ref="O30:O51" si="13">(J4-J3) * ((O4+O3))</f>
        <v>1.6743065498534996E-4</v>
      </c>
      <c r="P30" s="8">
        <f t="shared" ref="P30:P51" si="14">(J4-J3) * ((P4+P3))</f>
        <v>3.6322101364511905E-4</v>
      </c>
    </row>
    <row r="31" spans="1:16" x14ac:dyDescent="0.3">
      <c r="B31" s="10" t="s">
        <v>110</v>
      </c>
      <c r="C31" s="10">
        <f t="shared" si="3"/>
        <v>-1.0026982659395814E-2</v>
      </c>
      <c r="D31" s="10">
        <f t="shared" si="4"/>
        <v>-3.8158025351722122E-3</v>
      </c>
      <c r="E31" s="10">
        <f t="shared" si="5"/>
        <v>-3.31557326342266E-3</v>
      </c>
      <c r="F31" s="10">
        <f t="shared" si="6"/>
        <v>-7.7797916481598586E-3</v>
      </c>
      <c r="G31" s="10">
        <f t="shared" si="7"/>
        <v>-8.3903214482665186E-3</v>
      </c>
      <c r="H31" s="10">
        <f t="shared" si="8"/>
        <v>5.0106113255665909E-3</v>
      </c>
      <c r="J31" s="10" t="s">
        <v>110</v>
      </c>
      <c r="K31" s="8">
        <f t="shared" si="9"/>
        <v>5.7709252715947143E-4</v>
      </c>
      <c r="L31" s="8">
        <f t="shared" si="10"/>
        <v>4.3595576779981805E-4</v>
      </c>
      <c r="M31" s="8">
        <f t="shared" si="11"/>
        <v>6.0565667070176061E-4</v>
      </c>
      <c r="N31" s="8">
        <f t="shared" si="12"/>
        <v>6.0837872315435294E-4</v>
      </c>
      <c r="O31" s="8">
        <f t="shared" si="13"/>
        <v>2.4616160374948812E-4</v>
      </c>
      <c r="P31" s="8">
        <f t="shared" si="14"/>
        <v>6.0312677650501149E-4</v>
      </c>
    </row>
    <row r="32" spans="1:16" x14ac:dyDescent="0.3">
      <c r="B32" s="10" t="s">
        <v>124</v>
      </c>
      <c r="C32" s="10">
        <f t="shared" si="3"/>
        <v>-7.0789537021438559E-3</v>
      </c>
      <c r="D32" s="10">
        <f t="shared" si="4"/>
        <v>1.4168644492592279E-2</v>
      </c>
      <c r="E32" s="10">
        <f t="shared" si="5"/>
        <v>-1.0676076004302129E-2</v>
      </c>
      <c r="F32" s="10">
        <f t="shared" si="6"/>
        <v>7.3014520855855126E-3</v>
      </c>
      <c r="G32" s="10">
        <f t="shared" si="7"/>
        <v>1.5510503373766612E-2</v>
      </c>
      <c r="H32" s="10">
        <f t="shared" si="8"/>
        <v>4.3615179806602757E-3</v>
      </c>
      <c r="J32" s="10" t="s">
        <v>124</v>
      </c>
      <c r="K32" s="8">
        <f t="shared" si="9"/>
        <v>6.5285356860840342E-4</v>
      </c>
      <c r="L32" s="8">
        <f t="shared" si="10"/>
        <v>7.9573237299146297E-4</v>
      </c>
      <c r="M32" s="8">
        <f t="shared" si="11"/>
        <v>7.165151680739683E-4</v>
      </c>
      <c r="N32" s="8">
        <f t="shared" si="12"/>
        <v>8.6368255315702621E-4</v>
      </c>
      <c r="O32" s="8">
        <f t="shared" si="13"/>
        <v>5.5913982346590522E-4</v>
      </c>
      <c r="P32" s="8">
        <f t="shared" si="14"/>
        <v>9.6325497783177083E-4</v>
      </c>
    </row>
    <row r="33" spans="2:16" x14ac:dyDescent="0.3">
      <c r="B33" s="10" t="s">
        <v>118</v>
      </c>
      <c r="C33" s="10">
        <f t="shared" si="3"/>
        <v>3.0972840460767228E-3</v>
      </c>
      <c r="D33" s="10">
        <f t="shared" si="4"/>
        <v>-1.1291205162556371E-2</v>
      </c>
      <c r="E33" s="10">
        <f t="shared" si="5"/>
        <v>-1.1291205162556371E-2</v>
      </c>
      <c r="F33" s="10">
        <f t="shared" si="6"/>
        <v>-2.3024411176125505E-3</v>
      </c>
      <c r="G33" s="10">
        <f t="shared" si="7"/>
        <v>1.489537421551237E-2</v>
      </c>
      <c r="H33" s="10">
        <f t="shared" si="8"/>
        <v>-8.7849394983959706E-3</v>
      </c>
      <c r="J33" s="10" t="s">
        <v>118</v>
      </c>
      <c r="K33" s="8">
        <f t="shared" si="9"/>
        <v>8.9354860998647537E-4</v>
      </c>
      <c r="L33" s="8">
        <f t="shared" si="10"/>
        <v>1.1221073453472168E-3</v>
      </c>
      <c r="M33" s="8">
        <f t="shared" si="11"/>
        <v>7.5779900419841405E-4</v>
      </c>
      <c r="N33" s="8">
        <f t="shared" si="12"/>
        <v>1.217927747871249E-3</v>
      </c>
      <c r="O33" s="8">
        <f t="shared" si="13"/>
        <v>1.1827121610533677E-3</v>
      </c>
      <c r="P33" s="8">
        <f t="shared" si="14"/>
        <v>1.2168466716539446E-3</v>
      </c>
    </row>
    <row r="34" spans="2:16" x14ac:dyDescent="0.3">
      <c r="B34" s="10" t="s">
        <v>123</v>
      </c>
      <c r="C34" s="10">
        <f t="shared" si="3"/>
        <v>6.8988837837027032E-3</v>
      </c>
      <c r="D34" s="10">
        <f t="shared" si="4"/>
        <v>3.9496903434238697E-3</v>
      </c>
      <c r="E34" s="10">
        <f t="shared" si="5"/>
        <v>-1.2610312373006298E-3</v>
      </c>
      <c r="F34" s="10">
        <f t="shared" si="6"/>
        <v>1.0464870494047481E-3</v>
      </c>
      <c r="G34" s="10">
        <f t="shared" si="7"/>
        <v>3.319423293175321E-3</v>
      </c>
      <c r="H34" s="10">
        <f t="shared" si="8"/>
        <v>3.5374395571546695E-4</v>
      </c>
      <c r="J34" s="10" t="s">
        <v>123</v>
      </c>
      <c r="K34" s="8">
        <f t="shared" si="9"/>
        <v>1.6902273414960503E-3</v>
      </c>
      <c r="L34" s="8">
        <f t="shared" si="10"/>
        <v>1.7328767115260357E-3</v>
      </c>
      <c r="M34" s="8">
        <f t="shared" si="11"/>
        <v>1.1825919486641828E-3</v>
      </c>
      <c r="N34" s="8">
        <f t="shared" si="12"/>
        <v>1.9468475319675716E-3</v>
      </c>
      <c r="O34" s="8">
        <f t="shared" si="13"/>
        <v>2.1869563873346499E-3</v>
      </c>
      <c r="P34" s="8">
        <f t="shared" si="14"/>
        <v>1.8400814572991147E-3</v>
      </c>
    </row>
    <row r="35" spans="2:16" x14ac:dyDescent="0.3">
      <c r="B35" s="10" t="s">
        <v>113</v>
      </c>
      <c r="C35" s="10">
        <f t="shared" si="3"/>
        <v>1.2002444009658209E-2</v>
      </c>
      <c r="D35" s="10">
        <f t="shared" si="4"/>
        <v>1.4281366213510033E-2</v>
      </c>
      <c r="E35" s="10">
        <f t="shared" si="5"/>
        <v>-3.3517156156616709E-3</v>
      </c>
      <c r="F35" s="10">
        <f t="shared" si="6"/>
        <v>-5.5385793514282043E-3</v>
      </c>
      <c r="G35" s="10">
        <f t="shared" si="7"/>
        <v>1.2287389148142799E-3</v>
      </c>
      <c r="H35" s="10">
        <f t="shared" si="8"/>
        <v>-4.243206086805975E-3</v>
      </c>
      <c r="J35" s="10" t="s">
        <v>113</v>
      </c>
      <c r="K35" s="8">
        <f t="shared" si="9"/>
        <v>2.7756423839926884E-3</v>
      </c>
      <c r="L35" s="8">
        <f t="shared" si="10"/>
        <v>2.8131206770522703E-3</v>
      </c>
      <c r="M35" s="8">
        <f t="shared" si="11"/>
        <v>1.8012922853807231E-3</v>
      </c>
      <c r="N35" s="8">
        <f t="shared" si="12"/>
        <v>2.6763863886295884E-3</v>
      </c>
      <c r="O35" s="8">
        <f t="shared" si="13"/>
        <v>3.1023279673644882E-3</v>
      </c>
      <c r="P35" s="8">
        <f t="shared" si="14"/>
        <v>2.5645278167019721E-3</v>
      </c>
    </row>
    <row r="36" spans="2:16" x14ac:dyDescent="0.3">
      <c r="B36" s="10" t="s">
        <v>121</v>
      </c>
      <c r="C36" s="10">
        <f t="shared" si="3"/>
        <v>-3.6276249110340567E-3</v>
      </c>
      <c r="D36" s="10">
        <f t="shared" si="4"/>
        <v>-1.1804933995443549E-2</v>
      </c>
      <c r="E36" s="10">
        <f t="shared" si="5"/>
        <v>-1.1304704723693996E-2</v>
      </c>
      <c r="F36" s="10">
        <f t="shared" si="6"/>
        <v>6.7029870039283547E-3</v>
      </c>
      <c r="G36" s="10">
        <f t="shared" si="7"/>
        <v>-1.2840797244891705E-5</v>
      </c>
      <c r="H36" s="10">
        <f t="shared" si="8"/>
        <v>-5.4847857988651466E-3</v>
      </c>
      <c r="J36" s="10" t="s">
        <v>121</v>
      </c>
      <c r="K36" s="8">
        <f t="shared" si="9"/>
        <v>3.7587576220888303E-3</v>
      </c>
      <c r="L36" s="8">
        <f t="shared" si="10"/>
        <v>3.6927438878820869E-3</v>
      </c>
      <c r="M36" s="8">
        <f t="shared" si="11"/>
        <v>2.2973568340515162E-3</v>
      </c>
      <c r="N36" s="8">
        <f t="shared" si="12"/>
        <v>3.5222515245191956E-3</v>
      </c>
      <c r="O36" s="8">
        <f t="shared" si="13"/>
        <v>3.9806471459166368E-3</v>
      </c>
      <c r="P36" s="8">
        <f t="shared" si="14"/>
        <v>3.2058749435999187E-3</v>
      </c>
    </row>
    <row r="37" spans="2:16" x14ac:dyDescent="0.3">
      <c r="B37" s="10" t="s">
        <v>126</v>
      </c>
      <c r="C37" s="10">
        <f t="shared" si="3"/>
        <v>-4.1363953952599196E-3</v>
      </c>
      <c r="D37" s="10">
        <f t="shared" si="4"/>
        <v>-2.2122006906051286E-2</v>
      </c>
      <c r="E37" s="10">
        <f t="shared" si="5"/>
        <v>-1.9877787181318239E-3</v>
      </c>
      <c r="F37" s="10">
        <f t="shared" si="6"/>
        <v>-8.638860838635555E-3</v>
      </c>
      <c r="G37" s="10">
        <f t="shared" si="7"/>
        <v>-1.0665378428146213E-2</v>
      </c>
      <c r="H37" s="10">
        <f t="shared" si="8"/>
        <v>-1.2096944249409682E-2</v>
      </c>
      <c r="J37" s="10" t="s">
        <v>126</v>
      </c>
      <c r="K37" s="8">
        <f t="shared" si="9"/>
        <v>5.331562815487181E-3</v>
      </c>
      <c r="L37" s="8">
        <f t="shared" si="10"/>
        <v>4.6717281664953028E-3</v>
      </c>
      <c r="M37" s="8">
        <f t="shared" si="11"/>
        <v>3.4148064351622793E-3</v>
      </c>
      <c r="N37" s="8">
        <f t="shared" si="12"/>
        <v>5.1700870072569297E-3</v>
      </c>
      <c r="O37" s="8">
        <f t="shared" si="13"/>
        <v>5.5395532841666902E-3</v>
      </c>
      <c r="P37" s="8">
        <f t="shared" si="14"/>
        <v>4.4354901064764486E-3</v>
      </c>
    </row>
    <row r="38" spans="2:16" x14ac:dyDescent="0.3">
      <c r="B38" s="10" t="s">
        <v>109</v>
      </c>
      <c r="C38" s="10">
        <f t="shared" si="3"/>
        <v>-8.6759356407169891E-4</v>
      </c>
      <c r="D38" s="10">
        <f t="shared" si="4"/>
        <v>3.345029374099108E-2</v>
      </c>
      <c r="E38" s="10">
        <f t="shared" si="5"/>
        <v>4.3953102068712765E-3</v>
      </c>
      <c r="F38" s="10">
        <f t="shared" si="6"/>
        <v>9.0103467802820324E-3</v>
      </c>
      <c r="G38" s="10">
        <f t="shared" si="7"/>
        <v>-4.4470540545990811E-3</v>
      </c>
      <c r="H38" s="10">
        <f t="shared" si="8"/>
        <v>-7.4127333920589351E-3</v>
      </c>
      <c r="J38" s="10" t="s">
        <v>109</v>
      </c>
      <c r="K38" s="8">
        <f t="shared" si="9"/>
        <v>6.2990127172937614E-3</v>
      </c>
      <c r="L38" s="8">
        <f t="shared" si="10"/>
        <v>5.9960501690181252E-3</v>
      </c>
      <c r="M38" s="8">
        <f t="shared" si="11"/>
        <v>4.5202001430244328E-3</v>
      </c>
      <c r="N38" s="8">
        <f t="shared" si="12"/>
        <v>6.2558215612374107E-3</v>
      </c>
      <c r="O38" s="8">
        <f t="shared" si="13"/>
        <v>6.2831521791663686E-3</v>
      </c>
      <c r="P38" s="8">
        <f t="shared" si="14"/>
        <v>5.0639836188769959E-3</v>
      </c>
    </row>
    <row r="39" spans="2:16" x14ac:dyDescent="0.3">
      <c r="B39" s="10" t="s">
        <v>130</v>
      </c>
      <c r="C39" s="10">
        <f t="shared" si="3"/>
        <v>8.8784311532226004E-3</v>
      </c>
      <c r="D39" s="10">
        <f t="shared" si="4"/>
        <v>-4.8621291935310521E-3</v>
      </c>
      <c r="E39" s="10">
        <f t="shared" si="5"/>
        <v>-2.349566956620186E-2</v>
      </c>
      <c r="F39" s="10">
        <f t="shared" si="6"/>
        <v>-5.5181414763142179E-3</v>
      </c>
      <c r="G39" s="10">
        <f t="shared" si="7"/>
        <v>-5.8241261039171377E-4</v>
      </c>
      <c r="H39" s="10">
        <f t="shared" si="8"/>
        <v>-1.0964341245399856E-2</v>
      </c>
      <c r="J39" s="10" t="s">
        <v>130</v>
      </c>
      <c r="K39" s="8">
        <f t="shared" si="9"/>
        <v>7.8600621210675303E-3</v>
      </c>
      <c r="L39" s="8">
        <f t="shared" si="10"/>
        <v>8.0264709698205112E-3</v>
      </c>
      <c r="M39" s="8">
        <f t="shared" si="11"/>
        <v>5.3614279547037806E-3</v>
      </c>
      <c r="N39" s="8">
        <f t="shared" si="12"/>
        <v>7.7086915880122953E-3</v>
      </c>
      <c r="O39" s="8">
        <f t="shared" si="13"/>
        <v>7.5370723976686824E-3</v>
      </c>
      <c r="P39" s="8">
        <f t="shared" si="14"/>
        <v>5.9475253789132527E-3</v>
      </c>
    </row>
    <row r="40" spans="2:16" x14ac:dyDescent="0.3">
      <c r="B40" s="10" t="s">
        <v>131</v>
      </c>
      <c r="C40" s="10">
        <f t="shared" si="3"/>
        <v>-1.466529325740306E-2</v>
      </c>
      <c r="D40" s="10">
        <f t="shared" si="4"/>
        <v>-2.0228544519747222E-2</v>
      </c>
      <c r="E40" s="10">
        <f t="shared" si="5"/>
        <v>-5.8052671843018093E-3</v>
      </c>
      <c r="F40" s="10">
        <f t="shared" si="6"/>
        <v>1.0569604003448987E-3</v>
      </c>
      <c r="G40" s="10">
        <f t="shared" si="7"/>
        <v>2.1358915199072348E-2</v>
      </c>
      <c r="H40" s="10">
        <f t="shared" si="8"/>
        <v>-6.945113410921494E-5</v>
      </c>
      <c r="J40" s="10" t="s">
        <v>131</v>
      </c>
      <c r="K40" s="8">
        <f t="shared" si="9"/>
        <v>1.2567074856823037E-2</v>
      </c>
      <c r="L40" s="8">
        <f t="shared" si="10"/>
        <v>1.2168039044047617E-2</v>
      </c>
      <c r="M40" s="8">
        <f t="shared" si="11"/>
        <v>8.3270763838348208E-3</v>
      </c>
      <c r="N40" s="8">
        <f t="shared" si="12"/>
        <v>1.2400006529943506E-2</v>
      </c>
      <c r="O40" s="8">
        <f t="shared" si="13"/>
        <v>1.2985548050198442E-2</v>
      </c>
      <c r="P40" s="8">
        <f t="shared" si="14"/>
        <v>9.7379891413913212E-3</v>
      </c>
    </row>
    <row r="41" spans="2:16" x14ac:dyDescent="0.3">
      <c r="B41" s="10" t="s">
        <v>116</v>
      </c>
      <c r="C41" s="10">
        <f t="shared" si="3"/>
        <v>-6.1601559366126768E-3</v>
      </c>
      <c r="D41" s="10">
        <f>D15-B15</f>
        <v>-3.8534256656037137E-2</v>
      </c>
      <c r="E41" s="10">
        <f>E15-B15</f>
        <v>-1.8400028468117675E-2</v>
      </c>
      <c r="F41" s="10">
        <f t="shared" si="6"/>
        <v>-2.7298301599857362E-2</v>
      </c>
      <c r="G41" s="10">
        <f t="shared" si="7"/>
        <v>-5.8010324334512101E-3</v>
      </c>
      <c r="H41" s="10">
        <f t="shared" si="8"/>
        <v>8.4272760887822512E-2</v>
      </c>
      <c r="J41" s="10" t="s">
        <v>116</v>
      </c>
      <c r="K41" s="8">
        <f t="shared" si="9"/>
        <v>1.6772104515757166E-2</v>
      </c>
      <c r="L41" s="8">
        <f t="shared" si="10"/>
        <v>1.4839278960709952E-2</v>
      </c>
      <c r="M41" s="8">
        <f t="shared" si="11"/>
        <v>1.1637862748467591E-2</v>
      </c>
      <c r="N41" s="8">
        <f t="shared" si="12"/>
        <v>1.6366234849418019E-2</v>
      </c>
      <c r="O41" s="8">
        <f t="shared" si="13"/>
        <v>1.8667986857916517E-2</v>
      </c>
      <c r="P41" s="8">
        <f t="shared" si="14"/>
        <v>1.7480452267525613E-2</v>
      </c>
    </row>
    <row r="42" spans="2:16" x14ac:dyDescent="0.3">
      <c r="B42" s="10" t="s">
        <v>115</v>
      </c>
      <c r="C42" s="10">
        <f t="shared" si="3"/>
        <v>-3.0227746025531781E-2</v>
      </c>
      <c r="D42" s="10">
        <f t="shared" si="4"/>
        <v>-2.6965759341587014E-2</v>
      </c>
      <c r="E42" s="10">
        <f t="shared" si="5"/>
        <v>-2.4964842254588806E-2</v>
      </c>
      <c r="F42" s="10">
        <f t="shared" si="6"/>
        <v>-1.5855423658706139E-2</v>
      </c>
      <c r="G42" s="10">
        <f t="shared" si="7"/>
        <v>2.3475935873466199E-2</v>
      </c>
      <c r="H42" s="10">
        <f t="shared" si="8"/>
        <v>5.5958943720415814E-2</v>
      </c>
      <c r="J42" s="10" t="s">
        <v>115</v>
      </c>
      <c r="K42" s="8">
        <f t="shared" si="9"/>
        <v>2.5346134021703149E-2</v>
      </c>
      <c r="L42" s="8">
        <f t="shared" si="10"/>
        <v>2.1239078691551398E-2</v>
      </c>
      <c r="M42" s="8">
        <f t="shared" si="11"/>
        <v>1.8081509742288823E-2</v>
      </c>
      <c r="N42" s="8">
        <f t="shared" si="12"/>
        <v>2.4449889361980011E-2</v>
      </c>
      <c r="O42" s="8">
        <f t="shared" si="13"/>
        <v>3.0696225370753328E-2</v>
      </c>
      <c r="P42" s="8">
        <f t="shared" si="14"/>
        <v>3.544927567896098E-2</v>
      </c>
    </row>
    <row r="43" spans="2:16" x14ac:dyDescent="0.3">
      <c r="B43" s="10" t="s">
        <v>112</v>
      </c>
      <c r="C43" s="10">
        <f t="shared" si="3"/>
        <v>-1.3558497881582275E-2</v>
      </c>
      <c r="D43" s="10">
        <f t="shared" si="4"/>
        <v>-4.4301605259034357E-2</v>
      </c>
      <c r="E43" s="10">
        <f t="shared" si="5"/>
        <v>-4.3301146715535248E-2</v>
      </c>
      <c r="F43" s="10">
        <f t="shared" si="6"/>
        <v>-3.8746437417593912E-2</v>
      </c>
      <c r="G43" s="10">
        <f t="shared" si="7"/>
        <v>5.5917688204380755E-4</v>
      </c>
      <c r="H43" s="10">
        <f t="shared" si="8"/>
        <v>-3.416757453003795E-2</v>
      </c>
      <c r="J43" s="10" t="s">
        <v>112</v>
      </c>
      <c r="K43" s="8">
        <f t="shared" si="9"/>
        <v>3.1422628374648043E-2</v>
      </c>
      <c r="L43" s="8">
        <f t="shared" si="10"/>
        <v>2.5367239233159446E-2</v>
      </c>
      <c r="M43" s="8">
        <f t="shared" si="11"/>
        <v>2.2080469794858587E-2</v>
      </c>
      <c r="N43" s="8">
        <f t="shared" si="12"/>
        <v>2.9827882985956587E-2</v>
      </c>
      <c r="O43" s="8">
        <f t="shared" si="13"/>
        <v>4.1127195940776309E-2</v>
      </c>
      <c r="P43" s="8">
        <f t="shared" si="14"/>
        <v>4.6203731303086464E-2</v>
      </c>
    </row>
    <row r="44" spans="2:16" x14ac:dyDescent="0.3">
      <c r="B44" s="10" t="s">
        <v>120</v>
      </c>
      <c r="C44" s="10">
        <f t="shared" si="3"/>
        <v>-1.89670434718512E-2</v>
      </c>
      <c r="D44" s="10">
        <f t="shared" si="4"/>
        <v>-2.1268308050250588E-2</v>
      </c>
      <c r="E44" s="10">
        <f t="shared" si="5"/>
        <v>-3.8401160607672742E-2</v>
      </c>
      <c r="F44" s="10">
        <f t="shared" si="6"/>
        <v>1.3374723563958364E-2</v>
      </c>
      <c r="G44" s="10">
        <f t="shared" si="7"/>
        <v>2.1661010549743308E-2</v>
      </c>
      <c r="H44" s="10">
        <f t="shared" si="8"/>
        <v>-5.9038098482237858E-3</v>
      </c>
      <c r="J44" s="10" t="s">
        <v>120</v>
      </c>
      <c r="K44" s="8">
        <f t="shared" si="9"/>
        <v>3.7268934592877057E-2</v>
      </c>
      <c r="L44" s="8">
        <f t="shared" si="10"/>
        <v>2.908590747607067E-2</v>
      </c>
      <c r="M44" s="8">
        <f t="shared" si="11"/>
        <v>2.4749862376659798E-2</v>
      </c>
      <c r="N44" s="8">
        <f t="shared" si="12"/>
        <v>3.6042014674139929E-2</v>
      </c>
      <c r="O44" s="8">
        <f t="shared" si="13"/>
        <v>5.0487970368702298E-2</v>
      </c>
      <c r="P44" s="8">
        <f t="shared" si="14"/>
        <v>5.2080358452218645E-2</v>
      </c>
    </row>
    <row r="45" spans="2:16" x14ac:dyDescent="0.3">
      <c r="B45" s="10" t="s">
        <v>117</v>
      </c>
      <c r="C45" s="10">
        <f t="shared" si="3"/>
        <v>8.1684452615276293E-2</v>
      </c>
      <c r="D45" s="10">
        <f t="shared" si="4"/>
        <v>6.5620285315575705E-2</v>
      </c>
      <c r="E45" s="10">
        <f t="shared" si="5"/>
        <v>5.5490642562647276E-2</v>
      </c>
      <c r="F45" s="10">
        <f t="shared" si="6"/>
        <v>6.049780642660927E-2</v>
      </c>
      <c r="G45" s="10">
        <f t="shared" si="7"/>
        <v>3.4686371865473541E-2</v>
      </c>
      <c r="H45" s="10">
        <f t="shared" si="8"/>
        <v>6.5595900992740722E-3</v>
      </c>
      <c r="J45" s="10" t="s">
        <v>117</v>
      </c>
      <c r="K45" s="8">
        <f t="shared" si="9"/>
        <v>4.7852348911293037E-2</v>
      </c>
      <c r="L45" s="8">
        <f t="shared" si="10"/>
        <v>3.8583550434180193E-2</v>
      </c>
      <c r="M45" s="8">
        <f t="shared" si="11"/>
        <v>3.264480083904963E-2</v>
      </c>
      <c r="N45" s="8">
        <f t="shared" si="12"/>
        <v>4.7277732277828721E-2</v>
      </c>
      <c r="O45" s="8">
        <f t="shared" si="13"/>
        <v>6.0713420242080811E-2</v>
      </c>
      <c r="P45" s="8">
        <f t="shared" si="14"/>
        <v>5.904394361377524E-2</v>
      </c>
    </row>
    <row r="46" spans="2:16" x14ac:dyDescent="0.3">
      <c r="B46" s="10" t="s">
        <v>119</v>
      </c>
      <c r="C46" s="10">
        <f t="shared" si="3"/>
        <v>-2.3820840680136235E-2</v>
      </c>
      <c r="D46" s="10">
        <f t="shared" si="4"/>
        <v>2.0953277913187865E-2</v>
      </c>
      <c r="E46" s="10">
        <f t="shared" si="5"/>
        <v>-2.6235016721853195E-2</v>
      </c>
      <c r="F46" s="10">
        <f t="shared" si="6"/>
        <v>-3.5072962578123465E-2</v>
      </c>
      <c r="G46" s="10">
        <f t="shared" si="7"/>
        <v>-2.5422178268003748E-2</v>
      </c>
      <c r="H46" s="10">
        <f t="shared" si="8"/>
        <v>-1.4679281746831752E-2</v>
      </c>
      <c r="J46" s="10" t="s">
        <v>119</v>
      </c>
      <c r="K46" s="8">
        <f t="shared" si="9"/>
        <v>5.9361904970051858E-2</v>
      </c>
      <c r="L46" s="8">
        <f t="shared" si="10"/>
        <v>5.1621719593409492E-2</v>
      </c>
      <c r="M46" s="8">
        <f t="shared" si="11"/>
        <v>4.2135346903895879E-2</v>
      </c>
      <c r="N46" s="8">
        <f t="shared" si="12"/>
        <v>5.6836051563656398E-2</v>
      </c>
      <c r="O46" s="8">
        <f t="shared" si="13"/>
        <v>6.9577998841116442E-2</v>
      </c>
      <c r="P46" s="8">
        <f t="shared" si="14"/>
        <v>6.6835239125229665E-2</v>
      </c>
    </row>
    <row r="47" spans="2:16" x14ac:dyDescent="0.3">
      <c r="B47" s="10" t="s">
        <v>125</v>
      </c>
      <c r="C47" s="10">
        <f t="shared" si="3"/>
        <v>-2.9663373099848331E-2</v>
      </c>
      <c r="D47" s="10">
        <f t="shared" si="4"/>
        <v>6.2855075471868402E-3</v>
      </c>
      <c r="E47" s="10">
        <f t="shared" si="5"/>
        <v>-2.1769017443433868E-2</v>
      </c>
      <c r="F47" s="10">
        <f t="shared" si="6"/>
        <v>-5.8576985383739164E-3</v>
      </c>
      <c r="G47" s="10">
        <f t="shared" si="7"/>
        <v>3.428974625899063E-3</v>
      </c>
      <c r="H47" s="10">
        <f t="shared" si="8"/>
        <v>2.3175558762180838E-2</v>
      </c>
      <c r="J47" s="10" t="s">
        <v>125</v>
      </c>
      <c r="K47" s="8">
        <f t="shared" si="9"/>
        <v>6.5831132290235544E-2</v>
      </c>
      <c r="L47" s="8">
        <f t="shared" si="10"/>
        <v>6.2808125667959444E-2</v>
      </c>
      <c r="M47" s="8">
        <f t="shared" si="11"/>
        <v>4.8297630624400317E-2</v>
      </c>
      <c r="N47" s="8">
        <f t="shared" si="12"/>
        <v>6.3989214568643205E-2</v>
      </c>
      <c r="O47" s="8">
        <f t="shared" si="13"/>
        <v>7.8384500472141766E-2</v>
      </c>
      <c r="P47" s="8">
        <f t="shared" si="14"/>
        <v>7.7430230481197654E-2</v>
      </c>
    </row>
    <row r="48" spans="2:16" x14ac:dyDescent="0.3">
      <c r="B48" s="10" t="s">
        <v>111</v>
      </c>
      <c r="C48" s="10">
        <f t="shared" si="3"/>
        <v>0.12519987896695117</v>
      </c>
      <c r="D48" s="10">
        <f t="shared" si="4"/>
        <v>0.11990473619917781</v>
      </c>
      <c r="E48" s="10">
        <f t="shared" si="5"/>
        <v>0.27635144093885017</v>
      </c>
      <c r="F48" s="10">
        <f t="shared" si="6"/>
        <v>0.10488624223588659</v>
      </c>
      <c r="G48" s="10">
        <f t="shared" si="7"/>
        <v>2.8831147438262497E-2</v>
      </c>
      <c r="H48" s="10">
        <f t="shared" si="8"/>
        <v>0.1178343428244366</v>
      </c>
      <c r="J48" s="10" t="s">
        <v>111</v>
      </c>
      <c r="K48" s="8">
        <f t="shared" si="9"/>
        <v>9.3807278082660553E-2</v>
      </c>
      <c r="L48" s="8">
        <f t="shared" si="10"/>
        <v>9.2494278065897773E-2</v>
      </c>
      <c r="M48" s="8">
        <f t="shared" si="11"/>
        <v>8.4830077123524625E-2</v>
      </c>
      <c r="N48" s="8">
        <f t="shared" si="12"/>
        <v>9.1904180287499818E-2</v>
      </c>
      <c r="O48" s="8">
        <f t="shared" si="13"/>
        <v>0.10390994246748424</v>
      </c>
      <c r="P48" s="8">
        <f t="shared" si="14"/>
        <v>0.11069233927886302</v>
      </c>
    </row>
    <row r="49" spans="2:16" x14ac:dyDescent="0.3">
      <c r="B49" s="10" t="s">
        <v>122</v>
      </c>
      <c r="C49" s="10">
        <f t="shared" si="3"/>
        <v>-4.6856799142831897E-2</v>
      </c>
      <c r="D49" s="10">
        <f t="shared" si="4"/>
        <v>-6.0597359489585549E-2</v>
      </c>
      <c r="E49" s="10">
        <f t="shared" si="5"/>
        <v>-2.5539624694471123E-2</v>
      </c>
      <c r="F49" s="10">
        <f t="shared" si="6"/>
        <v>-4.7770225704952984E-2</v>
      </c>
      <c r="G49" s="10">
        <f t="shared" si="7"/>
        <v>-2.8494402317248174E-2</v>
      </c>
      <c r="H49" s="10">
        <f t="shared" si="8"/>
        <v>-3.9130649235689943E-2</v>
      </c>
      <c r="J49" s="10" t="s">
        <v>122</v>
      </c>
      <c r="K49" s="8">
        <f t="shared" si="9"/>
        <v>0.12055636921487213</v>
      </c>
      <c r="L49" s="8">
        <f t="shared" si="10"/>
        <v>0.11761605631726263</v>
      </c>
      <c r="M49" s="8">
        <f t="shared" si="11"/>
        <v>0.12442973535414761</v>
      </c>
      <c r="N49" s="8">
        <f t="shared" si="12"/>
        <v>0.11679880968458471</v>
      </c>
      <c r="O49" s="8">
        <f t="shared" si="13"/>
        <v>0.12539489389001954</v>
      </c>
      <c r="P49" s="8">
        <f t="shared" si="14"/>
        <v>0.13900157870571297</v>
      </c>
    </row>
    <row r="50" spans="2:16" x14ac:dyDescent="0.3">
      <c r="B50" s="10" t="s">
        <v>114</v>
      </c>
      <c r="C50" s="10">
        <f t="shared" si="3"/>
        <v>4.9451964363939199E-3</v>
      </c>
      <c r="D50" s="10">
        <f t="shared" si="4"/>
        <v>1.1781963047949387E-2</v>
      </c>
      <c r="E50" s="10">
        <f t="shared" si="5"/>
        <v>-7.5602354596999433E-3</v>
      </c>
      <c r="F50" s="10">
        <f t="shared" si="6"/>
        <v>3.9962575791336927E-2</v>
      </c>
      <c r="G50" s="10">
        <f t="shared" si="7"/>
        <v>-1.4282629159103499E-2</v>
      </c>
      <c r="H50" s="10">
        <f t="shared" si="8"/>
        <v>-2.8754159868036228E-2</v>
      </c>
      <c r="J50" s="10" t="s">
        <v>114</v>
      </c>
      <c r="K50" s="8">
        <f t="shared" si="9"/>
        <v>0.13349603201375732</v>
      </c>
      <c r="L50" s="8">
        <f t="shared" si="10"/>
        <v>0.12991388121465219</v>
      </c>
      <c r="M50" s="8">
        <f t="shared" si="11"/>
        <v>0.13819189208253277</v>
      </c>
      <c r="N50" s="8">
        <f t="shared" si="12"/>
        <v>0.13241185371315276</v>
      </c>
      <c r="O50" s="8">
        <f t="shared" si="13"/>
        <v>0.13839571625074543</v>
      </c>
      <c r="P50" s="8">
        <f t="shared" si="14"/>
        <v>0.15032904638334146</v>
      </c>
    </row>
    <row r="51" spans="2:16" x14ac:dyDescent="0.3">
      <c r="B51" s="10" t="s">
        <v>108</v>
      </c>
      <c r="C51" s="10">
        <f t="shared" si="3"/>
        <v>-3.8938161695863588E-2</v>
      </c>
      <c r="D51" s="10">
        <f t="shared" si="4"/>
        <v>-2.0349306072287937E-2</v>
      </c>
      <c r="E51" s="10">
        <f t="shared" si="5"/>
        <v>-6.1534849446334361E-2</v>
      </c>
      <c r="F51" s="10">
        <f t="shared" si="6"/>
        <v>-4.9786112548664496E-2</v>
      </c>
      <c r="G51" s="10">
        <f t="shared" si="7"/>
        <v>-5.942586318769795E-2</v>
      </c>
      <c r="H51" s="10">
        <f t="shared" si="8"/>
        <v>-0.12550349589466997</v>
      </c>
      <c r="J51" s="10" t="s">
        <v>108</v>
      </c>
      <c r="K51" s="8">
        <f t="shared" si="9"/>
        <v>0.32725080271273654</v>
      </c>
      <c r="L51" s="8">
        <f t="shared" si="10"/>
        <v>0.3239860641355885</v>
      </c>
      <c r="M51" s="8">
        <f t="shared" si="11"/>
        <v>0.33121943207371612</v>
      </c>
      <c r="N51" s="8">
        <f t="shared" si="12"/>
        <v>0.32915601540303413</v>
      </c>
      <c r="O51" s="8">
        <f t="shared" si="13"/>
        <v>0.33084903332853932</v>
      </c>
      <c r="P51" s="8">
        <f t="shared" si="14"/>
        <v>0.34245416927415795</v>
      </c>
    </row>
    <row r="52" spans="2:16" x14ac:dyDescent="0.3">
      <c r="J52" s="12" t="s">
        <v>174</v>
      </c>
      <c r="K52" s="11">
        <f>SUM(K28:K51)</f>
        <v>1.0022178939679358</v>
      </c>
      <c r="L52" s="11">
        <f t="shared" ref="L52:P52" si="15">SUM(L28:L51)</f>
        <v>0.94964318266227887</v>
      </c>
      <c r="M52" s="11">
        <f t="shared" si="15"/>
        <v>0.90802472927111366</v>
      </c>
      <c r="N52" s="11">
        <f t="shared" si="15"/>
        <v>0.98825838986434045</v>
      </c>
      <c r="O52" s="11">
        <f t="shared" si="15"/>
        <v>1.0920592824835498</v>
      </c>
      <c r="P52" s="11">
        <f t="shared" si="15"/>
        <v>1.1333777393083628</v>
      </c>
    </row>
    <row r="53" spans="2:16" x14ac:dyDescent="0.3">
      <c r="J53" s="13" t="s">
        <v>175</v>
      </c>
      <c r="K53" s="14">
        <f>1-K52</f>
        <v>-2.2178939679358134E-3</v>
      </c>
      <c r="L53" s="14">
        <f t="shared" ref="L53:P53" si="16">1-L52</f>
        <v>5.0356817337721127E-2</v>
      </c>
      <c r="M53" s="14">
        <f t="shared" si="16"/>
        <v>9.1975270728886338E-2</v>
      </c>
      <c r="N53" s="14">
        <f t="shared" si="16"/>
        <v>1.1741610135659553E-2</v>
      </c>
      <c r="O53" s="14">
        <f t="shared" si="16"/>
        <v>-9.2059282483549776E-2</v>
      </c>
      <c r="P53" s="14">
        <f t="shared" si="16"/>
        <v>-0.13337773930836283</v>
      </c>
    </row>
  </sheetData>
  <sortState xmlns:xlrd2="http://schemas.microsoft.com/office/spreadsheetml/2017/richdata2" ref="A2:P26">
    <sortCondition ref="B1:B26"/>
  </sortState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6FC9-E7B4-47DB-A584-9D11CFF0C60D}">
  <dimension ref="A1:P17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137</v>
      </c>
      <c r="B2" s="10">
        <v>5.507077146418822E-2</v>
      </c>
      <c r="C2" s="10">
        <v>0</v>
      </c>
      <c r="D2" s="10">
        <v>1.6528925619834711E-2</v>
      </c>
      <c r="E2" s="10">
        <v>2.3809523809523808E-2</v>
      </c>
      <c r="F2" s="10">
        <v>5.3030303030303032E-2</v>
      </c>
      <c r="G2" s="10">
        <v>5.7142857142857141E-2</v>
      </c>
      <c r="H2" s="10">
        <v>3.125E-2</v>
      </c>
      <c r="I2" s="10">
        <v>5.507077146418822E-2</v>
      </c>
      <c r="J2" s="10">
        <v>5.507077146418822E-2</v>
      </c>
      <c r="K2" s="10">
        <v>0</v>
      </c>
      <c r="L2" s="10">
        <v>1.6528925619834711E-2</v>
      </c>
      <c r="M2" s="10">
        <v>2.3809523809523808E-2</v>
      </c>
      <c r="N2" s="10">
        <v>5.3030303030303032E-2</v>
      </c>
      <c r="O2" s="10">
        <v>5.7142857142857141E-2</v>
      </c>
      <c r="P2" s="10">
        <v>3.125E-2</v>
      </c>
    </row>
    <row r="3" spans="1:16" x14ac:dyDescent="0.3">
      <c r="A3" s="10" t="s">
        <v>134</v>
      </c>
      <c r="B3" s="10">
        <v>6.0711975131365094E-2</v>
      </c>
      <c r="C3" s="10">
        <v>0</v>
      </c>
      <c r="D3" s="10">
        <v>0</v>
      </c>
      <c r="E3" s="10">
        <v>0</v>
      </c>
      <c r="F3" s="10">
        <v>2.2727272727272728E-2</v>
      </c>
      <c r="G3" s="10">
        <v>6.0714285714285714E-2</v>
      </c>
      <c r="H3" s="10">
        <v>2.6041666666666668E-2</v>
      </c>
      <c r="I3" s="10">
        <v>0.11578274659555332</v>
      </c>
      <c r="J3" s="10">
        <f t="shared" ref="J3:P7" si="0">J2+B3</f>
        <v>0.11578274659555332</v>
      </c>
      <c r="K3" s="10">
        <f t="shared" si="0"/>
        <v>0</v>
      </c>
      <c r="L3" s="10">
        <f t="shared" si="0"/>
        <v>1.6528925619834711E-2</v>
      </c>
      <c r="M3" s="10">
        <f t="shared" si="0"/>
        <v>2.3809523809523808E-2</v>
      </c>
      <c r="N3" s="10">
        <f t="shared" si="0"/>
        <v>7.575757575757576E-2</v>
      </c>
      <c r="O3" s="10">
        <f t="shared" si="0"/>
        <v>0.11785714285714285</v>
      </c>
      <c r="P3" s="10">
        <f t="shared" si="0"/>
        <v>5.7291666666666671E-2</v>
      </c>
    </row>
    <row r="4" spans="1:16" x14ac:dyDescent="0.3">
      <c r="A4" s="10" t="s">
        <v>136</v>
      </c>
      <c r="B4" s="10">
        <v>6.729995423918704E-2</v>
      </c>
      <c r="C4" s="10">
        <v>3.2258064516129031E-2</v>
      </c>
      <c r="D4" s="10">
        <v>1.6528925619834711E-2</v>
      </c>
      <c r="E4" s="10">
        <v>0.11904761904761904</v>
      </c>
      <c r="F4" s="10">
        <v>2.6515151515151516E-2</v>
      </c>
      <c r="G4" s="10">
        <v>3.5714285714285712E-2</v>
      </c>
      <c r="H4" s="10">
        <v>2.0833333333333332E-2</v>
      </c>
      <c r="I4" s="10">
        <v>0.18308270083474038</v>
      </c>
      <c r="J4" s="10">
        <f t="shared" si="0"/>
        <v>0.18308270083474038</v>
      </c>
      <c r="K4" s="10">
        <f t="shared" si="0"/>
        <v>3.2258064516129031E-2</v>
      </c>
      <c r="L4" s="10">
        <f t="shared" si="0"/>
        <v>3.3057851239669422E-2</v>
      </c>
      <c r="M4" s="10">
        <f t="shared" si="0"/>
        <v>0.14285714285714285</v>
      </c>
      <c r="N4" s="10">
        <f t="shared" si="0"/>
        <v>0.10227272727272728</v>
      </c>
      <c r="O4" s="10">
        <f t="shared" si="0"/>
        <v>0.15357142857142858</v>
      </c>
      <c r="P4" s="10">
        <f t="shared" si="0"/>
        <v>7.8125E-2</v>
      </c>
    </row>
    <row r="5" spans="1:16" x14ac:dyDescent="0.3">
      <c r="A5" s="10" t="s">
        <v>133</v>
      </c>
      <c r="B5" s="10">
        <v>7.9860508418411622E-2</v>
      </c>
      <c r="C5" s="10">
        <v>4.3010752688172046E-2</v>
      </c>
      <c r="D5" s="10">
        <v>1.6528925619834711E-2</v>
      </c>
      <c r="E5" s="10">
        <v>7.1428571428571425E-2</v>
      </c>
      <c r="F5" s="10">
        <v>3.787878787878788E-2</v>
      </c>
      <c r="G5" s="10">
        <v>9.6428571428571433E-2</v>
      </c>
      <c r="H5" s="10">
        <v>0.11458333333333333</v>
      </c>
      <c r="I5" s="10">
        <v>0.26294320925315201</v>
      </c>
      <c r="J5" s="10">
        <f t="shared" si="0"/>
        <v>0.26294320925315201</v>
      </c>
      <c r="K5" s="10">
        <f t="shared" si="0"/>
        <v>7.5268817204301078E-2</v>
      </c>
      <c r="L5" s="10">
        <f t="shared" si="0"/>
        <v>4.9586776859504134E-2</v>
      </c>
      <c r="M5" s="10">
        <f t="shared" si="0"/>
        <v>0.21428571428571427</v>
      </c>
      <c r="N5" s="10">
        <f t="shared" si="0"/>
        <v>0.14015151515151517</v>
      </c>
      <c r="O5" s="10">
        <f t="shared" si="0"/>
        <v>0.25</v>
      </c>
      <c r="P5" s="10">
        <f t="shared" si="0"/>
        <v>0.19270833333333331</v>
      </c>
    </row>
    <row r="6" spans="1:16" x14ac:dyDescent="0.3">
      <c r="A6" s="10" t="s">
        <v>135</v>
      </c>
      <c r="B6" s="10">
        <v>0.16966215896359649</v>
      </c>
      <c r="C6" s="10">
        <v>0.11827956989247312</v>
      </c>
      <c r="D6" s="10">
        <v>7.43801652892562E-2</v>
      </c>
      <c r="E6" s="10">
        <v>9.5238095238095233E-2</v>
      </c>
      <c r="F6" s="10">
        <v>0.13636363636363635</v>
      </c>
      <c r="G6" s="10">
        <v>6.4285714285714279E-2</v>
      </c>
      <c r="H6" s="10">
        <v>7.2916666666666671E-2</v>
      </c>
      <c r="I6" s="10">
        <v>0.4326053682167485</v>
      </c>
      <c r="J6" s="10">
        <f t="shared" si="0"/>
        <v>0.4326053682167485</v>
      </c>
      <c r="K6" s="10">
        <f t="shared" si="0"/>
        <v>0.19354838709677419</v>
      </c>
      <c r="L6" s="10">
        <f t="shared" si="0"/>
        <v>0.12396694214876033</v>
      </c>
      <c r="M6" s="10">
        <f t="shared" si="0"/>
        <v>0.30952380952380953</v>
      </c>
      <c r="N6" s="10">
        <f t="shared" si="0"/>
        <v>0.27651515151515149</v>
      </c>
      <c r="O6" s="10">
        <f t="shared" si="0"/>
        <v>0.31428571428571428</v>
      </c>
      <c r="P6" s="10">
        <f t="shared" si="0"/>
        <v>0.265625</v>
      </c>
    </row>
    <row r="7" spans="1:16" x14ac:dyDescent="0.3">
      <c r="A7" s="10" t="s">
        <v>132</v>
      </c>
      <c r="B7" s="10">
        <v>0.56739463178325156</v>
      </c>
      <c r="C7" s="10">
        <v>0.80645161290322576</v>
      </c>
      <c r="D7" s="10">
        <v>0.87603305785123964</v>
      </c>
      <c r="E7" s="10">
        <v>0.69047619047619047</v>
      </c>
      <c r="F7" s="10">
        <v>0.72348484848484851</v>
      </c>
      <c r="G7" s="10">
        <v>0.68571428571428572</v>
      </c>
      <c r="H7" s="10">
        <v>0.734375</v>
      </c>
      <c r="I7" s="10">
        <v>1</v>
      </c>
      <c r="J7" s="10">
        <f t="shared" si="0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154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167</v>
      </c>
      <c r="J9" s="1" t="s">
        <v>154</v>
      </c>
      <c r="K9" s="11" t="s">
        <v>168</v>
      </c>
      <c r="L9" s="11" t="s">
        <v>169</v>
      </c>
      <c r="M9" s="11" t="s">
        <v>170</v>
      </c>
      <c r="N9" s="11" t="s">
        <v>171</v>
      </c>
      <c r="O9" s="11" t="s">
        <v>172</v>
      </c>
      <c r="P9" s="11" t="s">
        <v>173</v>
      </c>
    </row>
    <row r="10" spans="1:16" x14ac:dyDescent="0.3">
      <c r="B10" s="10" t="s">
        <v>137</v>
      </c>
      <c r="C10" s="10">
        <f>C2-B2</f>
        <v>-5.507077146418822E-2</v>
      </c>
      <c r="D10" s="10">
        <f>D2-B2</f>
        <v>-3.8541845844353509E-2</v>
      </c>
      <c r="E10" s="10">
        <f>E2-B2</f>
        <v>-3.1261247654664412E-2</v>
      </c>
      <c r="F10" s="10">
        <f>F2-B2</f>
        <v>-2.0404684338851883E-3</v>
      </c>
      <c r="G10" s="10">
        <f>G2-B2</f>
        <v>2.072085678668921E-3</v>
      </c>
      <c r="H10" s="10">
        <f>H2-B2</f>
        <v>-2.382077146418822E-2</v>
      </c>
      <c r="J10" s="10" t="s">
        <v>137</v>
      </c>
      <c r="K10" s="8">
        <f>(J2-0) * ((K2+0))</f>
        <v>0</v>
      </c>
      <c r="L10" s="8">
        <f>(J2-0) * ((L2+0))</f>
        <v>9.1026068535848305E-4</v>
      </c>
      <c r="M10" s="8">
        <f>(J2-0) * ((M2+0))</f>
        <v>1.3112088443854337E-3</v>
      </c>
      <c r="N10" s="8">
        <f>(J2-0) * ((N2+0))</f>
        <v>2.9204196988584664E-3</v>
      </c>
      <c r="O10" s="8">
        <f>(J2-0) * ((O2+0))</f>
        <v>3.146901226525041E-3</v>
      </c>
      <c r="P10" s="8">
        <f>(J2-0) * ((P2+0))</f>
        <v>1.7209616082558819E-3</v>
      </c>
    </row>
    <row r="11" spans="1:16" x14ac:dyDescent="0.3">
      <c r="B11" s="10" t="s">
        <v>134</v>
      </c>
      <c r="C11" s="10">
        <f t="shared" ref="C11:C15" si="1">C3-B3</f>
        <v>-6.0711975131365094E-2</v>
      </c>
      <c r="D11" s="10">
        <f t="shared" ref="D11:D15" si="2">D3-B3</f>
        <v>-6.0711975131365094E-2</v>
      </c>
      <c r="E11" s="10">
        <f t="shared" ref="E11:E15" si="3">E3-B3</f>
        <v>-6.0711975131365094E-2</v>
      </c>
      <c r="F11" s="10">
        <f t="shared" ref="F11:F15" si="4">F3-B3</f>
        <v>-3.7984702404092366E-2</v>
      </c>
      <c r="G11" s="10">
        <f t="shared" ref="G11:G15" si="5">G3-B3</f>
        <v>2.3105829206199191E-6</v>
      </c>
      <c r="H11" s="10">
        <f t="shared" ref="H11:H15" si="6">H3-B3</f>
        <v>-3.4670308464698429E-2</v>
      </c>
      <c r="J11" s="10" t="s">
        <v>134</v>
      </c>
      <c r="K11" s="8">
        <f>(J3-J2) * ((K3+K2))</f>
        <v>0</v>
      </c>
      <c r="L11" s="8">
        <f>(J3-J2) * ((L3+L2))</f>
        <v>2.007007442359177E-3</v>
      </c>
      <c r="M11" s="8">
        <f>(J3-J2) * ((M3+M2))</f>
        <v>2.8910464348269093E-3</v>
      </c>
      <c r="N11" s="8">
        <f>(J3-J2) * ((N3+N2))</f>
        <v>7.8189664941909591E-3</v>
      </c>
      <c r="O11" s="8">
        <f>(J3-J2) * ((O3+O2))</f>
        <v>1.0624595647988892E-2</v>
      </c>
      <c r="P11" s="8">
        <f>(J3-J2) * ((P3+P2))</f>
        <v>5.375539464756285E-3</v>
      </c>
    </row>
    <row r="12" spans="1:16" x14ac:dyDescent="0.3">
      <c r="B12" s="10" t="s">
        <v>136</v>
      </c>
      <c r="C12" s="10">
        <f t="shared" si="1"/>
        <v>-3.5041889723058009E-2</v>
      </c>
      <c r="D12" s="10">
        <f t="shared" si="2"/>
        <v>-5.0771028619352329E-2</v>
      </c>
      <c r="E12" s="10">
        <f t="shared" si="3"/>
        <v>5.1747664808432001E-2</v>
      </c>
      <c r="F12" s="10">
        <f t="shared" si="4"/>
        <v>-4.0784802724035521E-2</v>
      </c>
      <c r="G12" s="10">
        <f t="shared" si="5"/>
        <v>-3.1585668524901328E-2</v>
      </c>
      <c r="H12" s="10">
        <f t="shared" si="6"/>
        <v>-4.6466620905853712E-2</v>
      </c>
      <c r="J12" s="10" t="s">
        <v>136</v>
      </c>
      <c r="K12" s="8">
        <f t="shared" ref="K12:K15" si="7">(J4-J3) * ((K4+K3))</f>
        <v>2.1709662657802276E-3</v>
      </c>
      <c r="L12" s="8">
        <f t="shared" ref="L12:L15" si="8">(J4-J3) * ((L4+L3))</f>
        <v>3.3371878135134078E-3</v>
      </c>
      <c r="M12" s="8">
        <f t="shared" ref="M12:M15" si="9">(J4-J3) * ((M4+M3))</f>
        <v>1.1216659039864508E-2</v>
      </c>
      <c r="N12" s="8">
        <f t="shared" ref="N12:N15" si="10">(J4-J3) * ((N4+N3))</f>
        <v>1.1981431247127999E-2</v>
      </c>
      <c r="O12" s="8">
        <f t="shared" ref="O12:O15" si="11">(J4-J3) * ((O4+O3))</f>
        <v>1.8267130436350774E-2</v>
      </c>
      <c r="P12" s="8">
        <f t="shared" ref="P12:P15" si="12">(J4-J3) * ((P4+P3))</f>
        <v>9.1135354698899142E-3</v>
      </c>
    </row>
    <row r="13" spans="1:16" x14ac:dyDescent="0.3">
      <c r="B13" s="10" t="s">
        <v>133</v>
      </c>
      <c r="C13" s="10">
        <f t="shared" si="1"/>
        <v>-3.6849755730239575E-2</v>
      </c>
      <c r="D13" s="10">
        <f t="shared" si="2"/>
        <v>-6.333158279857691E-2</v>
      </c>
      <c r="E13" s="10">
        <f t="shared" si="3"/>
        <v>-8.4319369898401969E-3</v>
      </c>
      <c r="F13" s="10">
        <f t="shared" si="4"/>
        <v>-4.1981720539623742E-2</v>
      </c>
      <c r="G13" s="10">
        <f t="shared" si="5"/>
        <v>1.6568063010159811E-2</v>
      </c>
      <c r="H13" s="10">
        <f t="shared" si="6"/>
        <v>3.4722824914921707E-2</v>
      </c>
      <c r="J13" s="10" t="s">
        <v>133</v>
      </c>
      <c r="K13" s="8">
        <f t="shared" si="7"/>
        <v>8.5871514428399603E-3</v>
      </c>
      <c r="L13" s="8">
        <f t="shared" si="8"/>
        <v>6.6000420180505484E-3</v>
      </c>
      <c r="M13" s="8">
        <f t="shared" si="9"/>
        <v>2.8521610149432722E-2</v>
      </c>
      <c r="N13" s="8">
        <f t="shared" si="10"/>
        <v>1.9360123252948277E-2</v>
      </c>
      <c r="O13" s="8">
        <f t="shared" si="11"/>
        <v>3.2229419468858982E-2</v>
      </c>
      <c r="P13" s="8">
        <f t="shared" si="12"/>
        <v>2.1628887696653151E-2</v>
      </c>
    </row>
    <row r="14" spans="1:16" x14ac:dyDescent="0.3">
      <c r="B14" s="10" t="s">
        <v>135</v>
      </c>
      <c r="C14" s="10">
        <f t="shared" si="1"/>
        <v>-5.1382589071123363E-2</v>
      </c>
      <c r="D14" s="10">
        <f t="shared" si="2"/>
        <v>-9.5281993674340287E-2</v>
      </c>
      <c r="E14" s="10">
        <f t="shared" si="3"/>
        <v>-7.4424063725501255E-2</v>
      </c>
      <c r="F14" s="10">
        <f t="shared" si="4"/>
        <v>-3.3298522599960134E-2</v>
      </c>
      <c r="G14" s="10">
        <f t="shared" si="5"/>
        <v>-0.10537644467788221</v>
      </c>
      <c r="H14" s="10">
        <f t="shared" si="6"/>
        <v>-9.6745492296929816E-2</v>
      </c>
      <c r="J14" s="10" t="s">
        <v>135</v>
      </c>
      <c r="K14" s="8">
        <f t="shared" si="7"/>
        <v>4.5608107248278622E-2</v>
      </c>
      <c r="L14" s="8">
        <f t="shared" si="8"/>
        <v>2.9445498663103524E-2</v>
      </c>
      <c r="M14" s="8">
        <f t="shared" si="9"/>
        <v>8.8870654695217211E-2</v>
      </c>
      <c r="N14" s="8">
        <f t="shared" si="10"/>
        <v>7.0692566234831861E-2</v>
      </c>
      <c r="O14" s="8">
        <f t="shared" si="11"/>
        <v>9.573793255802944E-2</v>
      </c>
      <c r="P14" s="8">
        <f t="shared" si="12"/>
        <v>7.7761822858315052E-2</v>
      </c>
    </row>
    <row r="15" spans="1:16" x14ac:dyDescent="0.3">
      <c r="B15" s="10" t="s">
        <v>132</v>
      </c>
      <c r="C15" s="10">
        <f t="shared" si="1"/>
        <v>0.2390569811199742</v>
      </c>
      <c r="D15" s="10">
        <f t="shared" si="2"/>
        <v>0.30863842606798808</v>
      </c>
      <c r="E15" s="10">
        <f t="shared" si="3"/>
        <v>0.12308155869293891</v>
      </c>
      <c r="F15" s="10">
        <f t="shared" si="4"/>
        <v>0.15609021670159695</v>
      </c>
      <c r="G15" s="10">
        <f t="shared" si="5"/>
        <v>0.11831965393103416</v>
      </c>
      <c r="H15" s="10">
        <f t="shared" si="6"/>
        <v>0.16698036821674844</v>
      </c>
      <c r="J15" s="10" t="s">
        <v>132</v>
      </c>
      <c r="K15" s="8">
        <f t="shared" si="7"/>
        <v>0.67721294761226791</v>
      </c>
      <c r="L15" s="8">
        <f t="shared" si="8"/>
        <v>0.63773280927704301</v>
      </c>
      <c r="M15" s="8">
        <f t="shared" si="9"/>
        <v>0.74301677971616265</v>
      </c>
      <c r="N15" s="8">
        <f t="shared" si="10"/>
        <v>0.72428784435968074</v>
      </c>
      <c r="O15" s="8">
        <f t="shared" si="11"/>
        <v>0.74571865891513045</v>
      </c>
      <c r="P15" s="8">
        <f t="shared" si="12"/>
        <v>0.71810883085067756</v>
      </c>
    </row>
    <row r="16" spans="1:16" x14ac:dyDescent="0.3">
      <c r="J16" s="12" t="s">
        <v>174</v>
      </c>
      <c r="K16" s="11">
        <f>SUM(K10:K15)</f>
        <v>0.73357917256916672</v>
      </c>
      <c r="L16" s="11">
        <f t="shared" ref="L16:P16" si="13">SUM(L10:L15)</f>
        <v>0.68003280589942816</v>
      </c>
      <c r="M16" s="11">
        <f t="shared" si="13"/>
        <v>0.8758279588798894</v>
      </c>
      <c r="N16" s="11">
        <f t="shared" si="13"/>
        <v>0.83706135128763837</v>
      </c>
      <c r="O16" s="11">
        <f t="shared" si="13"/>
        <v>0.90572463825288363</v>
      </c>
      <c r="P16" s="11">
        <f t="shared" si="13"/>
        <v>0.83370957794854783</v>
      </c>
    </row>
    <row r="17" spans="10:16" x14ac:dyDescent="0.3">
      <c r="J17" s="13" t="s">
        <v>175</v>
      </c>
      <c r="K17" s="14">
        <f>1-K16</f>
        <v>0.26642082743083328</v>
      </c>
      <c r="L17" s="14">
        <f t="shared" ref="L17:P17" si="14">1-L16</f>
        <v>0.31996719410057184</v>
      </c>
      <c r="M17" s="14">
        <f t="shared" si="14"/>
        <v>0.1241720411201106</v>
      </c>
      <c r="N17" s="14">
        <f t="shared" si="14"/>
        <v>0.16293864871236163</v>
      </c>
      <c r="O17" s="14">
        <f t="shared" si="14"/>
        <v>9.4275361747116371E-2</v>
      </c>
      <c r="P17" s="14">
        <f t="shared" si="14"/>
        <v>0.16629042205145217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29E4-6C25-478E-AACD-606EE08728E7}">
  <dimension ref="A1:P17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142</v>
      </c>
      <c r="B2" s="10">
        <v>4.0087123372919149E-2</v>
      </c>
      <c r="C2" s="10">
        <v>6.4102564102564097E-2</v>
      </c>
      <c r="D2" s="10">
        <v>0</v>
      </c>
      <c r="E2" s="10">
        <v>2.8571428571428571E-2</v>
      </c>
      <c r="F2" s="10">
        <v>1.1235955056179775E-2</v>
      </c>
      <c r="G2" s="10">
        <v>2.1505376344086023E-2</v>
      </c>
      <c r="H2" s="10">
        <v>0.12781954887218044</v>
      </c>
      <c r="I2" s="10">
        <v>4.0087123372919149E-2</v>
      </c>
      <c r="J2" s="10">
        <v>4.0087123372919149E-2</v>
      </c>
      <c r="K2" s="10">
        <v>6.4102564102564097E-2</v>
      </c>
      <c r="L2" s="10">
        <v>0</v>
      </c>
      <c r="M2" s="10">
        <v>2.8571428571428571E-2</v>
      </c>
      <c r="N2" s="10">
        <v>1.1235955056179775E-2</v>
      </c>
      <c r="O2" s="10">
        <v>2.1505376344086023E-2</v>
      </c>
      <c r="P2" s="10">
        <v>0.12781954887218044</v>
      </c>
    </row>
    <row r="3" spans="1:16" x14ac:dyDescent="0.3">
      <c r="A3" s="10" t="s">
        <v>143</v>
      </c>
      <c r="B3" s="10">
        <v>5.2977826508916068E-2</v>
      </c>
      <c r="C3" s="10">
        <v>7.6923076923076927E-2</v>
      </c>
      <c r="D3" s="10">
        <v>8.6956521739130432E-2</v>
      </c>
      <c r="E3" s="10">
        <v>0.14285714285714285</v>
      </c>
      <c r="F3" s="10">
        <v>6.741573033707865E-2</v>
      </c>
      <c r="G3" s="10">
        <v>3.2258064516129031E-2</v>
      </c>
      <c r="H3" s="10">
        <v>5.2631578947368418E-2</v>
      </c>
      <c r="I3" s="10">
        <v>9.3064949881835224E-2</v>
      </c>
      <c r="J3" s="10">
        <f t="shared" ref="J3:P7" si="0">J2+B3</f>
        <v>9.3064949881835224E-2</v>
      </c>
      <c r="K3" s="10">
        <f t="shared" si="0"/>
        <v>0.14102564102564102</v>
      </c>
      <c r="L3" s="10">
        <f t="shared" si="0"/>
        <v>8.6956521739130432E-2</v>
      </c>
      <c r="M3" s="10">
        <f t="shared" si="0"/>
        <v>0.17142857142857143</v>
      </c>
      <c r="N3" s="10">
        <f t="shared" si="0"/>
        <v>7.8651685393258425E-2</v>
      </c>
      <c r="O3" s="10">
        <f t="shared" si="0"/>
        <v>5.3763440860215055E-2</v>
      </c>
      <c r="P3" s="10">
        <f t="shared" si="0"/>
        <v>0.18045112781954886</v>
      </c>
    </row>
    <row r="4" spans="1:16" x14ac:dyDescent="0.3">
      <c r="A4" s="10" t="s">
        <v>141</v>
      </c>
      <c r="B4" s="10">
        <v>9.0331231802994502E-2</v>
      </c>
      <c r="C4" s="10">
        <v>7.6923076923076927E-2</v>
      </c>
      <c r="D4" s="10">
        <v>0.17391304347826086</v>
      </c>
      <c r="E4" s="10">
        <v>5.7142857142857141E-2</v>
      </c>
      <c r="F4" s="10">
        <v>8.98876404494382E-2</v>
      </c>
      <c r="G4" s="10">
        <v>7.5268817204301078E-2</v>
      </c>
      <c r="H4" s="10">
        <v>4.5112781954887216E-2</v>
      </c>
      <c r="I4" s="10">
        <v>0.18339618168482974</v>
      </c>
      <c r="J4" s="10">
        <f t="shared" si="0"/>
        <v>0.18339618168482974</v>
      </c>
      <c r="K4" s="10">
        <f t="shared" si="0"/>
        <v>0.21794871794871795</v>
      </c>
      <c r="L4" s="10">
        <f t="shared" si="0"/>
        <v>0.2608695652173913</v>
      </c>
      <c r="M4" s="10">
        <f t="shared" si="0"/>
        <v>0.22857142857142856</v>
      </c>
      <c r="N4" s="10">
        <f t="shared" si="0"/>
        <v>0.16853932584269662</v>
      </c>
      <c r="O4" s="10">
        <f t="shared" si="0"/>
        <v>0.12903225806451613</v>
      </c>
      <c r="P4" s="10">
        <f t="shared" si="0"/>
        <v>0.22556390977443608</v>
      </c>
    </row>
    <row r="5" spans="1:16" x14ac:dyDescent="0.3">
      <c r="A5" s="10" t="s">
        <v>139</v>
      </c>
      <c r="B5" s="10">
        <v>9.4902245501218688E-2</v>
      </c>
      <c r="C5" s="10">
        <v>3.8461538461538464E-2</v>
      </c>
      <c r="D5" s="10">
        <v>8.6956521739130432E-2</v>
      </c>
      <c r="E5" s="10">
        <v>0.14285714285714285</v>
      </c>
      <c r="F5" s="10">
        <v>0.1348314606741573</v>
      </c>
      <c r="G5" s="10">
        <v>6.4516129032258063E-2</v>
      </c>
      <c r="H5" s="10">
        <v>9.0225563909774431E-2</v>
      </c>
      <c r="I5" s="10">
        <v>0.27829842718604841</v>
      </c>
      <c r="J5" s="10">
        <f t="shared" si="0"/>
        <v>0.27829842718604841</v>
      </c>
      <c r="K5" s="10">
        <f t="shared" si="0"/>
        <v>0.25641025641025639</v>
      </c>
      <c r="L5" s="10">
        <f t="shared" si="0"/>
        <v>0.34782608695652173</v>
      </c>
      <c r="M5" s="10">
        <f t="shared" si="0"/>
        <v>0.37142857142857144</v>
      </c>
      <c r="N5" s="10">
        <f t="shared" si="0"/>
        <v>0.3033707865168539</v>
      </c>
      <c r="O5" s="10">
        <f t="shared" si="0"/>
        <v>0.19354838709677419</v>
      </c>
      <c r="P5" s="10">
        <f t="shared" si="0"/>
        <v>0.31578947368421051</v>
      </c>
    </row>
    <row r="6" spans="1:16" x14ac:dyDescent="0.3">
      <c r="A6" s="10" t="s">
        <v>140</v>
      </c>
      <c r="B6" s="10">
        <v>0.12486942606737245</v>
      </c>
      <c r="C6" s="10">
        <v>7.6923076923076927E-2</v>
      </c>
      <c r="D6" s="10">
        <v>8.6956521739130432E-2</v>
      </c>
      <c r="E6" s="10">
        <v>8.5714285714285715E-2</v>
      </c>
      <c r="F6" s="10">
        <v>2.247191011235955E-2</v>
      </c>
      <c r="G6" s="10">
        <v>0.26344086021505375</v>
      </c>
      <c r="H6" s="10">
        <v>0.15037593984962405</v>
      </c>
      <c r="I6" s="10">
        <v>0.40316785325342086</v>
      </c>
      <c r="J6" s="10">
        <f t="shared" si="0"/>
        <v>0.40316785325342086</v>
      </c>
      <c r="K6" s="10">
        <f t="shared" si="0"/>
        <v>0.33333333333333331</v>
      </c>
      <c r="L6" s="10">
        <f t="shared" si="0"/>
        <v>0.43478260869565216</v>
      </c>
      <c r="M6" s="10">
        <f t="shared" si="0"/>
        <v>0.45714285714285718</v>
      </c>
      <c r="N6" s="10">
        <f t="shared" si="0"/>
        <v>0.32584269662921345</v>
      </c>
      <c r="O6" s="10">
        <f t="shared" si="0"/>
        <v>0.45698924731182794</v>
      </c>
      <c r="P6" s="10">
        <f t="shared" si="0"/>
        <v>0.46616541353383456</v>
      </c>
    </row>
    <row r="7" spans="1:16" x14ac:dyDescent="0.3">
      <c r="A7" s="10" t="s">
        <v>138</v>
      </c>
      <c r="B7" s="10">
        <v>0.59683214674657914</v>
      </c>
      <c r="C7" s="10">
        <v>0.66666666666666663</v>
      </c>
      <c r="D7" s="10">
        <v>0.56521739130434778</v>
      </c>
      <c r="E7" s="10">
        <v>0.54285714285714282</v>
      </c>
      <c r="F7" s="10">
        <v>0.6741573033707865</v>
      </c>
      <c r="G7" s="10">
        <v>0.543010752688172</v>
      </c>
      <c r="H7" s="10">
        <v>0.53383458646616544</v>
      </c>
      <c r="I7" s="10">
        <v>1</v>
      </c>
      <c r="J7" s="10">
        <f t="shared" si="0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154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167</v>
      </c>
      <c r="J9" s="1" t="s">
        <v>154</v>
      </c>
      <c r="K9" s="11" t="s">
        <v>168</v>
      </c>
      <c r="L9" s="11" t="s">
        <v>169</v>
      </c>
      <c r="M9" s="11" t="s">
        <v>170</v>
      </c>
      <c r="N9" s="11" t="s">
        <v>171</v>
      </c>
      <c r="O9" s="11" t="s">
        <v>172</v>
      </c>
      <c r="P9" s="11" t="s">
        <v>173</v>
      </c>
    </row>
    <row r="10" spans="1:16" x14ac:dyDescent="0.3">
      <c r="B10" s="10" t="s">
        <v>142</v>
      </c>
      <c r="C10" s="10">
        <f>C2-B2</f>
        <v>2.4015440729644948E-2</v>
      </c>
      <c r="D10" s="10">
        <f>D2-B2</f>
        <v>-4.0087123372919149E-2</v>
      </c>
      <c r="E10" s="10">
        <f>E2-B2</f>
        <v>-1.1515694801490579E-2</v>
      </c>
      <c r="F10" s="10">
        <f>F2-B2</f>
        <v>-2.8851168316739374E-2</v>
      </c>
      <c r="G10" s="10">
        <f>G2-B2</f>
        <v>-1.8581747028833126E-2</v>
      </c>
      <c r="H10" s="10">
        <f>H2-B2</f>
        <v>8.7732425499261302E-2</v>
      </c>
      <c r="J10" s="10" t="s">
        <v>142</v>
      </c>
      <c r="K10" s="8">
        <f>(J2-0) * ((K2+0))</f>
        <v>2.5696873956999452E-3</v>
      </c>
      <c r="L10" s="8">
        <f>(J2-0) * ((L2+0))</f>
        <v>0</v>
      </c>
      <c r="M10" s="8">
        <f>(J2-0) * ((M2+0))</f>
        <v>1.1453463820834042E-3</v>
      </c>
      <c r="N10" s="8">
        <f>(J2-0) * ((N2+0))</f>
        <v>4.5041711654965333E-4</v>
      </c>
      <c r="O10" s="8">
        <f>(J2-0) * ((O2+0))</f>
        <v>8.6208867468643335E-4</v>
      </c>
      <c r="P10" s="8">
        <f>(J2-0) * ((P2+0))</f>
        <v>5.1239180251099661E-3</v>
      </c>
    </row>
    <row r="11" spans="1:16" x14ac:dyDescent="0.3">
      <c r="B11" s="10" t="s">
        <v>143</v>
      </c>
      <c r="C11" s="10">
        <f t="shared" ref="C11:C15" si="1">C3-B3</f>
        <v>2.394525041416086E-2</v>
      </c>
      <c r="D11" s="10">
        <f t="shared" ref="D11:D15" si="2">D3-B3</f>
        <v>3.3978695230214365E-2</v>
      </c>
      <c r="E11" s="10">
        <f t="shared" ref="E11:E15" si="3">E3-B3</f>
        <v>8.9879316348226782E-2</v>
      </c>
      <c r="F11" s="10">
        <f t="shared" ref="F11:F15" si="4">F3-B3</f>
        <v>1.4437903828162582E-2</v>
      </c>
      <c r="G11" s="10">
        <f t="shared" ref="G11:G15" si="5">G3-B3</f>
        <v>-2.0719761992787036E-2</v>
      </c>
      <c r="H11" s="10">
        <f t="shared" ref="H11:H15" si="6">H3-B3</f>
        <v>-3.4624756154764957E-4</v>
      </c>
      <c r="J11" s="10" t="s">
        <v>143</v>
      </c>
      <c r="K11" s="8">
        <f>(J3-J2) * ((K3+K2))</f>
        <v>1.0867246463367399E-2</v>
      </c>
      <c r="L11" s="8">
        <f>(J3-J2) * ((L3+L2))</f>
        <v>4.6067675225144409E-3</v>
      </c>
      <c r="M11" s="8">
        <f>(J3-J2) * ((M3+M2))</f>
        <v>1.0595565301783216E-2</v>
      </c>
      <c r="N11" s="8">
        <f>(J3-J2) * ((N3+N2))</f>
        <v>4.7620518210261635E-3</v>
      </c>
      <c r="O11" s="8">
        <f>(J3-J2) * ((O3+O2))</f>
        <v>3.9875783393807799E-3</v>
      </c>
      <c r="P11" s="8">
        <f>(J3-J2) * ((P3+P2))</f>
        <v>1.6331510427560595E-2</v>
      </c>
    </row>
    <row r="12" spans="1:16" x14ac:dyDescent="0.3">
      <c r="B12" s="10" t="s">
        <v>141</v>
      </c>
      <c r="C12" s="10">
        <f t="shared" si="1"/>
        <v>-1.3408154879917575E-2</v>
      </c>
      <c r="D12" s="10">
        <f t="shared" si="2"/>
        <v>8.3581811675266363E-2</v>
      </c>
      <c r="E12" s="10">
        <f t="shared" si="3"/>
        <v>-3.3188374660137361E-2</v>
      </c>
      <c r="F12" s="10">
        <f t="shared" si="4"/>
        <v>-4.4359135355630241E-4</v>
      </c>
      <c r="G12" s="10">
        <f t="shared" si="5"/>
        <v>-1.5062414598693424E-2</v>
      </c>
      <c r="H12" s="10">
        <f t="shared" si="6"/>
        <v>-4.5218449848107287E-2</v>
      </c>
      <c r="J12" s="10" t="s">
        <v>141</v>
      </c>
      <c r="K12" s="8">
        <f t="shared" ref="K12:K15" si="7">(J4-J3) * ((K4+K3))</f>
        <v>3.2426596031844182E-2</v>
      </c>
      <c r="L12" s="8">
        <f t="shared" ref="L12:L15" si="8">(J4-J3) * ((L4+L3))</f>
        <v>3.1419558887998092E-2</v>
      </c>
      <c r="M12" s="8">
        <f t="shared" ref="M12:M15" si="9">(J4-J3) * ((M4+M3))</f>
        <v>3.6132492721197805E-2</v>
      </c>
      <c r="N12" s="8">
        <f t="shared" ref="N12:N15" si="10">(J4-J3) * ((N4+N3))</f>
        <v>2.2329068535571678E-2</v>
      </c>
      <c r="O12" s="8">
        <f t="shared" ref="O12:O15" si="11">(J4-J3) * ((O4+O3))</f>
        <v>1.6512160652160289E-2</v>
      </c>
      <c r="P12" s="8">
        <f t="shared" ref="P12:P15" si="12">(J4-J3) * ((P4+P3))</f>
        <v>3.6675838476403787E-2</v>
      </c>
    </row>
    <row r="13" spans="1:16" x14ac:dyDescent="0.3">
      <c r="B13" s="10" t="s">
        <v>139</v>
      </c>
      <c r="C13" s="10">
        <f t="shared" si="1"/>
        <v>-5.6440707039680224E-2</v>
      </c>
      <c r="D13" s="10">
        <f t="shared" si="2"/>
        <v>-7.9457237620882554E-3</v>
      </c>
      <c r="E13" s="10">
        <f t="shared" si="3"/>
        <v>4.7954897355924161E-2</v>
      </c>
      <c r="F13" s="10">
        <f t="shared" si="4"/>
        <v>3.9929215172938612E-2</v>
      </c>
      <c r="G13" s="10">
        <f t="shared" si="5"/>
        <v>-3.0386116468960625E-2</v>
      </c>
      <c r="H13" s="10">
        <f t="shared" si="6"/>
        <v>-4.6766815914442567E-3</v>
      </c>
      <c r="J13" s="10" t="s">
        <v>139</v>
      </c>
      <c r="K13" s="8">
        <f t="shared" si="7"/>
        <v>4.5017731840321679E-2</v>
      </c>
      <c r="L13" s="8">
        <f t="shared" si="8"/>
        <v>5.7766584218133112E-2</v>
      </c>
      <c r="M13" s="8">
        <f t="shared" si="9"/>
        <v>5.69413473007312E-2</v>
      </c>
      <c r="N13" s="8">
        <f t="shared" si="10"/>
        <v>4.4785329337653751E-2</v>
      </c>
      <c r="O13" s="8">
        <f t="shared" si="11"/>
        <v>3.0613627581038281E-2</v>
      </c>
      <c r="P13" s="8">
        <f t="shared" si="12"/>
        <v>5.1375651699907848E-2</v>
      </c>
    </row>
    <row r="14" spans="1:16" x14ac:dyDescent="0.3">
      <c r="B14" s="10" t="s">
        <v>140</v>
      </c>
      <c r="C14" s="10">
        <f t="shared" si="1"/>
        <v>-4.7946349144295519E-2</v>
      </c>
      <c r="D14" s="10">
        <f t="shared" si="2"/>
        <v>-3.7912904328242014E-2</v>
      </c>
      <c r="E14" s="10">
        <f t="shared" si="3"/>
        <v>-3.9155140353086731E-2</v>
      </c>
      <c r="F14" s="10">
        <f t="shared" si="4"/>
        <v>-0.1023975159550129</v>
      </c>
      <c r="G14" s="10">
        <f t="shared" si="5"/>
        <v>0.1385714341476813</v>
      </c>
      <c r="H14" s="10">
        <f t="shared" si="6"/>
        <v>2.5506513782251605E-2</v>
      </c>
      <c r="J14" s="10" t="s">
        <v>140</v>
      </c>
      <c r="K14" s="8">
        <f t="shared" si="7"/>
        <v>7.3640943578193993E-2</v>
      </c>
      <c r="L14" s="8">
        <f t="shared" si="8"/>
        <v>9.7723898661421907E-2</v>
      </c>
      <c r="M14" s="8">
        <f t="shared" si="9"/>
        <v>0.10346323874153718</v>
      </c>
      <c r="N14" s="8">
        <f t="shared" si="10"/>
        <v>7.8569526514301768E-2</v>
      </c>
      <c r="O14" s="8">
        <f t="shared" si="11"/>
        <v>8.1232261043828316E-2</v>
      </c>
      <c r="P14" s="8">
        <f t="shared" si="12"/>
        <v>9.7642257977494235E-2</v>
      </c>
    </row>
    <row r="15" spans="1:16" x14ac:dyDescent="0.3">
      <c r="B15" s="10" t="s">
        <v>138</v>
      </c>
      <c r="C15" s="10">
        <f t="shared" si="1"/>
        <v>6.983451992008749E-2</v>
      </c>
      <c r="D15" s="10">
        <f t="shared" si="2"/>
        <v>-3.1614755442231357E-2</v>
      </c>
      <c r="E15" s="10">
        <f t="shared" si="3"/>
        <v>-5.3975003889436324E-2</v>
      </c>
      <c r="F15" s="10">
        <f t="shared" si="4"/>
        <v>7.7325156624207358E-2</v>
      </c>
      <c r="G15" s="10">
        <f t="shared" si="5"/>
        <v>-5.3821394058407135E-2</v>
      </c>
      <c r="H15" s="10">
        <f t="shared" si="6"/>
        <v>-6.29975602804137E-2</v>
      </c>
      <c r="J15" s="10" t="s">
        <v>138</v>
      </c>
      <c r="K15" s="8">
        <f t="shared" si="7"/>
        <v>0.79577619566210545</v>
      </c>
      <c r="L15" s="8">
        <f t="shared" si="8"/>
        <v>0.85632438446248305</v>
      </c>
      <c r="M15" s="8">
        <f t="shared" si="9"/>
        <v>0.86966969954501538</v>
      </c>
      <c r="N15" s="8">
        <f t="shared" si="10"/>
        <v>0.79130554287748689</v>
      </c>
      <c r="O15" s="8">
        <f t="shared" si="11"/>
        <v>0.8695780202598008</v>
      </c>
      <c r="P15" s="8">
        <f t="shared" si="12"/>
        <v>0.87505465124498438</v>
      </c>
    </row>
    <row r="16" spans="1:16" x14ac:dyDescent="0.3">
      <c r="J16" s="12" t="s">
        <v>174</v>
      </c>
      <c r="K16" s="11">
        <f>SUM(K10:K15)</f>
        <v>0.96029840097153263</v>
      </c>
      <c r="L16" s="11">
        <f t="shared" ref="L16:P16" si="13">SUM(L10:L15)</f>
        <v>1.0478411937525505</v>
      </c>
      <c r="M16" s="11">
        <f t="shared" si="13"/>
        <v>1.0779476899923481</v>
      </c>
      <c r="N16" s="11">
        <f t="shared" si="13"/>
        <v>0.94220193620258996</v>
      </c>
      <c r="O16" s="11">
        <f t="shared" si="13"/>
        <v>1.002785736550895</v>
      </c>
      <c r="P16" s="11">
        <f t="shared" si="13"/>
        <v>1.0822038278514607</v>
      </c>
    </row>
    <row r="17" spans="10:16" x14ac:dyDescent="0.3">
      <c r="J17" s="13" t="s">
        <v>175</v>
      </c>
      <c r="K17" s="14">
        <f>1-K16</f>
        <v>3.9701599028467371E-2</v>
      </c>
      <c r="L17" s="14">
        <f t="shared" ref="L17:P17" si="14">1-L16</f>
        <v>-4.784119375255047E-2</v>
      </c>
      <c r="M17" s="14">
        <f t="shared" si="14"/>
        <v>-7.7947689992348135E-2</v>
      </c>
      <c r="N17" s="14">
        <f t="shared" si="14"/>
        <v>5.7798063797410038E-2</v>
      </c>
      <c r="O17" s="14">
        <f t="shared" si="14"/>
        <v>-2.7857365508949794E-3</v>
      </c>
      <c r="P17" s="14">
        <f t="shared" si="14"/>
        <v>-8.2203827851460742E-2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CCD5-D234-43EA-972A-F458465B2204}">
  <dimension ref="A1:P15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8" t="s">
        <v>148</v>
      </c>
      <c r="B2" s="10">
        <v>5.588776448942042E-2</v>
      </c>
      <c r="C2" s="10">
        <v>3.5714285714285712E-2</v>
      </c>
      <c r="D2" s="10">
        <v>1.1627906976744186E-2</v>
      </c>
      <c r="E2" s="10">
        <v>3.3707865168539325E-2</v>
      </c>
      <c r="F2" s="10">
        <v>9.1346153846153841E-2</v>
      </c>
      <c r="G2" s="10">
        <v>4.1666666666666664E-2</v>
      </c>
      <c r="H2" s="10">
        <v>3.7735849056603772E-2</v>
      </c>
      <c r="I2" s="10">
        <v>5.588776448942042E-2</v>
      </c>
      <c r="J2" s="10">
        <v>5.588776448942042E-2</v>
      </c>
      <c r="K2" s="10">
        <v>3.5714285714285712E-2</v>
      </c>
      <c r="L2" s="10">
        <v>1.1627906976744186E-2</v>
      </c>
      <c r="M2" s="10">
        <v>3.3707865168539325E-2</v>
      </c>
      <c r="N2" s="10">
        <v>9.1346153846153841E-2</v>
      </c>
      <c r="O2" s="10">
        <v>4.1666666666666664E-2</v>
      </c>
      <c r="P2" s="10">
        <v>3.7735849056603772E-2</v>
      </c>
    </row>
    <row r="3" spans="1:16" x14ac:dyDescent="0.3">
      <c r="A3" s="8" t="s">
        <v>146</v>
      </c>
      <c r="B3" s="10">
        <v>7.2161596294768898E-2</v>
      </c>
      <c r="C3" s="10">
        <v>0.1130952380952381</v>
      </c>
      <c r="D3" s="10">
        <v>9.3023255813953487E-2</v>
      </c>
      <c r="E3" s="10">
        <v>6.741573033707865E-2</v>
      </c>
      <c r="F3" s="10">
        <v>4.3269230769230768E-2</v>
      </c>
      <c r="G3" s="10">
        <v>7.8125E-2</v>
      </c>
      <c r="H3" s="10">
        <v>7.5471698113207544E-2</v>
      </c>
      <c r="I3" s="10">
        <v>0.12804936078418933</v>
      </c>
      <c r="J3" s="10">
        <f t="shared" ref="J3:P6" si="0">J2+B3</f>
        <v>0.12804936078418933</v>
      </c>
      <c r="K3" s="10">
        <f t="shared" si="0"/>
        <v>0.14880952380952381</v>
      </c>
      <c r="L3" s="10">
        <f t="shared" si="0"/>
        <v>0.10465116279069767</v>
      </c>
      <c r="M3" s="10">
        <f t="shared" si="0"/>
        <v>0.10112359550561797</v>
      </c>
      <c r="N3" s="10">
        <f t="shared" si="0"/>
        <v>0.13461538461538461</v>
      </c>
      <c r="O3" s="10">
        <f t="shared" si="0"/>
        <v>0.11979166666666666</v>
      </c>
      <c r="P3" s="10">
        <f t="shared" si="0"/>
        <v>0.11320754716981132</v>
      </c>
    </row>
    <row r="4" spans="1:16" x14ac:dyDescent="0.3">
      <c r="A4" s="8" t="s">
        <v>147</v>
      </c>
      <c r="B4" s="10">
        <v>9.9221203565650479E-2</v>
      </c>
      <c r="C4" s="10">
        <v>7.1428571428571425E-2</v>
      </c>
      <c r="D4" s="10">
        <v>8.1395348837209308E-2</v>
      </c>
      <c r="E4" s="10">
        <v>0.10112359550561797</v>
      </c>
      <c r="F4" s="10">
        <v>4.3269230769230768E-2</v>
      </c>
      <c r="G4" s="10">
        <v>7.2916666666666671E-2</v>
      </c>
      <c r="H4" s="10">
        <v>6.2893081761006289E-2</v>
      </c>
      <c r="I4" s="10">
        <v>0.2272705643498398</v>
      </c>
      <c r="J4" s="10">
        <f t="shared" si="0"/>
        <v>0.2272705643498398</v>
      </c>
      <c r="K4" s="10">
        <f t="shared" si="0"/>
        <v>0.22023809523809523</v>
      </c>
      <c r="L4" s="10">
        <f t="shared" si="0"/>
        <v>0.18604651162790697</v>
      </c>
      <c r="M4" s="10">
        <f t="shared" si="0"/>
        <v>0.20224719101123595</v>
      </c>
      <c r="N4" s="10">
        <f t="shared" si="0"/>
        <v>0.17788461538461536</v>
      </c>
      <c r="O4" s="10">
        <f t="shared" si="0"/>
        <v>0.19270833333333331</v>
      </c>
      <c r="P4" s="10">
        <f t="shared" si="0"/>
        <v>0.17610062893081763</v>
      </c>
    </row>
    <row r="5" spans="1:16" x14ac:dyDescent="0.3">
      <c r="A5" s="8" t="s">
        <v>145</v>
      </c>
      <c r="B5" s="10">
        <v>0.31967135107699141</v>
      </c>
      <c r="C5" s="10">
        <v>0.42857142857142855</v>
      </c>
      <c r="D5" s="10">
        <v>0.44186046511627908</v>
      </c>
      <c r="E5" s="10">
        <v>0.4943820224719101</v>
      </c>
      <c r="F5" s="10">
        <v>0.57211538461538458</v>
      </c>
      <c r="G5" s="10">
        <v>0.4375</v>
      </c>
      <c r="H5" s="10">
        <v>0.44654088050314467</v>
      </c>
      <c r="I5" s="10">
        <v>0.54694191542683124</v>
      </c>
      <c r="J5" s="10">
        <f t="shared" si="0"/>
        <v>0.54694191542683124</v>
      </c>
      <c r="K5" s="10">
        <f t="shared" si="0"/>
        <v>0.64880952380952372</v>
      </c>
      <c r="L5" s="10">
        <f t="shared" si="0"/>
        <v>0.62790697674418605</v>
      </c>
      <c r="M5" s="10">
        <f t="shared" si="0"/>
        <v>0.69662921348314599</v>
      </c>
      <c r="N5" s="10">
        <f t="shared" si="0"/>
        <v>0.75</v>
      </c>
      <c r="O5" s="10">
        <f t="shared" si="0"/>
        <v>0.63020833333333326</v>
      </c>
      <c r="P5" s="10">
        <f t="shared" si="0"/>
        <v>0.62264150943396235</v>
      </c>
    </row>
    <row r="6" spans="1:16" x14ac:dyDescent="0.3">
      <c r="A6" s="8" t="s">
        <v>144</v>
      </c>
      <c r="B6" s="10">
        <v>0.45305808457316882</v>
      </c>
      <c r="C6" s="10">
        <v>0.35119047619047616</v>
      </c>
      <c r="D6" s="10">
        <v>0.37209302325581395</v>
      </c>
      <c r="E6" s="10">
        <v>0.30337078651685395</v>
      </c>
      <c r="F6" s="10">
        <v>0.25</v>
      </c>
      <c r="G6" s="10">
        <v>0.36979166666666669</v>
      </c>
      <c r="H6" s="10">
        <v>0.37735849056603776</v>
      </c>
      <c r="I6" s="10">
        <v>1</v>
      </c>
      <c r="J6" s="10">
        <f t="shared" si="0"/>
        <v>1</v>
      </c>
      <c r="K6" s="10">
        <f t="shared" si="0"/>
        <v>0.99999999999999989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</row>
    <row r="8" spans="1:16" ht="28.8" x14ac:dyDescent="0.3">
      <c r="B8" s="1" t="s">
        <v>154</v>
      </c>
      <c r="C8" s="3" t="s">
        <v>162</v>
      </c>
      <c r="D8" s="3" t="s">
        <v>163</v>
      </c>
      <c r="E8" s="3" t="s">
        <v>164</v>
      </c>
      <c r="F8" s="3" t="s">
        <v>165</v>
      </c>
      <c r="G8" s="3" t="s">
        <v>166</v>
      </c>
      <c r="H8" s="3" t="s">
        <v>167</v>
      </c>
      <c r="J8" s="8"/>
      <c r="K8" s="11" t="s">
        <v>168</v>
      </c>
      <c r="L8" s="11" t="s">
        <v>169</v>
      </c>
      <c r="M8" s="11" t="s">
        <v>170</v>
      </c>
      <c r="N8" s="11" t="s">
        <v>171</v>
      </c>
      <c r="O8" s="11" t="s">
        <v>172</v>
      </c>
      <c r="P8" s="11" t="s">
        <v>173</v>
      </c>
    </row>
    <row r="9" spans="1:16" x14ac:dyDescent="0.3">
      <c r="B9" s="8" t="s">
        <v>148</v>
      </c>
      <c r="C9" s="10">
        <f>C2-B2</f>
        <v>-2.0173478775134708E-2</v>
      </c>
      <c r="D9" s="10">
        <f>D2-B2</f>
        <v>-4.4259857512676234E-2</v>
      </c>
      <c r="E9" s="10">
        <f>E2-B2</f>
        <v>-2.2179899320881095E-2</v>
      </c>
      <c r="F9" s="10">
        <f>F2-B2</f>
        <v>3.545838935673342E-2</v>
      </c>
      <c r="G9" s="10">
        <f>G2-B2</f>
        <v>-1.4221097822753756E-2</v>
      </c>
      <c r="H9" s="10">
        <f>H2-B2</f>
        <v>-1.8151915432816648E-2</v>
      </c>
      <c r="J9" s="8" t="s">
        <v>148</v>
      </c>
      <c r="K9" s="8">
        <f>(J2-0) * ((K2+0))</f>
        <v>1.995991588907872E-3</v>
      </c>
      <c r="L9" s="8">
        <f>(J2-0) * ((L2+0))</f>
        <v>6.4985772662116764E-4</v>
      </c>
      <c r="M9" s="8">
        <f>(J2-0) * ((M2+0))</f>
        <v>1.8838572299804636E-3</v>
      </c>
      <c r="N9" s="8">
        <f>(J2-0) * ((N2+0))</f>
        <v>5.105132333168211E-3</v>
      </c>
      <c r="O9" s="8">
        <f>(J2-0) * ((O2+0))</f>
        <v>2.3286568537258506E-3</v>
      </c>
      <c r="P9" s="8">
        <f>(J2-0) * ((P2+0))</f>
        <v>2.1089722448837892E-3</v>
      </c>
    </row>
    <row r="10" spans="1:16" x14ac:dyDescent="0.3">
      <c r="B10" s="8" t="s">
        <v>146</v>
      </c>
      <c r="C10" s="10">
        <f t="shared" ref="C10:C13" si="1">C3-B3</f>
        <v>4.0933641800469198E-2</v>
      </c>
      <c r="D10" s="10">
        <f t="shared" ref="D10:D13" si="2">D3-B3</f>
        <v>2.0861659519184589E-2</v>
      </c>
      <c r="E10" s="10">
        <f t="shared" ref="E10:E13" si="3">E3-B3</f>
        <v>-4.7458659576902484E-3</v>
      </c>
      <c r="F10" s="10">
        <f t="shared" ref="F10:F13" si="4">F3-B3</f>
        <v>-2.889236552553813E-2</v>
      </c>
      <c r="G10" s="10">
        <f t="shared" ref="G10:G13" si="5">G3-B3</f>
        <v>5.9634037052311017E-3</v>
      </c>
      <c r="H10" s="10">
        <f t="shared" ref="H10:H13" si="6">H3-B3</f>
        <v>3.310101818438646E-3</v>
      </c>
      <c r="J10" s="8" t="s">
        <v>146</v>
      </c>
      <c r="K10" s="8">
        <f>(J3-J2) * ((K3+K2))</f>
        <v>1.3315532649629976E-2</v>
      </c>
      <c r="L10" s="8">
        <f>(J3-J2) * ((L3+L2))</f>
        <v>8.3908832900894056E-3</v>
      </c>
      <c r="M10" s="8">
        <f>(J3-J2) * ((M3+M2))</f>
        <v>9.7296534330025483E-3</v>
      </c>
      <c r="N10" s="8">
        <f>(J3-J2) * ((N3+N2))</f>
        <v>1.6305745316606432E-2</v>
      </c>
      <c r="O10" s="8">
        <f>(J3-J2) * ((O3+O2))</f>
        <v>1.1651091068426227E-2</v>
      </c>
      <c r="P10" s="8">
        <f>(J3-J2) * ((P3+P2))</f>
        <v>1.0892316421851908E-2</v>
      </c>
    </row>
    <row r="11" spans="1:16" x14ac:dyDescent="0.3">
      <c r="B11" s="8" t="s">
        <v>147</v>
      </c>
      <c r="C11" s="10">
        <f t="shared" si="1"/>
        <v>-2.7792632137079054E-2</v>
      </c>
      <c r="D11" s="10">
        <f t="shared" si="2"/>
        <v>-1.7825854728441171E-2</v>
      </c>
      <c r="E11" s="10">
        <f t="shared" si="3"/>
        <v>1.902391939967496E-3</v>
      </c>
      <c r="F11" s="10">
        <f t="shared" si="4"/>
        <v>-5.5951972796419711E-2</v>
      </c>
      <c r="G11" s="10">
        <f t="shared" si="5"/>
        <v>-2.6304536898983807E-2</v>
      </c>
      <c r="H11" s="10">
        <f t="shared" si="6"/>
        <v>-3.6328121804644189E-2</v>
      </c>
      <c r="J11" s="8" t="s">
        <v>147</v>
      </c>
      <c r="K11" s="8">
        <f t="shared" ref="K11:K13" si="7">(J4-J3) * ((K4+K3))</f>
        <v>3.6617348934942444E-2</v>
      </c>
      <c r="L11" s="8">
        <f t="shared" ref="L11:L13" si="8">(J4-J3) * ((L4+L3))</f>
        <v>2.8843373129549554E-2</v>
      </c>
      <c r="M11" s="8">
        <f t="shared" ref="M11:M13" si="9">(J4-J3) * ((M4+M3))</f>
        <v>3.0100814564860252E-2</v>
      </c>
      <c r="N11" s="8">
        <f t="shared" ref="N11:N13" si="10">(J4-J3) * ((N4+N3))</f>
        <v>3.1006626114265773E-2</v>
      </c>
      <c r="O11" s="8">
        <f t="shared" ref="O11:O13" si="11">(J4-J3) * ((O4+O3))</f>
        <v>3.1006626114265773E-2</v>
      </c>
      <c r="P11" s="8">
        <f t="shared" ref="P11:P13" si="12">(J4-J3) * ((P4+P3))</f>
        <v>2.8705505434087564E-2</v>
      </c>
    </row>
    <row r="12" spans="1:16" x14ac:dyDescent="0.3">
      <c r="B12" s="8" t="s">
        <v>145</v>
      </c>
      <c r="C12" s="10">
        <f t="shared" si="1"/>
        <v>0.10890007749443714</v>
      </c>
      <c r="D12" s="10">
        <f t="shared" si="2"/>
        <v>0.12218911403928767</v>
      </c>
      <c r="E12" s="10">
        <f t="shared" si="3"/>
        <v>0.17471067139491869</v>
      </c>
      <c r="F12" s="10">
        <f t="shared" si="4"/>
        <v>0.25244403353839318</v>
      </c>
      <c r="G12" s="10">
        <f t="shared" si="5"/>
        <v>0.11782864892300859</v>
      </c>
      <c r="H12" s="10">
        <f t="shared" si="6"/>
        <v>0.12686952942615326</v>
      </c>
      <c r="J12" s="8" t="s">
        <v>145</v>
      </c>
      <c r="K12" s="8">
        <f t="shared" si="7"/>
        <v>0.2778096265311949</v>
      </c>
      <c r="L12" s="8">
        <f t="shared" si="8"/>
        <v>0.26019761134173719</v>
      </c>
      <c r="M12" s="8">
        <f t="shared" si="9"/>
        <v>0.2873450346759473</v>
      </c>
      <c r="N12" s="8">
        <f t="shared" si="10"/>
        <v>0.29661812864355452</v>
      </c>
      <c r="O12" s="8">
        <f t="shared" si="11"/>
        <v>0.26306288265710748</v>
      </c>
      <c r="P12" s="8">
        <f t="shared" si="12"/>
        <v>0.25533497853319442</v>
      </c>
    </row>
    <row r="13" spans="1:16" x14ac:dyDescent="0.3">
      <c r="B13" s="8" t="s">
        <v>144</v>
      </c>
      <c r="C13" s="10">
        <f t="shared" si="1"/>
        <v>-0.10186760838269265</v>
      </c>
      <c r="D13" s="10">
        <f t="shared" si="2"/>
        <v>-8.0965061317354869E-2</v>
      </c>
      <c r="E13" s="10">
        <f t="shared" si="3"/>
        <v>-0.14968729805631487</v>
      </c>
      <c r="F13" s="10">
        <f t="shared" si="4"/>
        <v>-0.20305808457316882</v>
      </c>
      <c r="G13" s="10">
        <f t="shared" si="5"/>
        <v>-8.3266417906502133E-2</v>
      </c>
      <c r="H13" s="10">
        <f t="shared" si="6"/>
        <v>-7.5699594007131055E-2</v>
      </c>
      <c r="J13" s="8" t="s">
        <v>144</v>
      </c>
      <c r="K13" s="8">
        <f t="shared" si="7"/>
        <v>0.74700648468314135</v>
      </c>
      <c r="L13" s="8">
        <f t="shared" si="8"/>
        <v>0.73753641674701886</v>
      </c>
      <c r="M13" s="8">
        <f t="shared" si="9"/>
        <v>0.76867158169155592</v>
      </c>
      <c r="N13" s="8">
        <f t="shared" si="10"/>
        <v>0.79285164800304531</v>
      </c>
      <c r="O13" s="8">
        <f t="shared" si="11"/>
        <v>0.73857906495521775</v>
      </c>
      <c r="P13" s="8">
        <f t="shared" si="12"/>
        <v>0.73515085421306636</v>
      </c>
    </row>
    <row r="14" spans="1:16" x14ac:dyDescent="0.3">
      <c r="J14" s="11" t="s">
        <v>174</v>
      </c>
      <c r="K14" s="11">
        <f>SUM(K9:K13)</f>
        <v>1.0767449843878165</v>
      </c>
      <c r="L14" s="11">
        <f t="shared" ref="L14:P14" si="13">SUM(L9:L13)</f>
        <v>1.0356181422350161</v>
      </c>
      <c r="M14" s="11">
        <f t="shared" si="13"/>
        <v>1.0977309415953465</v>
      </c>
      <c r="N14" s="11">
        <f t="shared" si="13"/>
        <v>1.1418872804106401</v>
      </c>
      <c r="O14" s="11">
        <f t="shared" si="13"/>
        <v>1.0466283216487431</v>
      </c>
      <c r="P14" s="11">
        <f t="shared" si="13"/>
        <v>1.032192626847084</v>
      </c>
    </row>
    <row r="15" spans="1:16" x14ac:dyDescent="0.3">
      <c r="J15" s="14" t="s">
        <v>175</v>
      </c>
      <c r="K15" s="14">
        <f>1-K14</f>
        <v>-7.6744984387816517E-2</v>
      </c>
      <c r="L15" s="14">
        <f t="shared" ref="L15:P15" si="14">1-L14</f>
        <v>-3.5618142235016137E-2</v>
      </c>
      <c r="M15" s="14">
        <f t="shared" si="14"/>
        <v>-9.7730941595346454E-2</v>
      </c>
      <c r="N15" s="14">
        <f t="shared" si="14"/>
        <v>-0.14188728041064014</v>
      </c>
      <c r="O15" s="14">
        <f t="shared" si="14"/>
        <v>-4.6628321648743087E-2</v>
      </c>
      <c r="P15" s="14">
        <f t="shared" si="14"/>
        <v>-3.2192626847084016E-2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D75-3F81-4296-B17A-CD652766E2F4}">
  <dimension ref="A1:P15"/>
  <sheetViews>
    <sheetView tabSelected="1"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8" t="s">
        <v>150</v>
      </c>
      <c r="B2" s="10">
        <v>1.7370091699976487E-2</v>
      </c>
      <c r="C2" s="10">
        <v>1.3605442176870748E-2</v>
      </c>
      <c r="D2" s="10">
        <v>4.1095890410958902E-2</v>
      </c>
      <c r="E2" s="10">
        <v>0</v>
      </c>
      <c r="F2" s="10">
        <v>1.3201320132013201E-2</v>
      </c>
      <c r="G2" s="10">
        <v>3.2710280373831772E-2</v>
      </c>
      <c r="H2" s="10">
        <v>1.8518518518518517E-2</v>
      </c>
      <c r="I2" s="10">
        <v>1.7370091699976487E-2</v>
      </c>
      <c r="J2" s="10">
        <v>1.7370091699976487E-2</v>
      </c>
      <c r="K2" s="10">
        <v>1.3605442176870748E-2</v>
      </c>
      <c r="L2" s="10">
        <v>4.1095890410958902E-2</v>
      </c>
      <c r="M2" s="10">
        <v>0</v>
      </c>
      <c r="N2" s="10">
        <v>1.3201320132013201E-2</v>
      </c>
      <c r="O2" s="10">
        <v>3.2710280373831772E-2</v>
      </c>
      <c r="P2" s="10">
        <v>1.8518518518518517E-2</v>
      </c>
    </row>
    <row r="3" spans="1:16" x14ac:dyDescent="0.3">
      <c r="A3" s="8" t="s">
        <v>152</v>
      </c>
      <c r="B3" s="10">
        <v>4.2930480445175952E-2</v>
      </c>
      <c r="C3" s="10">
        <v>4.0816326530612242E-2</v>
      </c>
      <c r="D3" s="10">
        <v>5.4794520547945202E-2</v>
      </c>
      <c r="E3" s="10">
        <v>9.4339622641509441E-2</v>
      </c>
      <c r="F3" s="10">
        <v>5.6105610561056105E-2</v>
      </c>
      <c r="G3" s="10">
        <v>1.8691588785046728E-2</v>
      </c>
      <c r="H3" s="10">
        <v>8.7962962962962965E-2</v>
      </c>
      <c r="I3" s="10">
        <v>6.0300572145152442E-2</v>
      </c>
      <c r="J3" s="10">
        <f t="shared" ref="J3:P6" si="0">J2+B3</f>
        <v>6.0300572145152442E-2</v>
      </c>
      <c r="K3" s="10">
        <f t="shared" si="0"/>
        <v>5.4421768707482991E-2</v>
      </c>
      <c r="L3" s="10">
        <f t="shared" si="0"/>
        <v>9.5890410958904104E-2</v>
      </c>
      <c r="M3" s="10">
        <f t="shared" si="0"/>
        <v>9.4339622641509441E-2</v>
      </c>
      <c r="N3" s="10">
        <f t="shared" si="0"/>
        <v>6.9306930693069313E-2</v>
      </c>
      <c r="O3" s="10">
        <f t="shared" si="0"/>
        <v>5.1401869158878497E-2</v>
      </c>
      <c r="P3" s="10">
        <f t="shared" si="0"/>
        <v>0.10648148148148148</v>
      </c>
    </row>
    <row r="4" spans="1:16" x14ac:dyDescent="0.3">
      <c r="A4" s="8" t="s">
        <v>153</v>
      </c>
      <c r="B4" s="10">
        <v>0.12574457245865664</v>
      </c>
      <c r="C4" s="10">
        <v>4.0816326530612242E-2</v>
      </c>
      <c r="D4" s="10">
        <v>5.4794520547945202E-2</v>
      </c>
      <c r="E4" s="10">
        <v>7.5471698113207544E-2</v>
      </c>
      <c r="F4" s="10">
        <v>0.10891089108910891</v>
      </c>
      <c r="G4" s="10">
        <v>0.22897196261682243</v>
      </c>
      <c r="H4" s="10">
        <v>0.12962962962962962</v>
      </c>
      <c r="I4" s="10">
        <v>0.18604514460380908</v>
      </c>
      <c r="J4" s="10">
        <f t="shared" si="0"/>
        <v>0.18604514460380908</v>
      </c>
      <c r="K4" s="10">
        <f t="shared" si="0"/>
        <v>9.5238095238095233E-2</v>
      </c>
      <c r="L4" s="10">
        <f t="shared" si="0"/>
        <v>0.15068493150684931</v>
      </c>
      <c r="M4" s="10">
        <f t="shared" si="0"/>
        <v>0.169811320754717</v>
      </c>
      <c r="N4" s="10">
        <f t="shared" si="0"/>
        <v>0.17821782178217821</v>
      </c>
      <c r="O4" s="10">
        <f t="shared" si="0"/>
        <v>0.28037383177570091</v>
      </c>
      <c r="P4" s="10">
        <f t="shared" si="0"/>
        <v>0.2361111111111111</v>
      </c>
    </row>
    <row r="5" spans="1:16" x14ac:dyDescent="0.3">
      <c r="A5" s="8" t="s">
        <v>151</v>
      </c>
      <c r="B5" s="10">
        <v>0.13988165216709775</v>
      </c>
      <c r="C5" s="10">
        <v>5.4421768707482991E-2</v>
      </c>
      <c r="D5" s="10">
        <v>5.4794520547945202E-2</v>
      </c>
      <c r="E5" s="10">
        <v>7.5471698113207544E-2</v>
      </c>
      <c r="F5" s="10">
        <v>4.9504950495049507E-2</v>
      </c>
      <c r="G5" s="10">
        <v>0.19626168224299065</v>
      </c>
      <c r="H5" s="10">
        <v>8.7962962962962965E-2</v>
      </c>
      <c r="I5" s="10">
        <v>0.32592679677090686</v>
      </c>
      <c r="J5" s="10">
        <f t="shared" si="0"/>
        <v>0.32592679677090686</v>
      </c>
      <c r="K5" s="10">
        <f t="shared" si="0"/>
        <v>0.14965986394557823</v>
      </c>
      <c r="L5" s="10">
        <f t="shared" si="0"/>
        <v>0.20547945205479451</v>
      </c>
      <c r="M5" s="10">
        <f t="shared" si="0"/>
        <v>0.24528301886792453</v>
      </c>
      <c r="N5" s="10">
        <f t="shared" si="0"/>
        <v>0.2277227722772277</v>
      </c>
      <c r="O5" s="10">
        <f t="shared" si="0"/>
        <v>0.47663551401869153</v>
      </c>
      <c r="P5" s="10">
        <f t="shared" si="0"/>
        <v>0.32407407407407407</v>
      </c>
    </row>
    <row r="6" spans="1:16" x14ac:dyDescent="0.3">
      <c r="A6" s="8" t="s">
        <v>149</v>
      </c>
      <c r="B6" s="10">
        <v>0.67407320322909314</v>
      </c>
      <c r="C6" s="10">
        <v>0.85034013605442171</v>
      </c>
      <c r="D6" s="10">
        <v>0.79452054794520544</v>
      </c>
      <c r="E6" s="10">
        <v>0.75471698113207553</v>
      </c>
      <c r="F6" s="10">
        <v>0.7722772277227723</v>
      </c>
      <c r="G6" s="10">
        <v>0.52336448598130836</v>
      </c>
      <c r="H6" s="10">
        <v>0.67592592592592593</v>
      </c>
      <c r="I6" s="10"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0.99999999999999989</v>
      </c>
      <c r="P6" s="10">
        <f t="shared" si="0"/>
        <v>1</v>
      </c>
    </row>
    <row r="8" spans="1:16" ht="28.8" x14ac:dyDescent="0.3">
      <c r="B8" s="1" t="s">
        <v>154</v>
      </c>
      <c r="C8" s="3" t="s">
        <v>162</v>
      </c>
      <c r="D8" s="3" t="s">
        <v>163</v>
      </c>
      <c r="E8" s="3" t="s">
        <v>164</v>
      </c>
      <c r="F8" s="3" t="s">
        <v>165</v>
      </c>
      <c r="G8" s="3" t="s">
        <v>166</v>
      </c>
      <c r="H8" s="3" t="s">
        <v>167</v>
      </c>
      <c r="J8" s="8"/>
      <c r="K8" s="11" t="s">
        <v>168</v>
      </c>
      <c r="L8" s="11" t="s">
        <v>169</v>
      </c>
      <c r="M8" s="11" t="s">
        <v>170</v>
      </c>
      <c r="N8" s="11" t="s">
        <v>171</v>
      </c>
      <c r="O8" s="11" t="s">
        <v>172</v>
      </c>
      <c r="P8" s="11" t="s">
        <v>173</v>
      </c>
    </row>
    <row r="9" spans="1:16" x14ac:dyDescent="0.3">
      <c r="B9" s="8" t="s">
        <v>150</v>
      </c>
      <c r="C9" s="10">
        <f>C2-B2</f>
        <v>-3.7646495231057394E-3</v>
      </c>
      <c r="D9" s="10">
        <f>D2-B2</f>
        <v>2.3725798710982415E-2</v>
      </c>
      <c r="E9" s="10">
        <f>E2-B2</f>
        <v>-1.7370091699976487E-2</v>
      </c>
      <c r="F9" s="10">
        <f>F2-B2</f>
        <v>-4.1687715679632857E-3</v>
      </c>
      <c r="G9" s="10">
        <f>G2-B2</f>
        <v>1.5340188673855285E-2</v>
      </c>
      <c r="H9" s="10">
        <f>H2-B2</f>
        <v>1.1484268185420303E-3</v>
      </c>
      <c r="J9" s="8" t="s">
        <v>150</v>
      </c>
      <c r="K9" s="8">
        <f>(J2-0) * ((K2+0))</f>
        <v>2.363277782309726E-4</v>
      </c>
      <c r="L9" s="8">
        <f>(J2-0) * ((L2+0))</f>
        <v>7.1383938493054053E-4</v>
      </c>
      <c r="M9" s="8">
        <f>(J2-0) * ((M2+0))</f>
        <v>0</v>
      </c>
      <c r="N9" s="8">
        <f>(J2-0) * ((N2+0))</f>
        <v>2.2930814125381502E-4</v>
      </c>
      <c r="O9" s="8">
        <f>(J2-0) * ((O2+0))</f>
        <v>5.6818056962539909E-4</v>
      </c>
      <c r="P9" s="8">
        <f>(J2-0) * ((P2+0))</f>
        <v>3.2166836481437939E-4</v>
      </c>
    </row>
    <row r="10" spans="1:16" x14ac:dyDescent="0.3">
      <c r="B10" s="8" t="s">
        <v>152</v>
      </c>
      <c r="C10" s="10">
        <f t="shared" ref="C10:C13" si="1">C3-B3</f>
        <v>-2.11415391456371E-3</v>
      </c>
      <c r="D10" s="10">
        <f t="shared" ref="D10:D13" si="2">D3-B3</f>
        <v>1.1864040102769251E-2</v>
      </c>
      <c r="E10" s="10">
        <f t="shared" ref="E10:E13" si="3">E3-B3</f>
        <v>5.1409142196333489E-2</v>
      </c>
      <c r="F10" s="10">
        <f t="shared" ref="F10:F13" si="4">F3-B3</f>
        <v>1.3175130115880153E-2</v>
      </c>
      <c r="G10" s="10">
        <f t="shared" ref="G10:G13" si="5">G3-B3</f>
        <v>-2.4238891660129224E-2</v>
      </c>
      <c r="H10" s="10">
        <f t="shared" ref="H10:H13" si="6">H3-B3</f>
        <v>4.5032482517787013E-2</v>
      </c>
      <c r="J10" s="8" t="s">
        <v>152</v>
      </c>
      <c r="K10" s="8">
        <f>(J3-J2) * ((K3+K2))</f>
        <v>2.9204408466106092E-3</v>
      </c>
      <c r="L10" s="8">
        <f>(J3-J2) * ((L3+L2))</f>
        <v>5.8808877322158847E-3</v>
      </c>
      <c r="M10" s="8">
        <f>(J3-J2) * ((M3+M2))</f>
        <v>4.0500453250166E-3</v>
      </c>
      <c r="N10" s="8">
        <f>(J3-J2) * ((N3+N2))</f>
        <v>3.5421188486118777E-3</v>
      </c>
      <c r="O10" s="8">
        <f>(J3-J2) * ((O3+O2))</f>
        <v>3.6109749907157341E-3</v>
      </c>
      <c r="P10" s="8">
        <f>(J3-J2) * ((P3+P2))</f>
        <v>5.3663100556469948E-3</v>
      </c>
    </row>
    <row r="11" spans="1:16" x14ac:dyDescent="0.3">
      <c r="B11" s="8" t="s">
        <v>153</v>
      </c>
      <c r="C11" s="10">
        <f t="shared" si="1"/>
        <v>-8.4928245928044405E-2</v>
      </c>
      <c r="D11" s="10">
        <f t="shared" si="2"/>
        <v>-7.0950051910711437E-2</v>
      </c>
      <c r="E11" s="10">
        <f t="shared" si="3"/>
        <v>-5.0272874345449095E-2</v>
      </c>
      <c r="F11" s="10">
        <f t="shared" si="4"/>
        <v>-1.6833681369547729E-2</v>
      </c>
      <c r="G11" s="10">
        <f t="shared" si="5"/>
        <v>0.10322739015816579</v>
      </c>
      <c r="H11" s="10">
        <f t="shared" si="6"/>
        <v>3.8850571709729831E-3</v>
      </c>
      <c r="J11" s="8" t="s">
        <v>153</v>
      </c>
      <c r="K11" s="8">
        <f t="shared" ref="K11:K13" si="7">(J4-J3) * ((K4+K3))</f>
        <v>1.8818915606057456E-2</v>
      </c>
      <c r="L11" s="8">
        <f t="shared" ref="L11:L13" si="8">(J4-J3) * ((L4+L3))</f>
        <v>3.1005511017203006E-2</v>
      </c>
      <c r="M11" s="8">
        <f t="shared" ref="M11:M13" si="9">(J4-J3) * ((M4+M3))</f>
        <v>3.3215547441909306E-2</v>
      </c>
      <c r="N11" s="8">
        <f t="shared" ref="N11:N13" si="10">(J4-J3) * ((N4+N3))</f>
        <v>3.1124894172934812E-2</v>
      </c>
      <c r="O11" s="8">
        <f t="shared" ref="O11:O13" si="11">(J4-J3) * ((O4+O3))</f>
        <v>4.1718993666189814E-2</v>
      </c>
      <c r="P11" s="8">
        <f t="shared" ref="P11:P13" si="12">(J4-J3) * ((P4+P3))</f>
        <v>4.3079159083058288E-2</v>
      </c>
    </row>
    <row r="12" spans="1:16" x14ac:dyDescent="0.3">
      <c r="B12" s="8" t="s">
        <v>151</v>
      </c>
      <c r="C12" s="10">
        <f t="shared" si="1"/>
        <v>-8.5459883459614749E-2</v>
      </c>
      <c r="D12" s="10">
        <f t="shared" si="2"/>
        <v>-8.5087131619152545E-2</v>
      </c>
      <c r="E12" s="10">
        <f t="shared" si="3"/>
        <v>-6.4409954053890203E-2</v>
      </c>
      <c r="F12" s="10">
        <f t="shared" si="4"/>
        <v>-9.037670167204824E-2</v>
      </c>
      <c r="G12" s="10">
        <f t="shared" si="5"/>
        <v>5.6380030075892901E-2</v>
      </c>
      <c r="H12" s="10">
        <f t="shared" si="6"/>
        <v>-5.1918689204134782E-2</v>
      </c>
      <c r="J12" s="8" t="s">
        <v>151</v>
      </c>
      <c r="K12" s="8">
        <f t="shared" si="7"/>
        <v>3.4256731142962717E-2</v>
      </c>
      <c r="L12" s="8">
        <f t="shared" si="8"/>
        <v>4.9820862415678659E-2</v>
      </c>
      <c r="M12" s="8">
        <f t="shared" si="9"/>
        <v>5.8064082031625497E-2</v>
      </c>
      <c r="N12" s="8">
        <f t="shared" si="10"/>
        <v>5.6783640978722856E-2</v>
      </c>
      <c r="O12" s="8">
        <f t="shared" si="11"/>
        <v>0.10589171799565346</v>
      </c>
      <c r="P12" s="8">
        <f t="shared" si="12"/>
        <v>7.8359629223235319E-2</v>
      </c>
    </row>
    <row r="13" spans="1:16" x14ac:dyDescent="0.3">
      <c r="B13" s="8" t="s">
        <v>149</v>
      </c>
      <c r="C13" s="10">
        <f t="shared" si="1"/>
        <v>0.17626693282532857</v>
      </c>
      <c r="D13" s="10">
        <f t="shared" si="2"/>
        <v>0.12044734471611229</v>
      </c>
      <c r="E13" s="10">
        <f t="shared" si="3"/>
        <v>8.0643777902982383E-2</v>
      </c>
      <c r="F13" s="10">
        <f t="shared" si="4"/>
        <v>9.8204024493679154E-2</v>
      </c>
      <c r="G13" s="10">
        <f t="shared" si="5"/>
        <v>-0.15070871724778478</v>
      </c>
      <c r="H13" s="10">
        <f t="shared" si="6"/>
        <v>1.852722696832787E-3</v>
      </c>
      <c r="J13" s="8" t="s">
        <v>149</v>
      </c>
      <c r="K13" s="8">
        <f t="shared" si="7"/>
        <v>0.77495490711371928</v>
      </c>
      <c r="L13" s="8">
        <f t="shared" si="8"/>
        <v>0.81258139567342735</v>
      </c>
      <c r="M13" s="8">
        <f t="shared" si="9"/>
        <v>0.83941191345509714</v>
      </c>
      <c r="N13" s="8">
        <f t="shared" si="10"/>
        <v>0.82757502178621334</v>
      </c>
      <c r="O13" s="8">
        <f t="shared" si="11"/>
        <v>0.99536043093641791</v>
      </c>
      <c r="P13" s="8">
        <f t="shared" si="12"/>
        <v>0.89252285242370655</v>
      </c>
    </row>
    <row r="14" spans="1:16" x14ac:dyDescent="0.3">
      <c r="J14" s="11" t="s">
        <v>174</v>
      </c>
      <c r="K14" s="11">
        <f>SUM(K9:K13)</f>
        <v>0.83118732248758098</v>
      </c>
      <c r="L14" s="11">
        <f t="shared" ref="L14:P14" si="13">SUM(L9:L13)</f>
        <v>0.90000249622345541</v>
      </c>
      <c r="M14" s="11">
        <f t="shared" si="13"/>
        <v>0.9347415882536485</v>
      </c>
      <c r="N14" s="11">
        <f t="shared" si="13"/>
        <v>0.91925498392773664</v>
      </c>
      <c r="O14" s="11">
        <f t="shared" si="13"/>
        <v>1.1471502981586024</v>
      </c>
      <c r="P14" s="11">
        <f t="shared" si="13"/>
        <v>1.0196496191504616</v>
      </c>
    </row>
    <row r="15" spans="1:16" x14ac:dyDescent="0.3">
      <c r="J15" s="14" t="s">
        <v>175</v>
      </c>
      <c r="K15" s="14">
        <f>1-K14</f>
        <v>0.16881267751241902</v>
      </c>
      <c r="L15" s="14">
        <f t="shared" ref="L15:P15" si="14">1-L14</f>
        <v>9.9997503776544594E-2</v>
      </c>
      <c r="M15" s="14">
        <f t="shared" si="14"/>
        <v>6.5258411746351497E-2</v>
      </c>
      <c r="N15" s="14">
        <f t="shared" si="14"/>
        <v>8.0745016072263365E-2</v>
      </c>
      <c r="O15" s="14">
        <f t="shared" si="14"/>
        <v>-0.14715029815860237</v>
      </c>
      <c r="P15" s="14">
        <f t="shared" si="14"/>
        <v>-1.9649619150461595E-2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ALFENAS-MACHADO</vt:lpstr>
      <vt:lpstr>CÁSSIA</vt:lpstr>
      <vt:lpstr>GUAXUPÉ</vt:lpstr>
      <vt:lpstr>ITAJUBÁ</vt:lpstr>
      <vt:lpstr>LAVRAS</vt:lpstr>
      <vt:lpstr>PASSOS</vt:lpstr>
      <vt:lpstr>PINHUÍ</vt:lpstr>
      <vt:lpstr>POÇOS DE CALDA</vt:lpstr>
      <vt:lpstr>POUSO ALEGRE</vt:lpstr>
      <vt:lpstr>SÃO LOURENÇO</vt:lpstr>
      <vt:lpstr>SÃO SEBASTIÃO DO PARAÍSO</vt:lpstr>
      <vt:lpstr>TRÊS CORAÇÕES</vt:lpstr>
      <vt:lpstr>TRÊS PONTAS</vt:lpstr>
      <vt:lpstr>VARGINHA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2025-04-22T01:59:47Z</dcterms:created>
  <dcterms:modified xsi:type="dcterms:W3CDTF">2025-08-24T20:26:11Z</dcterms:modified>
</cp:coreProperties>
</file>